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jects\PY_Housing_Covid\Analysis\Paper\"/>
    </mc:Choice>
  </mc:AlternateContent>
  <xr:revisionPtr revIDLastSave="0" documentId="13_ncr:1_{6ABCFFA2-A2F9-4F46-B771-CF7DFE8DEF62}" xr6:coauthVersionLast="47" xr6:coauthVersionMax="47" xr10:uidLastSave="{00000000-0000-0000-0000-000000000000}"/>
  <bookViews>
    <workbookView xWindow="-120" yWindow="-120" windowWidth="29040" windowHeight="15990" firstSheet="24" activeTab="31" xr2:uid="{48A4CCAE-0847-4C78-9634-78F6030D6BD2}"/>
  </bookViews>
  <sheets>
    <sheet name="Full Sample-No Sub" sheetId="1" r:id="rId1"/>
    <sheet name="Full Sample-Townhouse" sheetId="3" r:id="rId2"/>
    <sheet name="Full Sample-Single Family" sheetId="10" r:id="rId3"/>
    <sheet name="Small Sample 1-No Sub" sheetId="19" r:id="rId4"/>
    <sheet name="Small Sample 1-Townhouse" sheetId="20" r:id="rId5"/>
    <sheet name="Small Sample 1-Single Family" sheetId="21" r:id="rId6"/>
    <sheet name="Small Sample 2-No Sub" sheetId="22" r:id="rId7"/>
    <sheet name="Small Sample 2-Townhouse" sheetId="23" r:id="rId8"/>
    <sheet name="Small Sample 2-Single Family" sheetId="24" r:id="rId9"/>
    <sheet name="Table One" sheetId="2" r:id="rId10"/>
    <sheet name="Table Two (a)" sheetId="28" r:id="rId11"/>
    <sheet name="Table One Townhouse" sheetId="26" r:id="rId12"/>
    <sheet name="Table One Single Family" sheetId="27" r:id="rId13"/>
    <sheet name="Reg1" sheetId="4" r:id="rId14"/>
    <sheet name="Reg1_Robust" sheetId="30" r:id="rId15"/>
    <sheet name="Table 3" sheetId="29" r:id="rId16"/>
    <sheet name="Reg1_ct" sheetId="31" r:id="rId17"/>
    <sheet name="Reg1_ct_Robust" sheetId="32" r:id="rId18"/>
    <sheet name="Reg2_ct_last_rob" sheetId="33" r:id="rId19"/>
    <sheet name="Reg2_ct_first_rob" sheetId="34" r:id="rId20"/>
    <sheet name="Reg1_sf" sheetId="36" r:id="rId21"/>
    <sheet name="Reg1_sf_Robust" sheetId="37" r:id="rId22"/>
    <sheet name="Reg2_sf_last_rob" sheetId="39" r:id="rId23"/>
    <sheet name="Reg2_sf_first_rob" sheetId="38" r:id="rId24"/>
    <sheet name="Table Four" sheetId="35" r:id="rId25"/>
    <sheet name="Spatial One" sheetId="40" r:id="rId26"/>
    <sheet name="Spatial Two" sheetId="41" r:id="rId27"/>
    <sheet name="Spatial One CT" sheetId="42" r:id="rId28"/>
    <sheet name="Spatial Two CT" sheetId="43" r:id="rId29"/>
    <sheet name="Spatial One SF" sheetId="44" r:id="rId30"/>
    <sheet name="Spatial Two SF" sheetId="45" r:id="rId31"/>
    <sheet name="Table Five" sheetId="46" r:id="rId32"/>
  </sheets>
  <functionGroups builtInGroupCount="19"/>
  <definedNames>
    <definedName name="_xlnm.Print_Area" localSheetId="9">'Table One'!$A$2:$Z$69</definedName>
    <definedName name="_xlnm.Print_Area" localSheetId="12">'Table One Single Family'!$A$2:$Z$81</definedName>
    <definedName name="_xlnm.Print_Area" localSheetId="11">'Table One Townhouse'!$A$2:$Z$81</definedName>
    <definedName name="_xlnm.Print_Area" localSheetId="10">'Table Two (a)'!$A$2:$Z$69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46" l="1"/>
  <c r="L90" i="29"/>
  <c r="L89" i="29"/>
  <c r="J11" i="46"/>
  <c r="J10" i="46"/>
  <c r="E20" i="46"/>
  <c r="E19" i="46"/>
  <c r="C19" i="46"/>
  <c r="J3" i="45"/>
  <c r="L3" i="45"/>
  <c r="N3" i="45"/>
  <c r="J4" i="45"/>
  <c r="L4" i="45"/>
  <c r="N4" i="45"/>
  <c r="J5" i="45"/>
  <c r="L5" i="45"/>
  <c r="N5" i="45"/>
  <c r="J6" i="45"/>
  <c r="L6" i="45"/>
  <c r="N6" i="45"/>
  <c r="J7" i="45"/>
  <c r="L7" i="45"/>
  <c r="N7" i="45"/>
  <c r="J8" i="45"/>
  <c r="L8" i="45"/>
  <c r="N8" i="45"/>
  <c r="J9" i="45"/>
  <c r="L9" i="45"/>
  <c r="N9" i="45"/>
  <c r="J10" i="45"/>
  <c r="L10" i="45"/>
  <c r="N10" i="45"/>
  <c r="J11" i="45"/>
  <c r="L11" i="45"/>
  <c r="N11" i="45"/>
  <c r="J12" i="45"/>
  <c r="L12" i="45"/>
  <c r="N12" i="45"/>
  <c r="J13" i="45"/>
  <c r="L13" i="45"/>
  <c r="N13" i="45"/>
  <c r="J14" i="45"/>
  <c r="L14" i="45"/>
  <c r="N14" i="45"/>
  <c r="J15" i="45"/>
  <c r="L15" i="45"/>
  <c r="N15" i="45"/>
  <c r="J16" i="45"/>
  <c r="L16" i="45"/>
  <c r="N16" i="45"/>
  <c r="J17" i="45"/>
  <c r="L17" i="45"/>
  <c r="N17" i="45"/>
  <c r="J18" i="45"/>
  <c r="L18" i="45"/>
  <c r="N18" i="45"/>
  <c r="J19" i="45"/>
  <c r="L19" i="45"/>
  <c r="N19" i="45"/>
  <c r="J20" i="45"/>
  <c r="L20" i="45"/>
  <c r="N20" i="45"/>
  <c r="J21" i="45"/>
  <c r="L21" i="45"/>
  <c r="N21" i="45"/>
  <c r="J22" i="45"/>
  <c r="L22" i="45"/>
  <c r="N22" i="45"/>
  <c r="J23" i="45"/>
  <c r="L23" i="45"/>
  <c r="N23" i="45"/>
  <c r="J24" i="45"/>
  <c r="L24" i="45"/>
  <c r="N24" i="45"/>
  <c r="J25" i="45"/>
  <c r="L25" i="45"/>
  <c r="N25" i="45"/>
  <c r="J26" i="45"/>
  <c r="L26" i="45"/>
  <c r="N26" i="45"/>
  <c r="J27" i="45"/>
  <c r="L27" i="45"/>
  <c r="N27" i="45"/>
  <c r="J28" i="45"/>
  <c r="L28" i="45"/>
  <c r="N28" i="45"/>
  <c r="J29" i="45"/>
  <c r="L29" i="45"/>
  <c r="N29" i="45"/>
  <c r="J30" i="45"/>
  <c r="L30" i="45"/>
  <c r="N30" i="45"/>
  <c r="J31" i="45"/>
  <c r="L31" i="45"/>
  <c r="N31" i="45"/>
  <c r="J32" i="45"/>
  <c r="L32" i="45"/>
  <c r="N32" i="45"/>
  <c r="J33" i="45"/>
  <c r="L33" i="45"/>
  <c r="N33" i="45"/>
  <c r="J34" i="45"/>
  <c r="L34" i="45"/>
  <c r="N34" i="45"/>
  <c r="J35" i="45"/>
  <c r="L35" i="45"/>
  <c r="N35" i="45"/>
  <c r="J36" i="45"/>
  <c r="L36" i="45"/>
  <c r="N36" i="45"/>
  <c r="J37" i="45"/>
  <c r="L37" i="45"/>
  <c r="N37" i="45"/>
  <c r="J38" i="45"/>
  <c r="L38" i="45"/>
  <c r="N38" i="45"/>
  <c r="J39" i="45"/>
  <c r="L39" i="45"/>
  <c r="N39" i="45"/>
  <c r="J40" i="45"/>
  <c r="L40" i="45"/>
  <c r="N40" i="45"/>
  <c r="J41" i="45"/>
  <c r="L41" i="45"/>
  <c r="N41" i="45"/>
  <c r="J42" i="45"/>
  <c r="L42" i="45"/>
  <c r="N42" i="45"/>
  <c r="J43" i="45"/>
  <c r="L43" i="45"/>
  <c r="N43" i="45"/>
  <c r="J44" i="45"/>
  <c r="L44" i="45"/>
  <c r="N44" i="45"/>
  <c r="J45" i="45"/>
  <c r="L45" i="45"/>
  <c r="N45" i="45"/>
  <c r="J46" i="45"/>
  <c r="L46" i="45"/>
  <c r="N46" i="45"/>
  <c r="J47" i="45"/>
  <c r="L47" i="45"/>
  <c r="N47" i="45"/>
  <c r="J48" i="45"/>
  <c r="L48" i="45"/>
  <c r="N48" i="45"/>
  <c r="J49" i="45"/>
  <c r="L49" i="45"/>
  <c r="N49" i="45"/>
  <c r="J50" i="45"/>
  <c r="L50" i="45"/>
  <c r="N50" i="45"/>
  <c r="J51" i="45"/>
  <c r="L51" i="45"/>
  <c r="N51" i="45"/>
  <c r="J52" i="45"/>
  <c r="L52" i="45"/>
  <c r="N52" i="45"/>
  <c r="J53" i="45"/>
  <c r="L53" i="45"/>
  <c r="N53" i="45"/>
  <c r="J54" i="45"/>
  <c r="L54" i="45"/>
  <c r="N54" i="45"/>
  <c r="J55" i="45"/>
  <c r="L55" i="45"/>
  <c r="N55" i="45"/>
  <c r="J56" i="45"/>
  <c r="L56" i="45"/>
  <c r="N56" i="45"/>
  <c r="J57" i="45"/>
  <c r="L57" i="45"/>
  <c r="N57" i="45"/>
  <c r="J58" i="45"/>
  <c r="L58" i="45"/>
  <c r="N58" i="45"/>
  <c r="H8" i="46"/>
  <c r="H7" i="46"/>
  <c r="H6" i="46"/>
  <c r="H5" i="46"/>
  <c r="G8" i="46"/>
  <c r="G7" i="46"/>
  <c r="G6" i="46"/>
  <c r="G5" i="46"/>
  <c r="F8" i="46"/>
  <c r="F7" i="46"/>
  <c r="F6" i="46"/>
  <c r="F5" i="46"/>
  <c r="E8" i="46"/>
  <c r="E7" i="46"/>
  <c r="E6" i="46"/>
  <c r="E5" i="46"/>
  <c r="D8" i="46"/>
  <c r="D7" i="46"/>
  <c r="D6" i="46"/>
  <c r="D5" i="46"/>
  <c r="C8" i="46"/>
  <c r="C7" i="46"/>
  <c r="C6" i="46"/>
  <c r="C5" i="46"/>
  <c r="W116" i="45"/>
  <c r="W115" i="45"/>
  <c r="W114" i="45"/>
  <c r="W113" i="45"/>
  <c r="W112" i="45"/>
  <c r="W111" i="45"/>
  <c r="W110" i="45"/>
  <c r="W109" i="45"/>
  <c r="W108" i="45"/>
  <c r="W107" i="45"/>
  <c r="W106" i="45"/>
  <c r="W105" i="45"/>
  <c r="W104" i="45"/>
  <c r="W103" i="45"/>
  <c r="W102" i="45"/>
  <c r="W101" i="45"/>
  <c r="W100" i="45"/>
  <c r="W99" i="45"/>
  <c r="W98" i="45"/>
  <c r="W97" i="45"/>
  <c r="W96" i="45"/>
  <c r="W95" i="45"/>
  <c r="W94" i="45"/>
  <c r="W93" i="45"/>
  <c r="W92" i="45"/>
  <c r="W91" i="45"/>
  <c r="W90" i="45"/>
  <c r="W89" i="45"/>
  <c r="W88" i="45"/>
  <c r="W87" i="45"/>
  <c r="W86" i="45"/>
  <c r="W85" i="45"/>
  <c r="W84" i="45"/>
  <c r="W83" i="45"/>
  <c r="W82" i="45"/>
  <c r="W81" i="45"/>
  <c r="W80" i="45"/>
  <c r="W79" i="45"/>
  <c r="W78" i="45"/>
  <c r="W77" i="45"/>
  <c r="W76" i="45"/>
  <c r="W75" i="45"/>
  <c r="W74" i="45"/>
  <c r="W73" i="45"/>
  <c r="W72" i="45"/>
  <c r="W71" i="45"/>
  <c r="W70" i="45"/>
  <c r="W69" i="45"/>
  <c r="W68" i="45"/>
  <c r="W67" i="45"/>
  <c r="W66" i="45"/>
  <c r="W65" i="45"/>
  <c r="W64" i="45"/>
  <c r="W63" i="45"/>
  <c r="W62" i="45"/>
  <c r="W61" i="45"/>
  <c r="W60" i="45"/>
  <c r="W59" i="45"/>
  <c r="W58" i="45"/>
  <c r="W57" i="45"/>
  <c r="W56" i="45"/>
  <c r="W55" i="45"/>
  <c r="W54" i="45"/>
  <c r="W53" i="45"/>
  <c r="W52" i="45"/>
  <c r="W51" i="45"/>
  <c r="W50" i="45"/>
  <c r="W49" i="45"/>
  <c r="W48" i="45"/>
  <c r="W47" i="45"/>
  <c r="W46" i="45"/>
  <c r="W45" i="45"/>
  <c r="W44" i="45"/>
  <c r="W43" i="45"/>
  <c r="W42" i="45"/>
  <c r="W41" i="45"/>
  <c r="W40" i="45"/>
  <c r="W39" i="45"/>
  <c r="W38" i="45"/>
  <c r="W37" i="45"/>
  <c r="W36" i="45"/>
  <c r="W35" i="45"/>
  <c r="W34" i="45"/>
  <c r="W33" i="45"/>
  <c r="W32" i="45"/>
  <c r="W31" i="45"/>
  <c r="W30" i="45"/>
  <c r="W29" i="45"/>
  <c r="W28" i="45"/>
  <c r="W27" i="45"/>
  <c r="W26" i="45"/>
  <c r="W25" i="45"/>
  <c r="W24" i="45"/>
  <c r="W23" i="45"/>
  <c r="W22" i="45"/>
  <c r="W21" i="45"/>
  <c r="W20" i="45"/>
  <c r="W19" i="45"/>
  <c r="W18" i="45"/>
  <c r="W17" i="45"/>
  <c r="W16" i="45"/>
  <c r="W15" i="45"/>
  <c r="W14" i="45"/>
  <c r="W13" i="45"/>
  <c r="W12" i="45"/>
  <c r="W11" i="45"/>
  <c r="W10" i="45"/>
  <c r="W9" i="45"/>
  <c r="W8" i="45"/>
  <c r="W7" i="45"/>
  <c r="W6" i="45"/>
  <c r="W5" i="45"/>
  <c r="W4" i="45"/>
  <c r="W3" i="45"/>
  <c r="W2" i="45"/>
  <c r="W116" i="44"/>
  <c r="W115" i="44"/>
  <c r="W114" i="44"/>
  <c r="W113" i="44"/>
  <c r="W112" i="44"/>
  <c r="W111" i="44"/>
  <c r="W110" i="44"/>
  <c r="W109" i="44"/>
  <c r="W108" i="44"/>
  <c r="W107" i="44"/>
  <c r="W106" i="44"/>
  <c r="W105" i="44"/>
  <c r="W104" i="44"/>
  <c r="W103" i="44"/>
  <c r="W102" i="44"/>
  <c r="W101" i="44"/>
  <c r="W100" i="44"/>
  <c r="W99" i="44"/>
  <c r="W98" i="44"/>
  <c r="W97" i="44"/>
  <c r="W96" i="44"/>
  <c r="W95" i="44"/>
  <c r="W94" i="44"/>
  <c r="W93" i="44"/>
  <c r="W92" i="44"/>
  <c r="W91" i="44"/>
  <c r="W90" i="44"/>
  <c r="W89" i="44"/>
  <c r="W88" i="44"/>
  <c r="W87" i="44"/>
  <c r="W86" i="44"/>
  <c r="W85" i="44"/>
  <c r="W84" i="44"/>
  <c r="W83" i="44"/>
  <c r="W82" i="44"/>
  <c r="W81" i="44"/>
  <c r="W80" i="44"/>
  <c r="W79" i="44"/>
  <c r="W78" i="44"/>
  <c r="W77" i="44"/>
  <c r="W76" i="44"/>
  <c r="W75" i="44"/>
  <c r="W74" i="44"/>
  <c r="W73" i="44"/>
  <c r="W72" i="44"/>
  <c r="W71" i="44"/>
  <c r="W70" i="44"/>
  <c r="W69" i="44"/>
  <c r="W68" i="44"/>
  <c r="W67" i="44"/>
  <c r="W66" i="44"/>
  <c r="W65" i="44"/>
  <c r="W64" i="44"/>
  <c r="W63" i="44"/>
  <c r="W62" i="44"/>
  <c r="W61" i="44"/>
  <c r="W60" i="44"/>
  <c r="W59" i="44"/>
  <c r="W58" i="44"/>
  <c r="W57" i="44"/>
  <c r="W56" i="44"/>
  <c r="W55" i="44"/>
  <c r="W54" i="44"/>
  <c r="W53" i="44"/>
  <c r="W52" i="44"/>
  <c r="W51" i="44"/>
  <c r="W50" i="44"/>
  <c r="W49" i="44"/>
  <c r="W48" i="44"/>
  <c r="W47" i="44"/>
  <c r="W46" i="44"/>
  <c r="W45" i="44"/>
  <c r="W44" i="44"/>
  <c r="W43" i="44"/>
  <c r="W42" i="44"/>
  <c r="W41" i="44"/>
  <c r="W40" i="44"/>
  <c r="W39" i="44"/>
  <c r="W38" i="44"/>
  <c r="W37" i="44"/>
  <c r="W36" i="44"/>
  <c r="W35" i="44"/>
  <c r="W34" i="44"/>
  <c r="W33" i="44"/>
  <c r="W32" i="44"/>
  <c r="W31" i="44"/>
  <c r="W30" i="44"/>
  <c r="W29" i="44"/>
  <c r="W28" i="44"/>
  <c r="W27" i="44"/>
  <c r="W26" i="44"/>
  <c r="W25" i="44"/>
  <c r="W24" i="44"/>
  <c r="W23" i="44"/>
  <c r="W22" i="44"/>
  <c r="W21" i="44"/>
  <c r="W20" i="44"/>
  <c r="W19" i="44"/>
  <c r="W18" i="44"/>
  <c r="W17" i="44"/>
  <c r="W16" i="44"/>
  <c r="W15" i="44"/>
  <c r="W14" i="44"/>
  <c r="W13" i="44"/>
  <c r="W12" i="44"/>
  <c r="W11" i="44"/>
  <c r="W10" i="44"/>
  <c r="W9" i="44"/>
  <c r="W8" i="44"/>
  <c r="W7" i="44"/>
  <c r="W6" i="44"/>
  <c r="W5" i="44"/>
  <c r="W4" i="44"/>
  <c r="W3" i="44"/>
  <c r="W2" i="44"/>
  <c r="W116" i="43"/>
  <c r="W115" i="43"/>
  <c r="W114" i="43"/>
  <c r="W113" i="43"/>
  <c r="W112" i="43"/>
  <c r="W111" i="43"/>
  <c r="W110" i="43"/>
  <c r="W109" i="43"/>
  <c r="W108" i="43"/>
  <c r="W107" i="43"/>
  <c r="W106" i="43"/>
  <c r="W105" i="43"/>
  <c r="W104" i="43"/>
  <c r="W103" i="43"/>
  <c r="W102" i="43"/>
  <c r="W101" i="43"/>
  <c r="W100" i="43"/>
  <c r="W99" i="43"/>
  <c r="W98" i="43"/>
  <c r="W97" i="43"/>
  <c r="W96" i="43"/>
  <c r="W95" i="43"/>
  <c r="W94" i="43"/>
  <c r="W93" i="43"/>
  <c r="W92" i="43"/>
  <c r="W91" i="43"/>
  <c r="W90" i="43"/>
  <c r="W89" i="43"/>
  <c r="W88" i="43"/>
  <c r="W87" i="43"/>
  <c r="W86" i="43"/>
  <c r="W85" i="43"/>
  <c r="W84" i="43"/>
  <c r="W83" i="43"/>
  <c r="W82" i="43"/>
  <c r="W81" i="43"/>
  <c r="W80" i="43"/>
  <c r="W79" i="43"/>
  <c r="W78" i="43"/>
  <c r="W77" i="43"/>
  <c r="W76" i="43"/>
  <c r="W75" i="43"/>
  <c r="W74" i="43"/>
  <c r="W73" i="43"/>
  <c r="W72" i="43"/>
  <c r="W71" i="43"/>
  <c r="W70" i="43"/>
  <c r="W69" i="43"/>
  <c r="W68" i="43"/>
  <c r="W67" i="43"/>
  <c r="W66" i="43"/>
  <c r="W65" i="43"/>
  <c r="W64" i="43"/>
  <c r="W63" i="43"/>
  <c r="W62" i="43"/>
  <c r="W61" i="43"/>
  <c r="W60" i="43"/>
  <c r="W59" i="43"/>
  <c r="W58" i="43"/>
  <c r="W57" i="43"/>
  <c r="W56" i="43"/>
  <c r="W55" i="43"/>
  <c r="W54" i="43"/>
  <c r="W53" i="43"/>
  <c r="W52" i="43"/>
  <c r="W51" i="43"/>
  <c r="W50" i="43"/>
  <c r="W49" i="43"/>
  <c r="W48" i="43"/>
  <c r="W47" i="43"/>
  <c r="W46" i="43"/>
  <c r="W45" i="43"/>
  <c r="W44" i="43"/>
  <c r="W43" i="43"/>
  <c r="W42" i="43"/>
  <c r="W41" i="43"/>
  <c r="W40" i="43"/>
  <c r="W39" i="43"/>
  <c r="W38" i="43"/>
  <c r="W37" i="43"/>
  <c r="W36" i="43"/>
  <c r="W35" i="43"/>
  <c r="W34" i="43"/>
  <c r="W33" i="43"/>
  <c r="W32" i="43"/>
  <c r="W31" i="43"/>
  <c r="W30" i="43"/>
  <c r="W29" i="43"/>
  <c r="W28" i="43"/>
  <c r="W27" i="43"/>
  <c r="W26" i="43"/>
  <c r="W25" i="43"/>
  <c r="W24" i="43"/>
  <c r="W23" i="43"/>
  <c r="W22" i="43"/>
  <c r="W21" i="43"/>
  <c r="W20" i="43"/>
  <c r="W19" i="43"/>
  <c r="W18" i="43"/>
  <c r="W17" i="43"/>
  <c r="W16" i="43"/>
  <c r="W15" i="43"/>
  <c r="W14" i="43"/>
  <c r="W13" i="43"/>
  <c r="W12" i="43"/>
  <c r="W11" i="43"/>
  <c r="W10" i="43"/>
  <c r="W9" i="43"/>
  <c r="W8" i="43"/>
  <c r="W7" i="43"/>
  <c r="W6" i="43"/>
  <c r="W5" i="43"/>
  <c r="W4" i="43"/>
  <c r="W3" i="43"/>
  <c r="W2" i="43"/>
  <c r="W116" i="42"/>
  <c r="W115" i="42"/>
  <c r="W114" i="42"/>
  <c r="W113" i="42"/>
  <c r="W112" i="42"/>
  <c r="W111" i="42"/>
  <c r="W110" i="42"/>
  <c r="W109" i="42"/>
  <c r="W108" i="42"/>
  <c r="W107" i="42"/>
  <c r="W106" i="42"/>
  <c r="W105" i="42"/>
  <c r="W104" i="42"/>
  <c r="W103" i="42"/>
  <c r="W102" i="42"/>
  <c r="W101" i="42"/>
  <c r="W100" i="42"/>
  <c r="W99" i="42"/>
  <c r="W98" i="42"/>
  <c r="W97" i="42"/>
  <c r="W96" i="42"/>
  <c r="W95" i="42"/>
  <c r="W94" i="42"/>
  <c r="W93" i="42"/>
  <c r="W92" i="42"/>
  <c r="W91" i="42"/>
  <c r="W90" i="42"/>
  <c r="W89" i="42"/>
  <c r="W88" i="42"/>
  <c r="W87" i="42"/>
  <c r="W86" i="42"/>
  <c r="W85" i="42"/>
  <c r="W84" i="42"/>
  <c r="W83" i="42"/>
  <c r="W82" i="42"/>
  <c r="W81" i="42"/>
  <c r="W80" i="42"/>
  <c r="W79" i="42"/>
  <c r="W78" i="42"/>
  <c r="W77" i="42"/>
  <c r="W76" i="42"/>
  <c r="W75" i="42"/>
  <c r="W74" i="42"/>
  <c r="W73" i="42"/>
  <c r="W72" i="42"/>
  <c r="W71" i="42"/>
  <c r="W70" i="42"/>
  <c r="W69" i="42"/>
  <c r="W68" i="42"/>
  <c r="W67" i="42"/>
  <c r="W66" i="42"/>
  <c r="W65" i="42"/>
  <c r="W64" i="42"/>
  <c r="W63" i="42"/>
  <c r="W62" i="42"/>
  <c r="W61" i="42"/>
  <c r="W60" i="42"/>
  <c r="W59" i="42"/>
  <c r="W58" i="42"/>
  <c r="W57" i="42"/>
  <c r="W56" i="42"/>
  <c r="W55" i="42"/>
  <c r="W54" i="42"/>
  <c r="W53" i="42"/>
  <c r="W52" i="42"/>
  <c r="W51" i="42"/>
  <c r="W50" i="42"/>
  <c r="W49" i="42"/>
  <c r="W48" i="42"/>
  <c r="W47" i="42"/>
  <c r="W46" i="42"/>
  <c r="W45" i="42"/>
  <c r="W44" i="42"/>
  <c r="W43" i="42"/>
  <c r="W42" i="42"/>
  <c r="W41" i="42"/>
  <c r="W40" i="42"/>
  <c r="W39" i="42"/>
  <c r="W38" i="42"/>
  <c r="W37" i="42"/>
  <c r="W36" i="42"/>
  <c r="W35" i="42"/>
  <c r="W34" i="42"/>
  <c r="W33" i="42"/>
  <c r="W32" i="42"/>
  <c r="W31" i="42"/>
  <c r="W30" i="42"/>
  <c r="W29" i="42"/>
  <c r="W28" i="42"/>
  <c r="W27" i="42"/>
  <c r="W26" i="42"/>
  <c r="W25" i="42"/>
  <c r="W24" i="42"/>
  <c r="W23" i="42"/>
  <c r="W22" i="42"/>
  <c r="W21" i="42"/>
  <c r="W20" i="42"/>
  <c r="W19" i="42"/>
  <c r="W18" i="42"/>
  <c r="W17" i="42"/>
  <c r="W16" i="42"/>
  <c r="W15" i="42"/>
  <c r="W14" i="42"/>
  <c r="W13" i="42"/>
  <c r="W12" i="42"/>
  <c r="W11" i="42"/>
  <c r="W10" i="42"/>
  <c r="W9" i="42"/>
  <c r="W8" i="42"/>
  <c r="W7" i="42"/>
  <c r="W6" i="42"/>
  <c r="W5" i="42"/>
  <c r="W4" i="42"/>
  <c r="W3" i="42"/>
  <c r="W2" i="42"/>
  <c r="W116" i="41"/>
  <c r="W115" i="41"/>
  <c r="W114" i="41"/>
  <c r="W113" i="41"/>
  <c r="W112" i="41"/>
  <c r="W111" i="41"/>
  <c r="W110" i="41"/>
  <c r="W109" i="41"/>
  <c r="W108" i="41"/>
  <c r="W107" i="41"/>
  <c r="W106" i="41"/>
  <c r="W105" i="41"/>
  <c r="W104" i="41"/>
  <c r="W103" i="41"/>
  <c r="W102" i="41"/>
  <c r="W101" i="41"/>
  <c r="W100" i="41"/>
  <c r="W99" i="41"/>
  <c r="W98" i="41"/>
  <c r="W97" i="41"/>
  <c r="W96" i="41"/>
  <c r="W95" i="41"/>
  <c r="W94" i="41"/>
  <c r="W93" i="41"/>
  <c r="W92" i="41"/>
  <c r="W91" i="41"/>
  <c r="W90" i="41"/>
  <c r="W89" i="41"/>
  <c r="W88" i="41"/>
  <c r="W87" i="41"/>
  <c r="W86" i="41"/>
  <c r="W85" i="41"/>
  <c r="W84" i="41"/>
  <c r="W83" i="41"/>
  <c r="W82" i="41"/>
  <c r="W81" i="41"/>
  <c r="W80" i="41"/>
  <c r="W79" i="41"/>
  <c r="W78" i="41"/>
  <c r="W77" i="41"/>
  <c r="W76" i="41"/>
  <c r="W75" i="41"/>
  <c r="W74" i="41"/>
  <c r="W73" i="41"/>
  <c r="W72" i="41"/>
  <c r="W71" i="41"/>
  <c r="W70" i="41"/>
  <c r="W69" i="41"/>
  <c r="W68" i="41"/>
  <c r="W67" i="41"/>
  <c r="W66" i="41"/>
  <c r="W65" i="41"/>
  <c r="W64" i="41"/>
  <c r="W63" i="41"/>
  <c r="W62" i="41"/>
  <c r="W61" i="41"/>
  <c r="W60" i="41"/>
  <c r="W59" i="41"/>
  <c r="W58" i="41"/>
  <c r="W57" i="41"/>
  <c r="W56" i="41"/>
  <c r="W55" i="41"/>
  <c r="W54" i="41"/>
  <c r="W53" i="41"/>
  <c r="W52" i="41"/>
  <c r="W51" i="41"/>
  <c r="W50" i="41"/>
  <c r="W49" i="41"/>
  <c r="W48" i="41"/>
  <c r="W47" i="41"/>
  <c r="W46" i="41"/>
  <c r="W45" i="41"/>
  <c r="W44" i="41"/>
  <c r="W43" i="41"/>
  <c r="W42" i="41"/>
  <c r="W41" i="41"/>
  <c r="W40" i="41"/>
  <c r="W39" i="41"/>
  <c r="W38" i="41"/>
  <c r="W37" i="41"/>
  <c r="W36" i="41"/>
  <c r="W35" i="41"/>
  <c r="W34" i="41"/>
  <c r="W33" i="41"/>
  <c r="W32" i="41"/>
  <c r="W31" i="41"/>
  <c r="W30" i="41"/>
  <c r="W29" i="41"/>
  <c r="W28" i="41"/>
  <c r="W27" i="41"/>
  <c r="W26" i="41"/>
  <c r="W25" i="41"/>
  <c r="W24" i="41"/>
  <c r="W23" i="41"/>
  <c r="W22" i="41"/>
  <c r="W21" i="41"/>
  <c r="W20" i="41"/>
  <c r="W19" i="41"/>
  <c r="W18" i="41"/>
  <c r="W17" i="41"/>
  <c r="W16" i="41"/>
  <c r="W15" i="41"/>
  <c r="W14" i="41"/>
  <c r="W13" i="41"/>
  <c r="W12" i="41"/>
  <c r="W11" i="41"/>
  <c r="W10" i="41"/>
  <c r="W9" i="41"/>
  <c r="W8" i="41"/>
  <c r="W7" i="41"/>
  <c r="W6" i="41"/>
  <c r="W5" i="41"/>
  <c r="W4" i="41"/>
  <c r="W3" i="41"/>
  <c r="W2" i="41"/>
  <c r="W3" i="40"/>
  <c r="W4" i="40"/>
  <c r="W5" i="40"/>
  <c r="W6" i="40"/>
  <c r="W7" i="40"/>
  <c r="W8" i="40"/>
  <c r="W9" i="40"/>
  <c r="W10" i="40"/>
  <c r="W11" i="40"/>
  <c r="W12" i="40"/>
  <c r="W13" i="40"/>
  <c r="W14" i="40"/>
  <c r="W15" i="40"/>
  <c r="W16" i="40"/>
  <c r="W17" i="40"/>
  <c r="W18" i="40"/>
  <c r="W19" i="40"/>
  <c r="W20" i="40"/>
  <c r="W21" i="40"/>
  <c r="W22" i="40"/>
  <c r="W23" i="40"/>
  <c r="W24" i="40"/>
  <c r="W25" i="40"/>
  <c r="W26" i="40"/>
  <c r="W27" i="40"/>
  <c r="W28" i="40"/>
  <c r="W29" i="40"/>
  <c r="W30" i="40"/>
  <c r="W31" i="40"/>
  <c r="W32" i="40"/>
  <c r="W33" i="40"/>
  <c r="W34" i="40"/>
  <c r="W35" i="40"/>
  <c r="W36" i="40"/>
  <c r="W37" i="40"/>
  <c r="W38" i="40"/>
  <c r="W39" i="40"/>
  <c r="W40" i="40"/>
  <c r="W41" i="40"/>
  <c r="W42" i="40"/>
  <c r="W43" i="40"/>
  <c r="W44" i="40"/>
  <c r="W45" i="40"/>
  <c r="W46" i="40"/>
  <c r="W47" i="40"/>
  <c r="W48" i="40"/>
  <c r="W49" i="40"/>
  <c r="W50" i="40"/>
  <c r="W51" i="40"/>
  <c r="W52" i="40"/>
  <c r="W53" i="40"/>
  <c r="W54" i="40"/>
  <c r="W55" i="40"/>
  <c r="W56" i="40"/>
  <c r="W57" i="40"/>
  <c r="W58" i="40"/>
  <c r="W59" i="40"/>
  <c r="W60" i="40"/>
  <c r="W61" i="40"/>
  <c r="W62" i="40"/>
  <c r="W63" i="40"/>
  <c r="W64" i="40"/>
  <c r="W65" i="40"/>
  <c r="W66" i="40"/>
  <c r="W67" i="40"/>
  <c r="W68" i="40"/>
  <c r="W69" i="40"/>
  <c r="W70" i="40"/>
  <c r="W71" i="40"/>
  <c r="W72" i="40"/>
  <c r="W73" i="40"/>
  <c r="W74" i="40"/>
  <c r="W75" i="40"/>
  <c r="W76" i="40"/>
  <c r="W77" i="40"/>
  <c r="W78" i="40"/>
  <c r="W79" i="40"/>
  <c r="W80" i="40"/>
  <c r="W81" i="40"/>
  <c r="W82" i="40"/>
  <c r="W83" i="40"/>
  <c r="W84" i="40"/>
  <c r="W85" i="40"/>
  <c r="W86" i="40"/>
  <c r="W87" i="40"/>
  <c r="W88" i="40"/>
  <c r="W89" i="40"/>
  <c r="W90" i="40"/>
  <c r="W91" i="40"/>
  <c r="W92" i="40"/>
  <c r="W93" i="40"/>
  <c r="W94" i="40"/>
  <c r="W95" i="40"/>
  <c r="W96" i="40"/>
  <c r="W97" i="40"/>
  <c r="W98" i="40"/>
  <c r="W99" i="40"/>
  <c r="W100" i="40"/>
  <c r="W101" i="40"/>
  <c r="W102" i="40"/>
  <c r="W103" i="40"/>
  <c r="W104" i="40"/>
  <c r="W105" i="40"/>
  <c r="W106" i="40"/>
  <c r="W107" i="40"/>
  <c r="W108" i="40"/>
  <c r="W109" i="40"/>
  <c r="W110" i="40"/>
  <c r="W111" i="40"/>
  <c r="W112" i="40"/>
  <c r="W113" i="40"/>
  <c r="W114" i="40"/>
  <c r="W115" i="40"/>
  <c r="W116" i="40"/>
  <c r="W2" i="40"/>
  <c r="H15" i="46"/>
  <c r="H14" i="46"/>
  <c r="H13" i="46"/>
  <c r="F15" i="46"/>
  <c r="F14" i="46"/>
  <c r="F13" i="46"/>
  <c r="G15" i="46"/>
  <c r="G14" i="46"/>
  <c r="G13" i="46"/>
  <c r="E15" i="46"/>
  <c r="E14" i="46"/>
  <c r="E13" i="46"/>
  <c r="D15" i="46"/>
  <c r="D14" i="46"/>
  <c r="D13" i="46"/>
  <c r="C15" i="46"/>
  <c r="C14" i="46"/>
  <c r="C13" i="46"/>
  <c r="H9" i="46"/>
  <c r="G9" i="46"/>
  <c r="F9" i="46"/>
  <c r="E9" i="46"/>
  <c r="C9" i="46"/>
  <c r="G12" i="46"/>
  <c r="F12" i="46"/>
  <c r="H11" i="46"/>
  <c r="E10" i="46"/>
  <c r="I61" i="42"/>
  <c r="I61" i="45"/>
  <c r="I61" i="44"/>
  <c r="I61" i="43"/>
  <c r="I61" i="41"/>
  <c r="D9" i="46" s="1"/>
  <c r="N2" i="45"/>
  <c r="H12" i="46" s="1"/>
  <c r="L2" i="45"/>
  <c r="J2" i="45"/>
  <c r="H10" i="46" s="1"/>
  <c r="N53" i="44"/>
  <c r="L53" i="44"/>
  <c r="J53" i="44"/>
  <c r="N52" i="44"/>
  <c r="L52" i="44"/>
  <c r="J52" i="44"/>
  <c r="N51" i="44"/>
  <c r="L51" i="44"/>
  <c r="J51" i="44"/>
  <c r="N50" i="44"/>
  <c r="L50" i="44"/>
  <c r="J50" i="44"/>
  <c r="N49" i="44"/>
  <c r="L49" i="44"/>
  <c r="J49" i="44"/>
  <c r="N48" i="44"/>
  <c r="L48" i="44"/>
  <c r="J48" i="44"/>
  <c r="N47" i="44"/>
  <c r="L47" i="44"/>
  <c r="J47" i="44"/>
  <c r="N46" i="44"/>
  <c r="L46" i="44"/>
  <c r="J46" i="44"/>
  <c r="N45" i="44"/>
  <c r="L45" i="44"/>
  <c r="J45" i="44"/>
  <c r="N44" i="44"/>
  <c r="L44" i="44"/>
  <c r="J44" i="44"/>
  <c r="N43" i="44"/>
  <c r="L43" i="44"/>
  <c r="J43" i="44"/>
  <c r="N42" i="44"/>
  <c r="L42" i="44"/>
  <c r="J42" i="44"/>
  <c r="N41" i="44"/>
  <c r="L41" i="44"/>
  <c r="J41" i="44"/>
  <c r="N40" i="44"/>
  <c r="L40" i="44"/>
  <c r="J40" i="44"/>
  <c r="N39" i="44"/>
  <c r="L39" i="44"/>
  <c r="J39" i="44"/>
  <c r="N38" i="44"/>
  <c r="L38" i="44"/>
  <c r="J38" i="44"/>
  <c r="N37" i="44"/>
  <c r="L37" i="44"/>
  <c r="J37" i="44"/>
  <c r="N36" i="44"/>
  <c r="L36" i="44"/>
  <c r="J36" i="44"/>
  <c r="N35" i="44"/>
  <c r="L35" i="44"/>
  <c r="J35" i="44"/>
  <c r="N34" i="44"/>
  <c r="L34" i="44"/>
  <c r="J34" i="44"/>
  <c r="N33" i="44"/>
  <c r="L33" i="44"/>
  <c r="J33" i="44"/>
  <c r="N32" i="44"/>
  <c r="L32" i="44"/>
  <c r="J32" i="44"/>
  <c r="N31" i="44"/>
  <c r="L31" i="44"/>
  <c r="J31" i="44"/>
  <c r="N30" i="44"/>
  <c r="L30" i="44"/>
  <c r="J30" i="44"/>
  <c r="N29" i="44"/>
  <c r="L29" i="44"/>
  <c r="J29" i="44"/>
  <c r="N28" i="44"/>
  <c r="L28" i="44"/>
  <c r="J28" i="44"/>
  <c r="N27" i="44"/>
  <c r="L27" i="44"/>
  <c r="J27" i="44"/>
  <c r="N26" i="44"/>
  <c r="L26" i="44"/>
  <c r="J26" i="44"/>
  <c r="N25" i="44"/>
  <c r="L25" i="44"/>
  <c r="J25" i="44"/>
  <c r="N24" i="44"/>
  <c r="L24" i="44"/>
  <c r="J24" i="44"/>
  <c r="N23" i="44"/>
  <c r="L23" i="44"/>
  <c r="J23" i="44"/>
  <c r="N22" i="44"/>
  <c r="L22" i="44"/>
  <c r="J22" i="44"/>
  <c r="N21" i="44"/>
  <c r="L21" i="44"/>
  <c r="J21" i="44"/>
  <c r="N20" i="44"/>
  <c r="L20" i="44"/>
  <c r="J20" i="44"/>
  <c r="N19" i="44"/>
  <c r="L19" i="44"/>
  <c r="J19" i="44"/>
  <c r="N18" i="44"/>
  <c r="L18" i="44"/>
  <c r="J18" i="44"/>
  <c r="N17" i="44"/>
  <c r="L17" i="44"/>
  <c r="J17" i="44"/>
  <c r="N16" i="44"/>
  <c r="L16" i="44"/>
  <c r="J16" i="44"/>
  <c r="N15" i="44"/>
  <c r="L15" i="44"/>
  <c r="J15" i="44"/>
  <c r="N14" i="44"/>
  <c r="L14" i="44"/>
  <c r="J14" i="44"/>
  <c r="N13" i="44"/>
  <c r="L13" i="44"/>
  <c r="J13" i="44"/>
  <c r="N12" i="44"/>
  <c r="L12" i="44"/>
  <c r="J12" i="44"/>
  <c r="N11" i="44"/>
  <c r="L11" i="44"/>
  <c r="J11" i="44"/>
  <c r="N10" i="44"/>
  <c r="L10" i="44"/>
  <c r="J10" i="44"/>
  <c r="N9" i="44"/>
  <c r="L9" i="44"/>
  <c r="J9" i="44"/>
  <c r="N8" i="44"/>
  <c r="L8" i="44"/>
  <c r="J8" i="44"/>
  <c r="N7" i="44"/>
  <c r="L7" i="44"/>
  <c r="J7" i="44"/>
  <c r="N6" i="44"/>
  <c r="L6" i="44"/>
  <c r="J6" i="44"/>
  <c r="N5" i="44"/>
  <c r="L5" i="44"/>
  <c r="J5" i="44"/>
  <c r="N4" i="44"/>
  <c r="L4" i="44"/>
  <c r="J4" i="44"/>
  <c r="N3" i="44"/>
  <c r="L3" i="44"/>
  <c r="J3" i="44"/>
  <c r="N2" i="44"/>
  <c r="L2" i="44"/>
  <c r="G11" i="46" s="1"/>
  <c r="J2" i="44"/>
  <c r="G10" i="46" s="1"/>
  <c r="N57" i="43"/>
  <c r="L57" i="43"/>
  <c r="J57" i="43"/>
  <c r="N56" i="43"/>
  <c r="L56" i="43"/>
  <c r="J56" i="43"/>
  <c r="N55" i="43"/>
  <c r="L55" i="43"/>
  <c r="J55" i="43"/>
  <c r="N54" i="43"/>
  <c r="L54" i="43"/>
  <c r="J54" i="43"/>
  <c r="N53" i="43"/>
  <c r="L53" i="43"/>
  <c r="J53" i="43"/>
  <c r="N52" i="43"/>
  <c r="L52" i="43"/>
  <c r="J52" i="43"/>
  <c r="N51" i="43"/>
  <c r="L51" i="43"/>
  <c r="J51" i="43"/>
  <c r="N50" i="43"/>
  <c r="L50" i="43"/>
  <c r="J50" i="43"/>
  <c r="N49" i="43"/>
  <c r="L49" i="43"/>
  <c r="J49" i="43"/>
  <c r="N48" i="43"/>
  <c r="L48" i="43"/>
  <c r="J48" i="43"/>
  <c r="N47" i="43"/>
  <c r="L47" i="43"/>
  <c r="J47" i="43"/>
  <c r="N46" i="43"/>
  <c r="L46" i="43"/>
  <c r="J46" i="43"/>
  <c r="N45" i="43"/>
  <c r="L45" i="43"/>
  <c r="J45" i="43"/>
  <c r="N44" i="43"/>
  <c r="L44" i="43"/>
  <c r="J44" i="43"/>
  <c r="N43" i="43"/>
  <c r="L43" i="43"/>
  <c r="J43" i="43"/>
  <c r="N42" i="43"/>
  <c r="L42" i="43"/>
  <c r="J42" i="43"/>
  <c r="N41" i="43"/>
  <c r="L41" i="43"/>
  <c r="J41" i="43"/>
  <c r="N40" i="43"/>
  <c r="L40" i="43"/>
  <c r="J40" i="43"/>
  <c r="N39" i="43"/>
  <c r="L39" i="43"/>
  <c r="J39" i="43"/>
  <c r="N38" i="43"/>
  <c r="L38" i="43"/>
  <c r="J38" i="43"/>
  <c r="N37" i="43"/>
  <c r="L37" i="43"/>
  <c r="J37" i="43"/>
  <c r="N36" i="43"/>
  <c r="L36" i="43"/>
  <c r="J36" i="43"/>
  <c r="N35" i="43"/>
  <c r="L35" i="43"/>
  <c r="J35" i="43"/>
  <c r="N34" i="43"/>
  <c r="L34" i="43"/>
  <c r="J34" i="43"/>
  <c r="N33" i="43"/>
  <c r="L33" i="43"/>
  <c r="J33" i="43"/>
  <c r="N32" i="43"/>
  <c r="L32" i="43"/>
  <c r="J32" i="43"/>
  <c r="N31" i="43"/>
  <c r="L31" i="43"/>
  <c r="J31" i="43"/>
  <c r="N30" i="43"/>
  <c r="L30" i="43"/>
  <c r="J30" i="43"/>
  <c r="N29" i="43"/>
  <c r="L29" i="43"/>
  <c r="J29" i="43"/>
  <c r="N28" i="43"/>
  <c r="L28" i="43"/>
  <c r="J28" i="43"/>
  <c r="N27" i="43"/>
  <c r="L27" i="43"/>
  <c r="J27" i="43"/>
  <c r="N26" i="43"/>
  <c r="L26" i="43"/>
  <c r="J26" i="43"/>
  <c r="N25" i="43"/>
  <c r="L25" i="43"/>
  <c r="J25" i="43"/>
  <c r="N24" i="43"/>
  <c r="L24" i="43"/>
  <c r="J24" i="43"/>
  <c r="N23" i="43"/>
  <c r="L23" i="43"/>
  <c r="J23" i="43"/>
  <c r="N22" i="43"/>
  <c r="L22" i="43"/>
  <c r="J22" i="43"/>
  <c r="N21" i="43"/>
  <c r="L21" i="43"/>
  <c r="J21" i="43"/>
  <c r="N20" i="43"/>
  <c r="L20" i="43"/>
  <c r="J20" i="43"/>
  <c r="N19" i="43"/>
  <c r="L19" i="43"/>
  <c r="J19" i="43"/>
  <c r="N18" i="43"/>
  <c r="L18" i="43"/>
  <c r="J18" i="43"/>
  <c r="N17" i="43"/>
  <c r="L17" i="43"/>
  <c r="J17" i="43"/>
  <c r="N16" i="43"/>
  <c r="L16" i="43"/>
  <c r="J16" i="43"/>
  <c r="N15" i="43"/>
  <c r="L15" i="43"/>
  <c r="J15" i="43"/>
  <c r="N14" i="43"/>
  <c r="L14" i="43"/>
  <c r="J14" i="43"/>
  <c r="N13" i="43"/>
  <c r="L13" i="43"/>
  <c r="J13" i="43"/>
  <c r="N12" i="43"/>
  <c r="L12" i="43"/>
  <c r="J12" i="43"/>
  <c r="N11" i="43"/>
  <c r="L11" i="43"/>
  <c r="J11" i="43"/>
  <c r="N10" i="43"/>
  <c r="L10" i="43"/>
  <c r="J10" i="43"/>
  <c r="N9" i="43"/>
  <c r="L9" i="43"/>
  <c r="J9" i="43"/>
  <c r="N8" i="43"/>
  <c r="L8" i="43"/>
  <c r="J8" i="43"/>
  <c r="N7" i="43"/>
  <c r="L7" i="43"/>
  <c r="J7" i="43"/>
  <c r="N6" i="43"/>
  <c r="L6" i="43"/>
  <c r="J6" i="43"/>
  <c r="N5" i="43"/>
  <c r="L5" i="43"/>
  <c r="J5" i="43"/>
  <c r="N4" i="43"/>
  <c r="L4" i="43"/>
  <c r="J4" i="43"/>
  <c r="N3" i="43"/>
  <c r="L3" i="43"/>
  <c r="J3" i="43"/>
  <c r="N2" i="43"/>
  <c r="L2" i="43"/>
  <c r="F11" i="46" s="1"/>
  <c r="J2" i="43"/>
  <c r="F10" i="46" s="1"/>
  <c r="N57" i="42"/>
  <c r="L57" i="42"/>
  <c r="J57" i="42"/>
  <c r="N56" i="42"/>
  <c r="L56" i="42"/>
  <c r="J56" i="42"/>
  <c r="N55" i="42"/>
  <c r="L55" i="42"/>
  <c r="J55" i="42"/>
  <c r="N54" i="42"/>
  <c r="L54" i="42"/>
  <c r="J54" i="42"/>
  <c r="N53" i="42"/>
  <c r="L53" i="42"/>
  <c r="J53" i="42"/>
  <c r="N52" i="42"/>
  <c r="L52" i="42"/>
  <c r="J52" i="42"/>
  <c r="N51" i="42"/>
  <c r="L51" i="42"/>
  <c r="J51" i="42"/>
  <c r="N50" i="42"/>
  <c r="L50" i="42"/>
  <c r="J50" i="42"/>
  <c r="N49" i="42"/>
  <c r="L49" i="42"/>
  <c r="J49" i="42"/>
  <c r="N48" i="42"/>
  <c r="L48" i="42"/>
  <c r="J48" i="42"/>
  <c r="N47" i="42"/>
  <c r="L47" i="42"/>
  <c r="J47" i="42"/>
  <c r="N46" i="42"/>
  <c r="L46" i="42"/>
  <c r="J46" i="42"/>
  <c r="N45" i="42"/>
  <c r="L45" i="42"/>
  <c r="J45" i="42"/>
  <c r="N44" i="42"/>
  <c r="L44" i="42"/>
  <c r="J44" i="42"/>
  <c r="N43" i="42"/>
  <c r="L43" i="42"/>
  <c r="J43" i="42"/>
  <c r="N42" i="42"/>
  <c r="L42" i="42"/>
  <c r="J42" i="42"/>
  <c r="N41" i="42"/>
  <c r="L41" i="42"/>
  <c r="J41" i="42"/>
  <c r="N40" i="42"/>
  <c r="L40" i="42"/>
  <c r="J40" i="42"/>
  <c r="N39" i="42"/>
  <c r="L39" i="42"/>
  <c r="J39" i="42"/>
  <c r="N38" i="42"/>
  <c r="L38" i="42"/>
  <c r="J38" i="42"/>
  <c r="N37" i="42"/>
  <c r="L37" i="42"/>
  <c r="J37" i="42"/>
  <c r="N36" i="42"/>
  <c r="L36" i="42"/>
  <c r="J36" i="42"/>
  <c r="N35" i="42"/>
  <c r="L35" i="42"/>
  <c r="J35" i="42"/>
  <c r="N34" i="42"/>
  <c r="L34" i="42"/>
  <c r="J34" i="42"/>
  <c r="N33" i="42"/>
  <c r="L33" i="42"/>
  <c r="J33" i="42"/>
  <c r="N32" i="42"/>
  <c r="L32" i="42"/>
  <c r="J32" i="42"/>
  <c r="N31" i="42"/>
  <c r="L31" i="42"/>
  <c r="J31" i="42"/>
  <c r="N30" i="42"/>
  <c r="L30" i="42"/>
  <c r="J30" i="42"/>
  <c r="N29" i="42"/>
  <c r="L29" i="42"/>
  <c r="J29" i="42"/>
  <c r="N28" i="42"/>
  <c r="L28" i="42"/>
  <c r="J28" i="42"/>
  <c r="N27" i="42"/>
  <c r="L27" i="42"/>
  <c r="J27" i="42"/>
  <c r="N26" i="42"/>
  <c r="L26" i="42"/>
  <c r="J26" i="42"/>
  <c r="N25" i="42"/>
  <c r="L25" i="42"/>
  <c r="J25" i="42"/>
  <c r="N24" i="42"/>
  <c r="L24" i="42"/>
  <c r="J24" i="42"/>
  <c r="N23" i="42"/>
  <c r="L23" i="42"/>
  <c r="J23" i="42"/>
  <c r="N22" i="42"/>
  <c r="L22" i="42"/>
  <c r="J22" i="42"/>
  <c r="N21" i="42"/>
  <c r="L21" i="42"/>
  <c r="J21" i="42"/>
  <c r="N20" i="42"/>
  <c r="L20" i="42"/>
  <c r="J20" i="42"/>
  <c r="N19" i="42"/>
  <c r="L19" i="42"/>
  <c r="J19" i="42"/>
  <c r="N18" i="42"/>
  <c r="L18" i="42"/>
  <c r="J18" i="42"/>
  <c r="N17" i="42"/>
  <c r="L17" i="42"/>
  <c r="J17" i="42"/>
  <c r="N16" i="42"/>
  <c r="L16" i="42"/>
  <c r="J16" i="42"/>
  <c r="N15" i="42"/>
  <c r="L15" i="42"/>
  <c r="J15" i="42"/>
  <c r="N14" i="42"/>
  <c r="L14" i="42"/>
  <c r="J14" i="42"/>
  <c r="N13" i="42"/>
  <c r="L13" i="42"/>
  <c r="J13" i="42"/>
  <c r="N12" i="42"/>
  <c r="L12" i="42"/>
  <c r="J12" i="42"/>
  <c r="N11" i="42"/>
  <c r="L11" i="42"/>
  <c r="J11" i="42"/>
  <c r="N10" i="42"/>
  <c r="L10" i="42"/>
  <c r="J10" i="42"/>
  <c r="N9" i="42"/>
  <c r="L9" i="42"/>
  <c r="J9" i="42"/>
  <c r="N8" i="42"/>
  <c r="L8" i="42"/>
  <c r="J8" i="42"/>
  <c r="N7" i="42"/>
  <c r="L7" i="42"/>
  <c r="J7" i="42"/>
  <c r="N6" i="42"/>
  <c r="L6" i="42"/>
  <c r="J6" i="42"/>
  <c r="N5" i="42"/>
  <c r="L5" i="42"/>
  <c r="J5" i="42"/>
  <c r="N4" i="42"/>
  <c r="L4" i="42"/>
  <c r="J4" i="42"/>
  <c r="N3" i="42"/>
  <c r="L3" i="42"/>
  <c r="J3" i="42"/>
  <c r="N2" i="42"/>
  <c r="E12" i="46" s="1"/>
  <c r="L2" i="42"/>
  <c r="E11" i="46" s="1"/>
  <c r="J2" i="42"/>
  <c r="N58" i="41"/>
  <c r="L58" i="41"/>
  <c r="J58" i="41"/>
  <c r="N57" i="41"/>
  <c r="L57" i="41"/>
  <c r="J57" i="41"/>
  <c r="N56" i="41"/>
  <c r="L56" i="41"/>
  <c r="J56" i="41"/>
  <c r="N55" i="41"/>
  <c r="L55" i="41"/>
  <c r="J55" i="41"/>
  <c r="N54" i="41"/>
  <c r="L54" i="41"/>
  <c r="J54" i="41"/>
  <c r="N53" i="41"/>
  <c r="L53" i="41"/>
  <c r="J53" i="41"/>
  <c r="N52" i="41"/>
  <c r="L52" i="41"/>
  <c r="J52" i="41"/>
  <c r="N51" i="41"/>
  <c r="L51" i="41"/>
  <c r="J51" i="41"/>
  <c r="N50" i="41"/>
  <c r="L50" i="41"/>
  <c r="J50" i="41"/>
  <c r="N49" i="41"/>
  <c r="L49" i="41"/>
  <c r="J49" i="41"/>
  <c r="N48" i="41"/>
  <c r="L48" i="41"/>
  <c r="J48" i="41"/>
  <c r="N47" i="41"/>
  <c r="L47" i="41"/>
  <c r="J47" i="41"/>
  <c r="N46" i="41"/>
  <c r="L46" i="41"/>
  <c r="J46" i="41"/>
  <c r="N45" i="41"/>
  <c r="L45" i="41"/>
  <c r="J45" i="41"/>
  <c r="N44" i="41"/>
  <c r="L44" i="41"/>
  <c r="J44" i="41"/>
  <c r="N43" i="41"/>
  <c r="L43" i="41"/>
  <c r="J43" i="41"/>
  <c r="N42" i="41"/>
  <c r="L42" i="41"/>
  <c r="J42" i="41"/>
  <c r="N41" i="41"/>
  <c r="L41" i="41"/>
  <c r="J41" i="41"/>
  <c r="N40" i="41"/>
  <c r="L40" i="41"/>
  <c r="J40" i="41"/>
  <c r="N39" i="41"/>
  <c r="L39" i="41"/>
  <c r="J39" i="41"/>
  <c r="N38" i="41"/>
  <c r="L38" i="41"/>
  <c r="J38" i="41"/>
  <c r="N37" i="41"/>
  <c r="L37" i="41"/>
  <c r="J37" i="41"/>
  <c r="N36" i="41"/>
  <c r="L36" i="41"/>
  <c r="J36" i="41"/>
  <c r="N35" i="41"/>
  <c r="L35" i="41"/>
  <c r="J35" i="41"/>
  <c r="N34" i="41"/>
  <c r="L34" i="41"/>
  <c r="J34" i="41"/>
  <c r="N33" i="41"/>
  <c r="L33" i="41"/>
  <c r="J33" i="41"/>
  <c r="N32" i="41"/>
  <c r="L32" i="41"/>
  <c r="J32" i="41"/>
  <c r="N31" i="41"/>
  <c r="L31" i="41"/>
  <c r="J31" i="41"/>
  <c r="N30" i="41"/>
  <c r="L30" i="41"/>
  <c r="J30" i="41"/>
  <c r="N29" i="41"/>
  <c r="L29" i="41"/>
  <c r="J29" i="41"/>
  <c r="N28" i="41"/>
  <c r="L28" i="41"/>
  <c r="J28" i="41"/>
  <c r="N27" i="41"/>
  <c r="L27" i="41"/>
  <c r="J27" i="41"/>
  <c r="N26" i="41"/>
  <c r="L26" i="41"/>
  <c r="J26" i="41"/>
  <c r="N25" i="41"/>
  <c r="L25" i="41"/>
  <c r="J25" i="41"/>
  <c r="N24" i="41"/>
  <c r="L24" i="41"/>
  <c r="J24" i="41"/>
  <c r="N23" i="41"/>
  <c r="L23" i="41"/>
  <c r="J23" i="41"/>
  <c r="N22" i="41"/>
  <c r="L22" i="41"/>
  <c r="J22" i="41"/>
  <c r="N21" i="41"/>
  <c r="L21" i="41"/>
  <c r="J21" i="41"/>
  <c r="N20" i="41"/>
  <c r="L20" i="41"/>
  <c r="J20" i="41"/>
  <c r="N19" i="41"/>
  <c r="L19" i="41"/>
  <c r="J19" i="41"/>
  <c r="N18" i="41"/>
  <c r="L18" i="41"/>
  <c r="J18" i="41"/>
  <c r="N17" i="41"/>
  <c r="L17" i="41"/>
  <c r="J17" i="41"/>
  <c r="N16" i="41"/>
  <c r="L16" i="41"/>
  <c r="J16" i="41"/>
  <c r="N15" i="41"/>
  <c r="L15" i="41"/>
  <c r="J15" i="41"/>
  <c r="N14" i="41"/>
  <c r="L14" i="41"/>
  <c r="J14" i="41"/>
  <c r="N13" i="41"/>
  <c r="L13" i="41"/>
  <c r="J13" i="41"/>
  <c r="N12" i="41"/>
  <c r="L12" i="41"/>
  <c r="J12" i="41"/>
  <c r="N11" i="41"/>
  <c r="L11" i="41"/>
  <c r="J11" i="41"/>
  <c r="N10" i="41"/>
  <c r="L10" i="41"/>
  <c r="J10" i="41"/>
  <c r="N9" i="41"/>
  <c r="L9" i="41"/>
  <c r="J9" i="41"/>
  <c r="N8" i="41"/>
  <c r="L8" i="41"/>
  <c r="J8" i="41"/>
  <c r="N7" i="41"/>
  <c r="L7" i="41"/>
  <c r="J7" i="41"/>
  <c r="N6" i="41"/>
  <c r="L6" i="41"/>
  <c r="J6" i="41"/>
  <c r="N5" i="41"/>
  <c r="L5" i="41"/>
  <c r="J5" i="41"/>
  <c r="N4" i="41"/>
  <c r="L4" i="41"/>
  <c r="J4" i="41"/>
  <c r="N3" i="41"/>
  <c r="L3" i="41"/>
  <c r="J3" i="41"/>
  <c r="N2" i="41"/>
  <c r="D12" i="46" s="1"/>
  <c r="L2" i="41"/>
  <c r="D11" i="46" s="1"/>
  <c r="J2" i="41"/>
  <c r="D10" i="46" s="1"/>
  <c r="I61" i="40"/>
  <c r="J3" i="40"/>
  <c r="L3" i="40"/>
  <c r="N3" i="40"/>
  <c r="J4" i="40"/>
  <c r="L4" i="40"/>
  <c r="N4" i="40"/>
  <c r="J5" i="40"/>
  <c r="L5" i="40"/>
  <c r="N5" i="40"/>
  <c r="J6" i="40"/>
  <c r="L6" i="40"/>
  <c r="N6" i="40"/>
  <c r="J7" i="40"/>
  <c r="L7" i="40"/>
  <c r="N7" i="40"/>
  <c r="J8" i="40"/>
  <c r="L8" i="40"/>
  <c r="N8" i="40"/>
  <c r="J9" i="40"/>
  <c r="L9" i="40"/>
  <c r="N9" i="40"/>
  <c r="J10" i="40"/>
  <c r="L10" i="40"/>
  <c r="N10" i="40"/>
  <c r="J11" i="40"/>
  <c r="L11" i="40"/>
  <c r="N11" i="40"/>
  <c r="J12" i="40"/>
  <c r="L12" i="40"/>
  <c r="N12" i="40"/>
  <c r="J13" i="40"/>
  <c r="L13" i="40"/>
  <c r="N13" i="40"/>
  <c r="J14" i="40"/>
  <c r="L14" i="40"/>
  <c r="N14" i="40"/>
  <c r="J15" i="40"/>
  <c r="L15" i="40"/>
  <c r="N15" i="40"/>
  <c r="J16" i="40"/>
  <c r="L16" i="40"/>
  <c r="N16" i="40"/>
  <c r="J17" i="40"/>
  <c r="L17" i="40"/>
  <c r="N17" i="40"/>
  <c r="J18" i="40"/>
  <c r="L18" i="40"/>
  <c r="N18" i="40"/>
  <c r="J19" i="40"/>
  <c r="L19" i="40"/>
  <c r="N19" i="40"/>
  <c r="J20" i="40"/>
  <c r="L20" i="40"/>
  <c r="N20" i="40"/>
  <c r="J21" i="40"/>
  <c r="L21" i="40"/>
  <c r="N21" i="40"/>
  <c r="J22" i="40"/>
  <c r="L22" i="40"/>
  <c r="N22" i="40"/>
  <c r="J23" i="40"/>
  <c r="L23" i="40"/>
  <c r="N23" i="40"/>
  <c r="J24" i="40"/>
  <c r="L24" i="40"/>
  <c r="N24" i="40"/>
  <c r="J25" i="40"/>
  <c r="L25" i="40"/>
  <c r="N25" i="40"/>
  <c r="J26" i="40"/>
  <c r="L26" i="40"/>
  <c r="N26" i="40"/>
  <c r="J27" i="40"/>
  <c r="L27" i="40"/>
  <c r="N27" i="40"/>
  <c r="J28" i="40"/>
  <c r="L28" i="40"/>
  <c r="N28" i="40"/>
  <c r="J29" i="40"/>
  <c r="L29" i="40"/>
  <c r="N29" i="40"/>
  <c r="J30" i="40"/>
  <c r="L30" i="40"/>
  <c r="N30" i="40"/>
  <c r="J31" i="40"/>
  <c r="L31" i="40"/>
  <c r="N31" i="40"/>
  <c r="J32" i="40"/>
  <c r="L32" i="40"/>
  <c r="N32" i="40"/>
  <c r="J33" i="40"/>
  <c r="L33" i="40"/>
  <c r="N33" i="40"/>
  <c r="J34" i="40"/>
  <c r="L34" i="40"/>
  <c r="N34" i="40"/>
  <c r="J35" i="40"/>
  <c r="L35" i="40"/>
  <c r="N35" i="40"/>
  <c r="J36" i="40"/>
  <c r="L36" i="40"/>
  <c r="N36" i="40"/>
  <c r="J37" i="40"/>
  <c r="L37" i="40"/>
  <c r="N37" i="40"/>
  <c r="J38" i="40"/>
  <c r="L38" i="40"/>
  <c r="N38" i="40"/>
  <c r="J39" i="40"/>
  <c r="L39" i="40"/>
  <c r="N39" i="40"/>
  <c r="J40" i="40"/>
  <c r="L40" i="40"/>
  <c r="N40" i="40"/>
  <c r="J41" i="40"/>
  <c r="L41" i="40"/>
  <c r="N41" i="40"/>
  <c r="J42" i="40"/>
  <c r="L42" i="40"/>
  <c r="N42" i="40"/>
  <c r="J43" i="40"/>
  <c r="L43" i="40"/>
  <c r="N43" i="40"/>
  <c r="J44" i="40"/>
  <c r="L44" i="40"/>
  <c r="N44" i="40"/>
  <c r="J45" i="40"/>
  <c r="L45" i="40"/>
  <c r="N45" i="40"/>
  <c r="J46" i="40"/>
  <c r="L46" i="40"/>
  <c r="N46" i="40"/>
  <c r="J47" i="40"/>
  <c r="L47" i="40"/>
  <c r="N47" i="40"/>
  <c r="J48" i="40"/>
  <c r="L48" i="40"/>
  <c r="N48" i="40"/>
  <c r="J49" i="40"/>
  <c r="L49" i="40"/>
  <c r="N49" i="40"/>
  <c r="J50" i="40"/>
  <c r="L50" i="40"/>
  <c r="N50" i="40"/>
  <c r="J51" i="40"/>
  <c r="L51" i="40"/>
  <c r="N51" i="40"/>
  <c r="J52" i="40"/>
  <c r="L52" i="40"/>
  <c r="N52" i="40"/>
  <c r="J53" i="40"/>
  <c r="L53" i="40"/>
  <c r="N53" i="40"/>
  <c r="J54" i="40"/>
  <c r="L54" i="40"/>
  <c r="N54" i="40"/>
  <c r="J55" i="40"/>
  <c r="L55" i="40"/>
  <c r="N55" i="40"/>
  <c r="J56" i="40"/>
  <c r="L56" i="40"/>
  <c r="N56" i="40"/>
  <c r="J57" i="40"/>
  <c r="L57" i="40"/>
  <c r="N57" i="40"/>
  <c r="J58" i="40"/>
  <c r="L58" i="40"/>
  <c r="N58" i="40"/>
  <c r="N2" i="40"/>
  <c r="C12" i="46" s="1"/>
  <c r="L2" i="40"/>
  <c r="C11" i="46" s="1"/>
  <c r="J2" i="40"/>
  <c r="C10" i="46" s="1"/>
  <c r="AB3" i="39"/>
  <c r="AC3" i="39"/>
  <c r="AD3" i="39"/>
  <c r="AE3" i="39"/>
  <c r="AF3" i="39"/>
  <c r="AG3" i="39"/>
  <c r="AB4" i="39"/>
  <c r="AC4" i="39"/>
  <c r="AD4" i="39"/>
  <c r="AE4" i="39"/>
  <c r="AF4" i="39"/>
  <c r="AG4" i="39"/>
  <c r="AB5" i="39"/>
  <c r="AC5" i="39"/>
  <c r="AD5" i="39"/>
  <c r="AE5" i="39"/>
  <c r="AF5" i="39"/>
  <c r="AG5" i="39"/>
  <c r="AB6" i="39"/>
  <c r="AC6" i="39"/>
  <c r="AD6" i="39"/>
  <c r="AE6" i="39"/>
  <c r="AF6" i="39"/>
  <c r="AG6" i="39"/>
  <c r="AB7" i="39"/>
  <c r="AC7" i="39"/>
  <c r="AD7" i="39"/>
  <c r="AE7" i="39"/>
  <c r="AF7" i="39"/>
  <c r="AG7" i="39"/>
  <c r="AB8" i="39"/>
  <c r="AC8" i="39"/>
  <c r="AD8" i="39"/>
  <c r="AE8" i="39"/>
  <c r="AF8" i="39"/>
  <c r="AG8" i="39"/>
  <c r="AB9" i="39"/>
  <c r="AC9" i="39"/>
  <c r="AD9" i="39"/>
  <c r="AE9" i="39"/>
  <c r="AF9" i="39"/>
  <c r="AG9" i="39"/>
  <c r="AB10" i="39"/>
  <c r="AC10" i="39"/>
  <c r="AD10" i="39"/>
  <c r="AE10" i="39"/>
  <c r="AF10" i="39"/>
  <c r="AG10" i="39"/>
  <c r="AB11" i="39"/>
  <c r="AC11" i="39"/>
  <c r="AD11" i="39"/>
  <c r="AE11" i="39"/>
  <c r="AF11" i="39"/>
  <c r="AG11" i="39"/>
  <c r="AB12" i="39"/>
  <c r="AC12" i="39"/>
  <c r="AD12" i="39"/>
  <c r="AE12" i="39"/>
  <c r="AF12" i="39"/>
  <c r="AG12" i="39"/>
  <c r="AB13" i="39"/>
  <c r="AC13" i="39"/>
  <c r="AD13" i="39"/>
  <c r="AE13" i="39"/>
  <c r="AF13" i="39"/>
  <c r="AG13" i="39"/>
  <c r="AB14" i="39"/>
  <c r="AC14" i="39"/>
  <c r="AD14" i="39"/>
  <c r="AE14" i="39"/>
  <c r="AF14" i="39"/>
  <c r="AG14" i="39"/>
  <c r="AB15" i="39"/>
  <c r="AC15" i="39"/>
  <c r="AD15" i="39"/>
  <c r="AE15" i="39"/>
  <c r="AF15" i="39"/>
  <c r="AG15" i="39"/>
  <c r="AB16" i="39"/>
  <c r="AC16" i="39"/>
  <c r="AD16" i="39"/>
  <c r="AE16" i="39"/>
  <c r="AF16" i="39"/>
  <c r="AG16" i="39"/>
  <c r="AB17" i="39"/>
  <c r="AC17" i="39"/>
  <c r="AD17" i="39"/>
  <c r="AE17" i="39"/>
  <c r="AF17" i="39"/>
  <c r="AG17" i="39"/>
  <c r="AB18" i="39"/>
  <c r="AC18" i="39"/>
  <c r="AD18" i="39"/>
  <c r="AE18" i="39"/>
  <c r="AF18" i="39"/>
  <c r="AG18" i="39"/>
  <c r="AB19" i="39"/>
  <c r="AC19" i="39"/>
  <c r="AD19" i="39"/>
  <c r="AE19" i="39"/>
  <c r="AF19" i="39"/>
  <c r="AG19" i="39"/>
  <c r="AB20" i="39"/>
  <c r="AC20" i="39"/>
  <c r="AD20" i="39"/>
  <c r="AE20" i="39"/>
  <c r="AF20" i="39"/>
  <c r="AG20" i="39"/>
  <c r="AB21" i="39"/>
  <c r="AC21" i="39"/>
  <c r="AD21" i="39"/>
  <c r="AE21" i="39"/>
  <c r="AF21" i="39"/>
  <c r="AG21" i="39"/>
  <c r="AB22" i="39"/>
  <c r="AC22" i="39"/>
  <c r="AD22" i="39"/>
  <c r="AE22" i="39"/>
  <c r="AF22" i="39"/>
  <c r="AG22" i="39"/>
  <c r="AB23" i="39"/>
  <c r="AC23" i="39"/>
  <c r="AD23" i="39"/>
  <c r="AE23" i="39"/>
  <c r="AF23" i="39"/>
  <c r="AG23" i="39"/>
  <c r="AB24" i="39"/>
  <c r="AC24" i="39"/>
  <c r="AD24" i="39"/>
  <c r="AE24" i="39"/>
  <c r="AF24" i="39"/>
  <c r="AG24" i="39"/>
  <c r="AB25" i="39"/>
  <c r="AC25" i="39"/>
  <c r="AD25" i="39"/>
  <c r="AE25" i="39"/>
  <c r="AF25" i="39"/>
  <c r="AG25" i="39"/>
  <c r="AB26" i="39"/>
  <c r="AC26" i="39"/>
  <c r="AD26" i="39"/>
  <c r="AE26" i="39"/>
  <c r="AF26" i="39"/>
  <c r="AG26" i="39"/>
  <c r="AB27" i="39"/>
  <c r="AC27" i="39"/>
  <c r="AD27" i="39"/>
  <c r="AE27" i="39"/>
  <c r="AF27" i="39"/>
  <c r="AG27" i="39"/>
  <c r="AB28" i="39"/>
  <c r="AC28" i="39"/>
  <c r="AD28" i="39"/>
  <c r="AE28" i="39"/>
  <c r="AF28" i="39"/>
  <c r="AG28" i="39"/>
  <c r="AB29" i="39"/>
  <c r="AC29" i="39"/>
  <c r="AD29" i="39"/>
  <c r="AE29" i="39"/>
  <c r="AF29" i="39"/>
  <c r="AG29" i="39"/>
  <c r="AB30" i="39"/>
  <c r="AC30" i="39"/>
  <c r="AD30" i="39"/>
  <c r="AE30" i="39"/>
  <c r="AF30" i="39"/>
  <c r="AG30" i="39"/>
  <c r="AB31" i="39"/>
  <c r="AC31" i="39"/>
  <c r="AD31" i="39"/>
  <c r="AE31" i="39"/>
  <c r="AF31" i="39"/>
  <c r="AG31" i="39"/>
  <c r="AB32" i="39"/>
  <c r="AC32" i="39"/>
  <c r="AD32" i="39"/>
  <c r="AE32" i="39"/>
  <c r="AF32" i="39"/>
  <c r="AG32" i="39"/>
  <c r="AB33" i="39"/>
  <c r="AC33" i="39"/>
  <c r="AD33" i="39"/>
  <c r="AE33" i="39"/>
  <c r="AF33" i="39"/>
  <c r="AG33" i="39"/>
  <c r="AB34" i="39"/>
  <c r="AC34" i="39"/>
  <c r="AD34" i="39"/>
  <c r="AE34" i="39"/>
  <c r="AF34" i="39"/>
  <c r="AG34" i="39"/>
  <c r="AB35" i="39"/>
  <c r="AC35" i="39"/>
  <c r="AD35" i="39"/>
  <c r="AE35" i="39"/>
  <c r="AF35" i="39"/>
  <c r="AG35" i="39"/>
  <c r="AB36" i="39"/>
  <c r="AC36" i="39"/>
  <c r="AD36" i="39"/>
  <c r="AE36" i="39"/>
  <c r="AF36" i="39"/>
  <c r="AG36" i="39"/>
  <c r="AB37" i="39"/>
  <c r="AC37" i="39"/>
  <c r="AD37" i="39"/>
  <c r="AE37" i="39"/>
  <c r="AF37" i="39"/>
  <c r="AG37" i="39"/>
  <c r="AB38" i="39"/>
  <c r="AC38" i="39"/>
  <c r="AD38" i="39"/>
  <c r="AE38" i="39"/>
  <c r="AF38" i="39"/>
  <c r="AG38" i="39"/>
  <c r="AB39" i="39"/>
  <c r="AC39" i="39"/>
  <c r="AD39" i="39"/>
  <c r="AE39" i="39"/>
  <c r="AF39" i="39"/>
  <c r="AG39" i="39"/>
  <c r="AB40" i="39"/>
  <c r="AC40" i="39"/>
  <c r="AD40" i="39"/>
  <c r="AE40" i="39"/>
  <c r="AF40" i="39"/>
  <c r="AG40" i="39"/>
  <c r="AB41" i="39"/>
  <c r="AC41" i="39"/>
  <c r="AD41" i="39"/>
  <c r="AE41" i="39"/>
  <c r="AF41" i="39"/>
  <c r="AG41" i="39"/>
  <c r="AB42" i="39"/>
  <c r="AC42" i="39"/>
  <c r="AD42" i="39"/>
  <c r="AE42" i="39"/>
  <c r="AF42" i="39"/>
  <c r="AG42" i="39"/>
  <c r="AB43" i="39"/>
  <c r="AC43" i="39"/>
  <c r="AD43" i="39"/>
  <c r="AE43" i="39"/>
  <c r="AF43" i="39"/>
  <c r="AG43" i="39"/>
  <c r="AB44" i="39"/>
  <c r="AC44" i="39"/>
  <c r="AD44" i="39"/>
  <c r="AE44" i="39"/>
  <c r="AF44" i="39"/>
  <c r="AG44" i="39"/>
  <c r="AB45" i="39"/>
  <c r="AC45" i="39"/>
  <c r="AD45" i="39"/>
  <c r="AE45" i="39"/>
  <c r="AF45" i="39"/>
  <c r="AG45" i="39"/>
  <c r="AB46" i="39"/>
  <c r="AC46" i="39"/>
  <c r="AD46" i="39"/>
  <c r="AE46" i="39"/>
  <c r="AF46" i="39"/>
  <c r="AG46" i="39"/>
  <c r="AB47" i="39"/>
  <c r="AC47" i="39"/>
  <c r="AD47" i="39"/>
  <c r="AE47" i="39"/>
  <c r="AF47" i="39"/>
  <c r="AG47" i="39"/>
  <c r="AB48" i="39"/>
  <c r="AC48" i="39"/>
  <c r="AD48" i="39"/>
  <c r="AE48" i="39"/>
  <c r="AF48" i="39"/>
  <c r="AG48" i="39"/>
  <c r="AB49" i="39"/>
  <c r="AC49" i="39"/>
  <c r="AD49" i="39"/>
  <c r="AE49" i="39"/>
  <c r="AF49" i="39"/>
  <c r="AG49" i="39"/>
  <c r="AB50" i="39"/>
  <c r="AC50" i="39"/>
  <c r="AD50" i="39"/>
  <c r="AE50" i="39"/>
  <c r="AF50" i="39"/>
  <c r="AG50" i="39"/>
  <c r="AB51" i="39"/>
  <c r="AC51" i="39"/>
  <c r="AD51" i="39"/>
  <c r="AE51" i="39"/>
  <c r="AF51" i="39"/>
  <c r="AG51" i="39"/>
  <c r="AB52" i="39"/>
  <c r="AC52" i="39"/>
  <c r="AD52" i="39"/>
  <c r="AE52" i="39"/>
  <c r="AF52" i="39"/>
  <c r="AG52" i="39"/>
  <c r="AB53" i="39"/>
  <c r="AC53" i="39"/>
  <c r="AD53" i="39"/>
  <c r="AE53" i="39"/>
  <c r="AF53" i="39"/>
  <c r="AG53" i="39"/>
  <c r="AB54" i="39"/>
  <c r="AC54" i="39"/>
  <c r="AD54" i="39"/>
  <c r="AE54" i="39"/>
  <c r="AF54" i="39"/>
  <c r="AG54" i="39"/>
  <c r="AB55" i="39"/>
  <c r="AC55" i="39"/>
  <c r="AD55" i="39"/>
  <c r="AE55" i="39"/>
  <c r="AF55" i="39"/>
  <c r="AG55" i="39"/>
  <c r="AB56" i="39"/>
  <c r="AC56" i="39"/>
  <c r="AD56" i="39"/>
  <c r="AE56" i="39"/>
  <c r="AF56" i="39"/>
  <c r="AG56" i="39"/>
  <c r="AB57" i="39"/>
  <c r="AC57" i="39"/>
  <c r="AD57" i="39"/>
  <c r="AE57" i="39"/>
  <c r="AF57" i="39"/>
  <c r="AG57" i="39"/>
  <c r="AB58" i="39"/>
  <c r="AC58" i="39"/>
  <c r="AD58" i="39"/>
  <c r="AE58" i="39"/>
  <c r="AF58" i="39"/>
  <c r="AG58" i="39"/>
  <c r="AB59" i="39"/>
  <c r="AC59" i="39"/>
  <c r="AD59" i="39"/>
  <c r="AE59" i="39"/>
  <c r="AF59" i="39"/>
  <c r="AG59" i="39"/>
  <c r="AB60" i="39"/>
  <c r="AC60" i="39"/>
  <c r="AD60" i="39"/>
  <c r="AE60" i="39"/>
  <c r="AF60" i="39"/>
  <c r="AG60" i="39"/>
  <c r="AB61" i="39"/>
  <c r="AC61" i="39"/>
  <c r="AD61" i="39"/>
  <c r="AE61" i="39"/>
  <c r="AF61" i="39"/>
  <c r="AG61" i="39"/>
  <c r="AB62" i="39"/>
  <c r="AC62" i="39"/>
  <c r="AD62" i="39"/>
  <c r="AE62" i="39"/>
  <c r="AF62" i="39"/>
  <c r="AG62" i="39"/>
  <c r="AB63" i="39"/>
  <c r="AC63" i="39"/>
  <c r="AD63" i="39"/>
  <c r="AE63" i="39"/>
  <c r="AF63" i="39"/>
  <c r="AG63" i="39"/>
  <c r="AB64" i="39"/>
  <c r="AC64" i="39"/>
  <c r="AD64" i="39"/>
  <c r="AE64" i="39"/>
  <c r="AF64" i="39"/>
  <c r="AG64" i="39"/>
  <c r="AB65" i="39"/>
  <c r="AC65" i="39"/>
  <c r="AD65" i="39"/>
  <c r="AE65" i="39"/>
  <c r="AF65" i="39"/>
  <c r="AG65" i="39"/>
  <c r="AB66" i="39"/>
  <c r="AC66" i="39"/>
  <c r="AD66" i="39"/>
  <c r="AE66" i="39"/>
  <c r="AF66" i="39"/>
  <c r="AG66" i="39"/>
  <c r="AB3" i="37"/>
  <c r="AC3" i="37"/>
  <c r="AD3" i="37"/>
  <c r="AE3" i="37"/>
  <c r="AF3" i="37"/>
  <c r="AG3" i="37"/>
  <c r="AB4" i="37"/>
  <c r="AC4" i="37"/>
  <c r="AD4" i="37"/>
  <c r="AE4" i="37"/>
  <c r="AF4" i="37"/>
  <c r="AG4" i="37"/>
  <c r="AB5" i="37"/>
  <c r="AC5" i="37"/>
  <c r="AD5" i="37"/>
  <c r="AE5" i="37"/>
  <c r="AF5" i="37"/>
  <c r="AG5" i="37"/>
  <c r="AB6" i="37"/>
  <c r="AC6" i="37"/>
  <c r="AD6" i="37"/>
  <c r="AE6" i="37"/>
  <c r="AF6" i="37"/>
  <c r="AG6" i="37"/>
  <c r="AB7" i="37"/>
  <c r="AC7" i="37"/>
  <c r="AD7" i="37"/>
  <c r="AE7" i="37"/>
  <c r="AF7" i="37"/>
  <c r="AG7" i="37"/>
  <c r="AB8" i="37"/>
  <c r="AC8" i="37"/>
  <c r="AD8" i="37"/>
  <c r="AE8" i="37"/>
  <c r="AF8" i="37"/>
  <c r="AG8" i="37"/>
  <c r="AB9" i="37"/>
  <c r="AC9" i="37"/>
  <c r="AD9" i="37"/>
  <c r="AE9" i="37"/>
  <c r="AF9" i="37"/>
  <c r="AG9" i="37"/>
  <c r="AB10" i="37"/>
  <c r="AC10" i="37"/>
  <c r="AD10" i="37"/>
  <c r="AE10" i="37"/>
  <c r="AF10" i="37"/>
  <c r="AG10" i="37"/>
  <c r="AB11" i="37"/>
  <c r="AC11" i="37"/>
  <c r="AD11" i="37"/>
  <c r="AE11" i="37"/>
  <c r="AF11" i="37"/>
  <c r="AG11" i="37"/>
  <c r="AB12" i="37"/>
  <c r="AC12" i="37"/>
  <c r="AD12" i="37"/>
  <c r="AE12" i="37"/>
  <c r="AF12" i="37"/>
  <c r="AG12" i="37"/>
  <c r="AB13" i="37"/>
  <c r="AC13" i="37"/>
  <c r="AD13" i="37"/>
  <c r="AE13" i="37"/>
  <c r="AF13" i="37"/>
  <c r="AG13" i="37"/>
  <c r="AB14" i="37"/>
  <c r="AC14" i="37"/>
  <c r="AD14" i="37"/>
  <c r="AE14" i="37"/>
  <c r="AF14" i="37"/>
  <c r="AG14" i="37"/>
  <c r="AB15" i="37"/>
  <c r="AC15" i="37"/>
  <c r="AD15" i="37"/>
  <c r="AE15" i="37"/>
  <c r="AF15" i="37"/>
  <c r="AG15" i="37"/>
  <c r="AB16" i="37"/>
  <c r="AC16" i="37"/>
  <c r="AD16" i="37"/>
  <c r="AE16" i="37"/>
  <c r="AF16" i="37"/>
  <c r="AG16" i="37"/>
  <c r="AB17" i="37"/>
  <c r="AC17" i="37"/>
  <c r="AD17" i="37"/>
  <c r="AE17" i="37"/>
  <c r="AF17" i="37"/>
  <c r="AG17" i="37"/>
  <c r="AB18" i="37"/>
  <c r="AC18" i="37"/>
  <c r="AD18" i="37"/>
  <c r="AE18" i="37"/>
  <c r="AF18" i="37"/>
  <c r="AG18" i="37"/>
  <c r="AB19" i="37"/>
  <c r="AC19" i="37"/>
  <c r="AD19" i="37"/>
  <c r="AE19" i="37"/>
  <c r="AF19" i="37"/>
  <c r="AG19" i="37"/>
  <c r="AB20" i="37"/>
  <c r="AC20" i="37"/>
  <c r="AD20" i="37"/>
  <c r="AE20" i="37"/>
  <c r="AF20" i="37"/>
  <c r="AG20" i="37"/>
  <c r="AB21" i="37"/>
  <c r="AC21" i="37"/>
  <c r="AD21" i="37"/>
  <c r="AE21" i="37"/>
  <c r="AF21" i="37"/>
  <c r="AG21" i="37"/>
  <c r="AB22" i="37"/>
  <c r="AC22" i="37"/>
  <c r="AD22" i="37"/>
  <c r="AE22" i="37"/>
  <c r="AF22" i="37"/>
  <c r="AG22" i="37"/>
  <c r="AB23" i="37"/>
  <c r="AC23" i="37"/>
  <c r="AD23" i="37"/>
  <c r="AE23" i="37"/>
  <c r="AF23" i="37"/>
  <c r="AG23" i="37"/>
  <c r="AB24" i="37"/>
  <c r="AC24" i="37"/>
  <c r="AD24" i="37"/>
  <c r="AE24" i="37"/>
  <c r="AF24" i="37"/>
  <c r="AG24" i="37"/>
  <c r="AB25" i="37"/>
  <c r="AC25" i="37"/>
  <c r="AD25" i="37"/>
  <c r="AE25" i="37"/>
  <c r="AF25" i="37"/>
  <c r="AG25" i="37"/>
  <c r="AB26" i="37"/>
  <c r="AC26" i="37"/>
  <c r="AD26" i="37"/>
  <c r="AE26" i="37"/>
  <c r="AF26" i="37"/>
  <c r="AG26" i="37"/>
  <c r="AB27" i="37"/>
  <c r="AC27" i="37"/>
  <c r="AD27" i="37"/>
  <c r="AE27" i="37"/>
  <c r="AF27" i="37"/>
  <c r="AG27" i="37"/>
  <c r="AB28" i="37"/>
  <c r="AC28" i="37"/>
  <c r="AD28" i="37"/>
  <c r="AE28" i="37"/>
  <c r="AF28" i="37"/>
  <c r="AG28" i="37"/>
  <c r="AB29" i="37"/>
  <c r="AC29" i="37"/>
  <c r="AD29" i="37"/>
  <c r="AE29" i="37"/>
  <c r="AF29" i="37"/>
  <c r="AG29" i="37"/>
  <c r="AB30" i="37"/>
  <c r="AC30" i="37"/>
  <c r="AD30" i="37"/>
  <c r="AE30" i="37"/>
  <c r="AF30" i="37"/>
  <c r="AG30" i="37"/>
  <c r="AB31" i="37"/>
  <c r="AC31" i="37"/>
  <c r="AD31" i="37"/>
  <c r="AE31" i="37"/>
  <c r="AF31" i="37"/>
  <c r="AG31" i="37"/>
  <c r="AB32" i="37"/>
  <c r="AC32" i="37"/>
  <c r="AD32" i="37"/>
  <c r="AE32" i="37"/>
  <c r="AF32" i="37"/>
  <c r="AG32" i="37"/>
  <c r="AB33" i="37"/>
  <c r="AC33" i="37"/>
  <c r="AD33" i="37"/>
  <c r="AE33" i="37"/>
  <c r="AF33" i="37"/>
  <c r="AG33" i="37"/>
  <c r="AB34" i="37"/>
  <c r="AC34" i="37"/>
  <c r="AD34" i="37"/>
  <c r="AE34" i="37"/>
  <c r="AF34" i="37"/>
  <c r="AG34" i="37"/>
  <c r="AB35" i="37"/>
  <c r="AC35" i="37"/>
  <c r="AD35" i="37"/>
  <c r="AE35" i="37"/>
  <c r="AF35" i="37"/>
  <c r="AG35" i="37"/>
  <c r="AB36" i="37"/>
  <c r="AC36" i="37"/>
  <c r="AD36" i="37"/>
  <c r="AE36" i="37"/>
  <c r="AF36" i="37"/>
  <c r="AG36" i="37"/>
  <c r="AB37" i="37"/>
  <c r="AC37" i="37"/>
  <c r="AD37" i="37"/>
  <c r="AE37" i="37"/>
  <c r="AF37" i="37"/>
  <c r="AG37" i="37"/>
  <c r="AB38" i="37"/>
  <c r="AC38" i="37"/>
  <c r="AD38" i="37"/>
  <c r="AE38" i="37"/>
  <c r="AF38" i="37"/>
  <c r="AG38" i="37"/>
  <c r="AB39" i="37"/>
  <c r="AC39" i="37"/>
  <c r="AD39" i="37"/>
  <c r="AE39" i="37"/>
  <c r="AF39" i="37"/>
  <c r="AG39" i="37"/>
  <c r="AB40" i="37"/>
  <c r="AC40" i="37"/>
  <c r="AD40" i="37"/>
  <c r="AE40" i="37"/>
  <c r="AF40" i="37"/>
  <c r="AG40" i="37"/>
  <c r="AB41" i="37"/>
  <c r="AC41" i="37"/>
  <c r="AD41" i="37"/>
  <c r="AE41" i="37"/>
  <c r="AF41" i="37"/>
  <c r="AG41" i="37"/>
  <c r="AB42" i="37"/>
  <c r="AC42" i="37"/>
  <c r="AD42" i="37"/>
  <c r="AE42" i="37"/>
  <c r="AF42" i="37"/>
  <c r="AG42" i="37"/>
  <c r="AB43" i="37"/>
  <c r="AC43" i="37"/>
  <c r="AD43" i="37"/>
  <c r="AE43" i="37"/>
  <c r="AF43" i="37"/>
  <c r="AG43" i="37"/>
  <c r="AB44" i="37"/>
  <c r="AC44" i="37"/>
  <c r="AD44" i="37"/>
  <c r="AE44" i="37"/>
  <c r="AF44" i="37"/>
  <c r="AG44" i="37"/>
  <c r="AB45" i="37"/>
  <c r="AC45" i="37"/>
  <c r="AD45" i="37"/>
  <c r="AE45" i="37"/>
  <c r="AF45" i="37"/>
  <c r="AG45" i="37"/>
  <c r="AB46" i="37"/>
  <c r="AC46" i="37"/>
  <c r="AD46" i="37"/>
  <c r="AE46" i="37"/>
  <c r="AF46" i="37"/>
  <c r="AG46" i="37"/>
  <c r="AB47" i="37"/>
  <c r="AC47" i="37"/>
  <c r="AD47" i="37"/>
  <c r="AE47" i="37"/>
  <c r="AF47" i="37"/>
  <c r="AG47" i="37"/>
  <c r="AB48" i="37"/>
  <c r="AC48" i="37"/>
  <c r="AD48" i="37"/>
  <c r="AE48" i="37"/>
  <c r="AF48" i="37"/>
  <c r="AG48" i="37"/>
  <c r="AB49" i="37"/>
  <c r="AC49" i="37"/>
  <c r="AD49" i="37"/>
  <c r="AE49" i="37"/>
  <c r="AF49" i="37"/>
  <c r="AG49" i="37"/>
  <c r="AB50" i="37"/>
  <c r="AC50" i="37"/>
  <c r="AD50" i="37"/>
  <c r="AE50" i="37"/>
  <c r="AF50" i="37"/>
  <c r="AG50" i="37"/>
  <c r="AB51" i="37"/>
  <c r="AC51" i="37"/>
  <c r="AD51" i="37"/>
  <c r="AE51" i="37"/>
  <c r="AF51" i="37"/>
  <c r="AG51" i="37"/>
  <c r="AB52" i="37"/>
  <c r="AC52" i="37"/>
  <c r="AD52" i="37"/>
  <c r="AE52" i="37"/>
  <c r="AF52" i="37"/>
  <c r="AG52" i="37"/>
  <c r="AB53" i="37"/>
  <c r="AC53" i="37"/>
  <c r="AD53" i="37"/>
  <c r="AE53" i="37"/>
  <c r="AF53" i="37"/>
  <c r="AG53" i="37"/>
  <c r="AB54" i="37"/>
  <c r="AC54" i="37"/>
  <c r="AD54" i="37"/>
  <c r="AE54" i="37"/>
  <c r="AF54" i="37"/>
  <c r="AG54" i="37"/>
  <c r="AB55" i="37"/>
  <c r="AC55" i="37"/>
  <c r="AD55" i="37"/>
  <c r="AE55" i="37"/>
  <c r="AF55" i="37"/>
  <c r="AG55" i="37"/>
  <c r="AB56" i="37"/>
  <c r="AC56" i="37"/>
  <c r="AD56" i="37"/>
  <c r="AE56" i="37"/>
  <c r="AF56" i="37"/>
  <c r="AG56" i="37"/>
  <c r="AB57" i="37"/>
  <c r="AC57" i="37"/>
  <c r="AD57" i="37"/>
  <c r="AE57" i="37"/>
  <c r="AF57" i="37"/>
  <c r="AG57" i="37"/>
  <c r="AB58" i="37"/>
  <c r="AC58" i="37"/>
  <c r="AD58" i="37"/>
  <c r="AE58" i="37"/>
  <c r="AF58" i="37"/>
  <c r="AG58" i="37"/>
  <c r="AB59" i="37"/>
  <c r="AC59" i="37"/>
  <c r="AD59" i="37"/>
  <c r="AE59" i="37"/>
  <c r="AF59" i="37"/>
  <c r="AG59" i="37"/>
  <c r="AB60" i="37"/>
  <c r="AC60" i="37"/>
  <c r="AD60" i="37"/>
  <c r="AE60" i="37"/>
  <c r="AF60" i="37"/>
  <c r="AG60" i="37"/>
  <c r="AB61" i="37"/>
  <c r="AC61" i="37"/>
  <c r="AD61" i="37"/>
  <c r="AE61" i="37"/>
  <c r="AF61" i="37"/>
  <c r="AG61" i="37"/>
  <c r="AB62" i="37"/>
  <c r="AC62" i="37"/>
  <c r="AD62" i="37"/>
  <c r="AE62" i="37"/>
  <c r="AF62" i="37"/>
  <c r="AG62" i="37"/>
  <c r="AB63" i="37"/>
  <c r="AC63" i="37"/>
  <c r="AD63" i="37"/>
  <c r="AE63" i="37"/>
  <c r="AF63" i="37"/>
  <c r="AG63" i="37"/>
  <c r="AB64" i="37"/>
  <c r="AC64" i="37"/>
  <c r="AD64" i="37"/>
  <c r="AE64" i="37"/>
  <c r="AF64" i="37"/>
  <c r="AG64" i="37"/>
  <c r="AB65" i="37"/>
  <c r="AC65" i="37"/>
  <c r="AD65" i="37"/>
  <c r="AE65" i="37"/>
  <c r="AF65" i="37"/>
  <c r="AG65" i="37"/>
  <c r="AB66" i="37"/>
  <c r="AC66" i="37"/>
  <c r="AD66" i="37"/>
  <c r="AE66" i="37"/>
  <c r="AF66" i="37"/>
  <c r="AG66" i="37"/>
  <c r="AB3" i="34"/>
  <c r="AC3" i="34"/>
  <c r="AD3" i="34"/>
  <c r="AE3" i="34"/>
  <c r="AF3" i="34"/>
  <c r="AG3" i="34"/>
  <c r="AB4" i="34"/>
  <c r="AC4" i="34"/>
  <c r="AD4" i="34"/>
  <c r="AE4" i="34"/>
  <c r="AF4" i="34"/>
  <c r="AG4" i="34"/>
  <c r="AB5" i="34"/>
  <c r="AC5" i="34"/>
  <c r="AD5" i="34"/>
  <c r="AE5" i="34"/>
  <c r="AF5" i="34"/>
  <c r="AG5" i="34"/>
  <c r="AB6" i="34"/>
  <c r="AC6" i="34"/>
  <c r="AD6" i="34"/>
  <c r="AE6" i="34"/>
  <c r="AF6" i="34"/>
  <c r="AG6" i="34"/>
  <c r="AB7" i="34"/>
  <c r="AC7" i="34"/>
  <c r="AD7" i="34"/>
  <c r="AE7" i="34"/>
  <c r="AF7" i="34"/>
  <c r="AG7" i="34"/>
  <c r="AB8" i="34"/>
  <c r="AC8" i="34"/>
  <c r="AD8" i="34"/>
  <c r="AE8" i="34"/>
  <c r="AF8" i="34"/>
  <c r="AG8" i="34"/>
  <c r="AB9" i="34"/>
  <c r="AC9" i="34"/>
  <c r="AD9" i="34"/>
  <c r="AE9" i="34"/>
  <c r="AF9" i="34"/>
  <c r="AG9" i="34"/>
  <c r="AB10" i="34"/>
  <c r="AC10" i="34"/>
  <c r="AD10" i="34"/>
  <c r="AE10" i="34"/>
  <c r="AF10" i="34"/>
  <c r="AG10" i="34"/>
  <c r="AB11" i="34"/>
  <c r="AC11" i="34"/>
  <c r="AD11" i="34"/>
  <c r="AE11" i="34"/>
  <c r="AF11" i="34"/>
  <c r="AG11" i="34"/>
  <c r="AB12" i="34"/>
  <c r="AC12" i="34"/>
  <c r="AD12" i="34"/>
  <c r="AE12" i="34"/>
  <c r="AF12" i="34"/>
  <c r="AG12" i="34"/>
  <c r="AB13" i="34"/>
  <c r="AC13" i="34"/>
  <c r="AD13" i="34"/>
  <c r="AE13" i="34"/>
  <c r="AF13" i="34"/>
  <c r="AG13" i="34"/>
  <c r="AB14" i="34"/>
  <c r="AC14" i="34"/>
  <c r="AD14" i="34"/>
  <c r="AE14" i="34"/>
  <c r="AF14" i="34"/>
  <c r="AG14" i="34"/>
  <c r="AB15" i="34"/>
  <c r="AC15" i="34"/>
  <c r="AD15" i="34"/>
  <c r="AE15" i="34"/>
  <c r="AF15" i="34"/>
  <c r="AG15" i="34"/>
  <c r="AB16" i="34"/>
  <c r="AC16" i="34"/>
  <c r="AD16" i="34"/>
  <c r="AE16" i="34"/>
  <c r="AF16" i="34"/>
  <c r="AG16" i="34"/>
  <c r="AB17" i="34"/>
  <c r="AC17" i="34"/>
  <c r="AD17" i="34"/>
  <c r="AE17" i="34"/>
  <c r="AF17" i="34"/>
  <c r="AG17" i="34"/>
  <c r="AB18" i="34"/>
  <c r="AC18" i="34"/>
  <c r="AD18" i="34"/>
  <c r="AE18" i="34"/>
  <c r="AF18" i="34"/>
  <c r="AG18" i="34"/>
  <c r="AB19" i="34"/>
  <c r="AC19" i="34"/>
  <c r="AD19" i="34"/>
  <c r="AE19" i="34"/>
  <c r="AF19" i="34"/>
  <c r="AG19" i="34"/>
  <c r="AB20" i="34"/>
  <c r="AC20" i="34"/>
  <c r="AD20" i="34"/>
  <c r="AE20" i="34"/>
  <c r="AF20" i="34"/>
  <c r="AG20" i="34"/>
  <c r="AB21" i="34"/>
  <c r="AC21" i="34"/>
  <c r="AD21" i="34"/>
  <c r="AE21" i="34"/>
  <c r="AF21" i="34"/>
  <c r="AG21" i="34"/>
  <c r="AB22" i="34"/>
  <c r="AC22" i="34"/>
  <c r="AD22" i="34"/>
  <c r="AE22" i="34"/>
  <c r="AF22" i="34"/>
  <c r="AG22" i="34"/>
  <c r="AB23" i="34"/>
  <c r="AC23" i="34"/>
  <c r="AD23" i="34"/>
  <c r="AE23" i="34"/>
  <c r="AF23" i="34"/>
  <c r="AG23" i="34"/>
  <c r="AB24" i="34"/>
  <c r="AC24" i="34"/>
  <c r="AD24" i="34"/>
  <c r="AE24" i="34"/>
  <c r="AF24" i="34"/>
  <c r="AG24" i="34"/>
  <c r="AB25" i="34"/>
  <c r="AC25" i="34"/>
  <c r="AD25" i="34"/>
  <c r="AE25" i="34"/>
  <c r="AF25" i="34"/>
  <c r="AG25" i="34"/>
  <c r="AB26" i="34"/>
  <c r="AC26" i="34"/>
  <c r="AD26" i="34"/>
  <c r="AE26" i="34"/>
  <c r="AF26" i="34"/>
  <c r="AG26" i="34"/>
  <c r="AB27" i="34"/>
  <c r="AC27" i="34"/>
  <c r="AD27" i="34"/>
  <c r="AE27" i="34"/>
  <c r="AF27" i="34"/>
  <c r="AG27" i="34"/>
  <c r="AB28" i="34"/>
  <c r="AC28" i="34"/>
  <c r="AD28" i="34"/>
  <c r="AE28" i="34"/>
  <c r="AF28" i="34"/>
  <c r="AG28" i="34"/>
  <c r="AB29" i="34"/>
  <c r="AC29" i="34"/>
  <c r="AD29" i="34"/>
  <c r="AE29" i="34"/>
  <c r="AF29" i="34"/>
  <c r="AG29" i="34"/>
  <c r="AB30" i="34"/>
  <c r="AC30" i="34"/>
  <c r="AD30" i="34"/>
  <c r="AE30" i="34"/>
  <c r="AF30" i="34"/>
  <c r="AG30" i="34"/>
  <c r="AB31" i="34"/>
  <c r="AC31" i="34"/>
  <c r="AD31" i="34"/>
  <c r="AE31" i="34"/>
  <c r="AF31" i="34"/>
  <c r="AG31" i="34"/>
  <c r="AB32" i="34"/>
  <c r="AC32" i="34"/>
  <c r="AD32" i="34"/>
  <c r="AE32" i="34"/>
  <c r="AF32" i="34"/>
  <c r="AG32" i="34"/>
  <c r="AB33" i="34"/>
  <c r="AC33" i="34"/>
  <c r="AD33" i="34"/>
  <c r="AE33" i="34"/>
  <c r="AF33" i="34"/>
  <c r="AG33" i="34"/>
  <c r="AB34" i="34"/>
  <c r="AC34" i="34"/>
  <c r="AD34" i="34"/>
  <c r="AE34" i="34"/>
  <c r="AF34" i="34"/>
  <c r="AG34" i="34"/>
  <c r="AB35" i="34"/>
  <c r="AC35" i="34"/>
  <c r="AD35" i="34"/>
  <c r="AE35" i="34"/>
  <c r="AF35" i="34"/>
  <c r="AG35" i="34"/>
  <c r="AB36" i="34"/>
  <c r="AC36" i="34"/>
  <c r="AD36" i="34"/>
  <c r="AE36" i="34"/>
  <c r="AF36" i="34"/>
  <c r="AG36" i="34"/>
  <c r="AB37" i="34"/>
  <c r="AC37" i="34"/>
  <c r="AD37" i="34"/>
  <c r="AE37" i="34"/>
  <c r="AF37" i="34"/>
  <c r="AG37" i="34"/>
  <c r="AB38" i="34"/>
  <c r="AC38" i="34"/>
  <c r="AD38" i="34"/>
  <c r="AE38" i="34"/>
  <c r="AF38" i="34"/>
  <c r="AG38" i="34"/>
  <c r="AB39" i="34"/>
  <c r="AC39" i="34"/>
  <c r="AD39" i="34"/>
  <c r="AE39" i="34"/>
  <c r="AF39" i="34"/>
  <c r="AG39" i="34"/>
  <c r="AB40" i="34"/>
  <c r="AC40" i="34"/>
  <c r="AD40" i="34"/>
  <c r="AE40" i="34"/>
  <c r="AF40" i="34"/>
  <c r="AG40" i="34"/>
  <c r="AB41" i="34"/>
  <c r="AC41" i="34"/>
  <c r="AD41" i="34"/>
  <c r="AE41" i="34"/>
  <c r="AF41" i="34"/>
  <c r="AG41" i="34"/>
  <c r="AB42" i="34"/>
  <c r="AC42" i="34"/>
  <c r="AD42" i="34"/>
  <c r="AE42" i="34"/>
  <c r="AF42" i="34"/>
  <c r="AG42" i="34"/>
  <c r="AB43" i="34"/>
  <c r="AC43" i="34"/>
  <c r="AD43" i="34"/>
  <c r="AE43" i="34"/>
  <c r="AF43" i="34"/>
  <c r="AG43" i="34"/>
  <c r="AB44" i="34"/>
  <c r="AC44" i="34"/>
  <c r="AD44" i="34"/>
  <c r="AE44" i="34"/>
  <c r="AF44" i="34"/>
  <c r="AG44" i="34"/>
  <c r="AB45" i="34"/>
  <c r="AC45" i="34"/>
  <c r="AD45" i="34"/>
  <c r="AE45" i="34"/>
  <c r="AF45" i="34"/>
  <c r="AG45" i="34"/>
  <c r="AB46" i="34"/>
  <c r="AC46" i="34"/>
  <c r="AD46" i="34"/>
  <c r="AE46" i="34"/>
  <c r="AF46" i="34"/>
  <c r="AG46" i="34"/>
  <c r="AB47" i="34"/>
  <c r="AC47" i="34"/>
  <c r="AD47" i="34"/>
  <c r="AE47" i="34"/>
  <c r="AF47" i="34"/>
  <c r="AG47" i="34"/>
  <c r="AB48" i="34"/>
  <c r="AC48" i="34"/>
  <c r="AD48" i="34"/>
  <c r="AE48" i="34"/>
  <c r="AF48" i="34"/>
  <c r="AG48" i="34"/>
  <c r="AB49" i="34"/>
  <c r="AC49" i="34"/>
  <c r="AD49" i="34"/>
  <c r="AE49" i="34"/>
  <c r="AF49" i="34"/>
  <c r="AG49" i="34"/>
  <c r="AB50" i="34"/>
  <c r="AC50" i="34"/>
  <c r="AD50" i="34"/>
  <c r="AE50" i="34"/>
  <c r="AF50" i="34"/>
  <c r="AG50" i="34"/>
  <c r="AB51" i="34"/>
  <c r="AC51" i="34"/>
  <c r="AD51" i="34"/>
  <c r="AE51" i="34"/>
  <c r="AF51" i="34"/>
  <c r="AG51" i="34"/>
  <c r="AB52" i="34"/>
  <c r="AC52" i="34"/>
  <c r="AD52" i="34"/>
  <c r="AE52" i="34"/>
  <c r="AF52" i="34"/>
  <c r="AG52" i="34"/>
  <c r="AB53" i="34"/>
  <c r="AC53" i="34"/>
  <c r="AD53" i="34"/>
  <c r="AE53" i="34"/>
  <c r="AF53" i="34"/>
  <c r="AG53" i="34"/>
  <c r="AB54" i="34"/>
  <c r="AC54" i="34"/>
  <c r="AD54" i="34"/>
  <c r="AE54" i="34"/>
  <c r="AF54" i="34"/>
  <c r="AG54" i="34"/>
  <c r="AB55" i="34"/>
  <c r="AC55" i="34"/>
  <c r="AD55" i="34"/>
  <c r="AE55" i="34"/>
  <c r="AF55" i="34"/>
  <c r="AG55" i="34"/>
  <c r="AB56" i="34"/>
  <c r="AC56" i="34"/>
  <c r="AD56" i="34"/>
  <c r="AE56" i="34"/>
  <c r="AF56" i="34"/>
  <c r="AG56" i="34"/>
  <c r="AB57" i="34"/>
  <c r="AC57" i="34"/>
  <c r="AD57" i="34"/>
  <c r="AE57" i="34"/>
  <c r="AF57" i="34"/>
  <c r="AG57" i="34"/>
  <c r="AB58" i="34"/>
  <c r="AC58" i="34"/>
  <c r="AD58" i="34"/>
  <c r="AE58" i="34"/>
  <c r="AF58" i="34"/>
  <c r="AG58" i="34"/>
  <c r="AB59" i="34"/>
  <c r="AC59" i="34"/>
  <c r="AD59" i="34"/>
  <c r="AE59" i="34"/>
  <c r="AF59" i="34"/>
  <c r="AG59" i="34"/>
  <c r="AB60" i="34"/>
  <c r="AC60" i="34"/>
  <c r="AD60" i="34"/>
  <c r="AE60" i="34"/>
  <c r="AF60" i="34"/>
  <c r="AG60" i="34"/>
  <c r="AB61" i="34"/>
  <c r="AC61" i="34"/>
  <c r="AD61" i="34"/>
  <c r="AE61" i="34"/>
  <c r="AF61" i="34"/>
  <c r="AG61" i="34"/>
  <c r="AB62" i="34"/>
  <c r="AC62" i="34"/>
  <c r="AD62" i="34"/>
  <c r="AE62" i="34"/>
  <c r="AF62" i="34"/>
  <c r="AG62" i="34"/>
  <c r="AB3" i="33"/>
  <c r="AC3" i="33"/>
  <c r="AD3" i="33"/>
  <c r="AE3" i="33"/>
  <c r="AF3" i="33"/>
  <c r="AG3" i="33"/>
  <c r="AB4" i="33"/>
  <c r="AC4" i="33"/>
  <c r="AD4" i="33"/>
  <c r="AE4" i="33"/>
  <c r="AF4" i="33"/>
  <c r="AG4" i="33"/>
  <c r="AB5" i="33"/>
  <c r="AC5" i="33"/>
  <c r="AD5" i="33"/>
  <c r="AE5" i="33"/>
  <c r="AF5" i="33"/>
  <c r="AG5" i="33"/>
  <c r="AB6" i="33"/>
  <c r="AC6" i="33"/>
  <c r="AD6" i="33"/>
  <c r="AE6" i="33"/>
  <c r="AF6" i="33"/>
  <c r="AG6" i="33"/>
  <c r="AB7" i="33"/>
  <c r="AC7" i="33"/>
  <c r="AD7" i="33"/>
  <c r="AE7" i="33"/>
  <c r="AF7" i="33"/>
  <c r="AG7" i="33"/>
  <c r="AB8" i="33"/>
  <c r="AC8" i="33"/>
  <c r="AD8" i="33"/>
  <c r="AE8" i="33"/>
  <c r="AF8" i="33"/>
  <c r="AG8" i="33"/>
  <c r="AB9" i="33"/>
  <c r="AC9" i="33"/>
  <c r="AD9" i="33"/>
  <c r="AE9" i="33"/>
  <c r="AF9" i="33"/>
  <c r="AG9" i="33"/>
  <c r="AB10" i="33"/>
  <c r="AC10" i="33"/>
  <c r="AD10" i="33"/>
  <c r="AE10" i="33"/>
  <c r="AF10" i="33"/>
  <c r="AG10" i="33"/>
  <c r="AB11" i="33"/>
  <c r="AC11" i="33"/>
  <c r="AD11" i="33"/>
  <c r="AE11" i="33"/>
  <c r="AF11" i="33"/>
  <c r="AG11" i="33"/>
  <c r="AB12" i="33"/>
  <c r="AC12" i="33"/>
  <c r="AD12" i="33"/>
  <c r="AE12" i="33"/>
  <c r="AF12" i="33"/>
  <c r="AG12" i="33"/>
  <c r="AB13" i="33"/>
  <c r="AC13" i="33"/>
  <c r="AD13" i="33"/>
  <c r="AE13" i="33"/>
  <c r="AF13" i="33"/>
  <c r="AG13" i="33"/>
  <c r="AB14" i="33"/>
  <c r="AC14" i="33"/>
  <c r="AD14" i="33"/>
  <c r="AE14" i="33"/>
  <c r="AF14" i="33"/>
  <c r="AG14" i="33"/>
  <c r="AB15" i="33"/>
  <c r="AC15" i="33"/>
  <c r="AD15" i="33"/>
  <c r="AE15" i="33"/>
  <c r="AF15" i="33"/>
  <c r="AG15" i="33"/>
  <c r="AB16" i="33"/>
  <c r="AC16" i="33"/>
  <c r="AD16" i="33"/>
  <c r="AE16" i="33"/>
  <c r="AF16" i="33"/>
  <c r="AG16" i="33"/>
  <c r="AB17" i="33"/>
  <c r="AC17" i="33"/>
  <c r="AD17" i="33"/>
  <c r="AE17" i="33"/>
  <c r="AF17" i="33"/>
  <c r="AG17" i="33"/>
  <c r="AB18" i="33"/>
  <c r="AC18" i="33"/>
  <c r="AD18" i="33"/>
  <c r="AE18" i="33"/>
  <c r="AF18" i="33"/>
  <c r="AG18" i="33"/>
  <c r="AB19" i="33"/>
  <c r="AC19" i="33"/>
  <c r="AD19" i="33"/>
  <c r="AE19" i="33"/>
  <c r="AF19" i="33"/>
  <c r="AG19" i="33"/>
  <c r="AB20" i="33"/>
  <c r="AC20" i="33"/>
  <c r="AD20" i="33"/>
  <c r="AE20" i="33"/>
  <c r="AF20" i="33"/>
  <c r="AG20" i="33"/>
  <c r="AB21" i="33"/>
  <c r="AC21" i="33"/>
  <c r="AD21" i="33"/>
  <c r="AE21" i="33"/>
  <c r="AF21" i="33"/>
  <c r="AG21" i="33"/>
  <c r="AB22" i="33"/>
  <c r="AC22" i="33"/>
  <c r="AD22" i="33"/>
  <c r="AE22" i="33"/>
  <c r="AF22" i="33"/>
  <c r="AG22" i="33"/>
  <c r="AB23" i="33"/>
  <c r="AC23" i="33"/>
  <c r="AD23" i="33"/>
  <c r="AE23" i="33"/>
  <c r="AF23" i="33"/>
  <c r="AG23" i="33"/>
  <c r="AB24" i="33"/>
  <c r="AC24" i="33"/>
  <c r="AD24" i="33"/>
  <c r="AE24" i="33"/>
  <c r="AF24" i="33"/>
  <c r="AG24" i="33"/>
  <c r="AB25" i="33"/>
  <c r="AC25" i="33"/>
  <c r="AD25" i="33"/>
  <c r="AE25" i="33"/>
  <c r="AF25" i="33"/>
  <c r="AG25" i="33"/>
  <c r="AB26" i="33"/>
  <c r="AC26" i="33"/>
  <c r="AD26" i="33"/>
  <c r="AE26" i="33"/>
  <c r="AF26" i="33"/>
  <c r="AG26" i="33"/>
  <c r="AB27" i="33"/>
  <c r="AC27" i="33"/>
  <c r="AD27" i="33"/>
  <c r="AE27" i="33"/>
  <c r="AF27" i="33"/>
  <c r="AG27" i="33"/>
  <c r="AB28" i="33"/>
  <c r="AC28" i="33"/>
  <c r="AD28" i="33"/>
  <c r="AE28" i="33"/>
  <c r="AF28" i="33"/>
  <c r="AG28" i="33"/>
  <c r="AB29" i="33"/>
  <c r="AC29" i="33"/>
  <c r="AD29" i="33"/>
  <c r="AE29" i="33"/>
  <c r="AF29" i="33"/>
  <c r="AG29" i="33"/>
  <c r="AB30" i="33"/>
  <c r="AC30" i="33"/>
  <c r="AD30" i="33"/>
  <c r="AE30" i="33"/>
  <c r="AF30" i="33"/>
  <c r="AG30" i="33"/>
  <c r="AB31" i="33"/>
  <c r="AC31" i="33"/>
  <c r="AD31" i="33"/>
  <c r="AE31" i="33"/>
  <c r="AF31" i="33"/>
  <c r="AG31" i="33"/>
  <c r="AB32" i="33"/>
  <c r="AC32" i="33"/>
  <c r="AD32" i="33"/>
  <c r="AE32" i="33"/>
  <c r="AF32" i="33"/>
  <c r="AG32" i="33"/>
  <c r="AB33" i="33"/>
  <c r="AC33" i="33"/>
  <c r="AD33" i="33"/>
  <c r="AE33" i="33"/>
  <c r="AF33" i="33"/>
  <c r="AG33" i="33"/>
  <c r="AB34" i="33"/>
  <c r="AC34" i="33"/>
  <c r="AD34" i="33"/>
  <c r="AE34" i="33"/>
  <c r="AF34" i="33"/>
  <c r="AG34" i="33"/>
  <c r="AB35" i="33"/>
  <c r="AC35" i="33"/>
  <c r="AD35" i="33"/>
  <c r="AE35" i="33"/>
  <c r="AF35" i="33"/>
  <c r="AG35" i="33"/>
  <c r="AB36" i="33"/>
  <c r="AC36" i="33"/>
  <c r="AD36" i="33"/>
  <c r="AE36" i="33"/>
  <c r="AF36" i="33"/>
  <c r="AG36" i="33"/>
  <c r="AB37" i="33"/>
  <c r="AC37" i="33"/>
  <c r="AD37" i="33"/>
  <c r="AE37" i="33"/>
  <c r="AF37" i="33"/>
  <c r="AG37" i="33"/>
  <c r="AB38" i="33"/>
  <c r="AC38" i="33"/>
  <c r="AD38" i="33"/>
  <c r="AE38" i="33"/>
  <c r="AF38" i="33"/>
  <c r="AG38" i="33"/>
  <c r="AB39" i="33"/>
  <c r="AC39" i="33"/>
  <c r="AD39" i="33"/>
  <c r="AE39" i="33"/>
  <c r="AF39" i="33"/>
  <c r="AG39" i="33"/>
  <c r="AB40" i="33"/>
  <c r="AC40" i="33"/>
  <c r="AD40" i="33"/>
  <c r="AE40" i="33"/>
  <c r="AF40" i="33"/>
  <c r="AG40" i="33"/>
  <c r="AB41" i="33"/>
  <c r="AC41" i="33"/>
  <c r="AD41" i="33"/>
  <c r="AE41" i="33"/>
  <c r="AF41" i="33"/>
  <c r="AG41" i="33"/>
  <c r="AB42" i="33"/>
  <c r="AC42" i="33"/>
  <c r="AD42" i="33"/>
  <c r="AE42" i="33"/>
  <c r="AF42" i="33"/>
  <c r="AG42" i="33"/>
  <c r="AB43" i="33"/>
  <c r="AC43" i="33"/>
  <c r="AD43" i="33"/>
  <c r="AE43" i="33"/>
  <c r="AF43" i="33"/>
  <c r="AG43" i="33"/>
  <c r="AB44" i="33"/>
  <c r="AC44" i="33"/>
  <c r="AD44" i="33"/>
  <c r="AE44" i="33"/>
  <c r="AF44" i="33"/>
  <c r="AG44" i="33"/>
  <c r="AB45" i="33"/>
  <c r="AC45" i="33"/>
  <c r="AD45" i="33"/>
  <c r="AE45" i="33"/>
  <c r="AF45" i="33"/>
  <c r="AG45" i="33"/>
  <c r="AB46" i="33"/>
  <c r="AC46" i="33"/>
  <c r="AD46" i="33"/>
  <c r="AE46" i="33"/>
  <c r="AF46" i="33"/>
  <c r="AG46" i="33"/>
  <c r="AB47" i="33"/>
  <c r="AC47" i="33"/>
  <c r="AD47" i="33"/>
  <c r="AE47" i="33"/>
  <c r="AF47" i="33"/>
  <c r="AG47" i="33"/>
  <c r="AB48" i="33"/>
  <c r="AC48" i="33"/>
  <c r="AD48" i="33"/>
  <c r="AE48" i="33"/>
  <c r="AF48" i="33"/>
  <c r="AG48" i="33"/>
  <c r="AB49" i="33"/>
  <c r="AC49" i="33"/>
  <c r="AD49" i="33"/>
  <c r="AE49" i="33"/>
  <c r="AF49" i="33"/>
  <c r="AG49" i="33"/>
  <c r="AB50" i="33"/>
  <c r="AC50" i="33"/>
  <c r="AD50" i="33"/>
  <c r="AE50" i="33"/>
  <c r="AF50" i="33"/>
  <c r="AG50" i="33"/>
  <c r="AB51" i="33"/>
  <c r="AC51" i="33"/>
  <c r="AD51" i="33"/>
  <c r="AE51" i="33"/>
  <c r="AF51" i="33"/>
  <c r="AG51" i="33"/>
  <c r="AB52" i="33"/>
  <c r="AC52" i="33"/>
  <c r="AD52" i="33"/>
  <c r="AE52" i="33"/>
  <c r="AF52" i="33"/>
  <c r="AG52" i="33"/>
  <c r="AB53" i="33"/>
  <c r="AC53" i="33"/>
  <c r="AD53" i="33"/>
  <c r="AE53" i="33"/>
  <c r="AF53" i="33"/>
  <c r="AG53" i="33"/>
  <c r="AB54" i="33"/>
  <c r="AC54" i="33"/>
  <c r="AD54" i="33"/>
  <c r="AE54" i="33"/>
  <c r="AF54" i="33"/>
  <c r="AG54" i="33"/>
  <c r="AB55" i="33"/>
  <c r="AC55" i="33"/>
  <c r="AD55" i="33"/>
  <c r="AE55" i="33"/>
  <c r="AF55" i="33"/>
  <c r="AG55" i="33"/>
  <c r="AB56" i="33"/>
  <c r="AC56" i="33"/>
  <c r="AD56" i="33"/>
  <c r="AE56" i="33"/>
  <c r="AF56" i="33"/>
  <c r="AG56" i="33"/>
  <c r="AB57" i="33"/>
  <c r="AC57" i="33"/>
  <c r="AD57" i="33"/>
  <c r="AE57" i="33"/>
  <c r="AF57" i="33"/>
  <c r="AG57" i="33"/>
  <c r="AB58" i="33"/>
  <c r="AC58" i="33"/>
  <c r="AD58" i="33"/>
  <c r="AE58" i="33"/>
  <c r="AF58" i="33"/>
  <c r="AG58" i="33"/>
  <c r="AB59" i="33"/>
  <c r="AC59" i="33"/>
  <c r="AD59" i="33"/>
  <c r="AE59" i="33"/>
  <c r="AF59" i="33"/>
  <c r="AG59" i="33"/>
  <c r="AB60" i="33"/>
  <c r="AC60" i="33"/>
  <c r="AD60" i="33"/>
  <c r="AE60" i="33"/>
  <c r="AF60" i="33"/>
  <c r="AG60" i="33"/>
  <c r="AB61" i="33"/>
  <c r="AC61" i="33"/>
  <c r="AD61" i="33"/>
  <c r="AE61" i="33"/>
  <c r="AF61" i="33"/>
  <c r="AG61" i="33"/>
  <c r="AB29" i="32"/>
  <c r="AC29" i="32"/>
  <c r="AD29" i="32"/>
  <c r="AE29" i="32"/>
  <c r="AF29" i="32"/>
  <c r="AG29" i="32"/>
  <c r="AB30" i="32"/>
  <c r="AC30" i="32"/>
  <c r="AD30" i="32"/>
  <c r="AE30" i="32"/>
  <c r="AF30" i="32"/>
  <c r="AG30" i="32"/>
  <c r="AB31" i="32"/>
  <c r="AC31" i="32"/>
  <c r="AD31" i="32"/>
  <c r="AE31" i="32"/>
  <c r="AF31" i="32"/>
  <c r="AG31" i="32"/>
  <c r="AB32" i="32"/>
  <c r="AC32" i="32"/>
  <c r="AD32" i="32"/>
  <c r="AE32" i="32"/>
  <c r="AF32" i="32"/>
  <c r="AG32" i="32"/>
  <c r="AB33" i="32"/>
  <c r="AC33" i="32"/>
  <c r="AD33" i="32"/>
  <c r="AE33" i="32"/>
  <c r="AF33" i="32"/>
  <c r="AG33" i="32"/>
  <c r="AB34" i="32"/>
  <c r="AC34" i="32"/>
  <c r="AD34" i="32"/>
  <c r="AE34" i="32"/>
  <c r="AF34" i="32"/>
  <c r="AG34" i="32"/>
  <c r="AB35" i="32"/>
  <c r="AC35" i="32"/>
  <c r="AD35" i="32"/>
  <c r="AE35" i="32"/>
  <c r="AF35" i="32"/>
  <c r="AG35" i="32"/>
  <c r="AB36" i="32"/>
  <c r="AC36" i="32"/>
  <c r="AD36" i="32"/>
  <c r="AE36" i="32"/>
  <c r="AF36" i="32"/>
  <c r="AG36" i="32"/>
  <c r="AB37" i="32"/>
  <c r="AC37" i="32"/>
  <c r="AD37" i="32"/>
  <c r="AE37" i="32"/>
  <c r="AF37" i="32"/>
  <c r="AG37" i="32"/>
  <c r="AB38" i="32"/>
  <c r="AC38" i="32"/>
  <c r="AD38" i="32"/>
  <c r="AE38" i="32"/>
  <c r="AF38" i="32"/>
  <c r="AG38" i="32"/>
  <c r="AB39" i="32"/>
  <c r="AC39" i="32"/>
  <c r="AD39" i="32"/>
  <c r="AE39" i="32"/>
  <c r="AF39" i="32"/>
  <c r="AG39" i="32"/>
  <c r="AB40" i="32"/>
  <c r="AC40" i="32"/>
  <c r="AD40" i="32"/>
  <c r="AE40" i="32"/>
  <c r="AF40" i="32"/>
  <c r="AG40" i="32"/>
  <c r="AB41" i="32"/>
  <c r="AC41" i="32"/>
  <c r="AD41" i="32"/>
  <c r="AE41" i="32"/>
  <c r="AF41" i="32"/>
  <c r="AG41" i="32"/>
  <c r="AB42" i="32"/>
  <c r="AC42" i="32"/>
  <c r="AD42" i="32"/>
  <c r="AE42" i="32"/>
  <c r="AF42" i="32"/>
  <c r="AG42" i="32"/>
  <c r="AB43" i="32"/>
  <c r="AC43" i="32"/>
  <c r="AD43" i="32"/>
  <c r="AE43" i="32"/>
  <c r="AF43" i="32"/>
  <c r="AG43" i="32"/>
  <c r="AB44" i="32"/>
  <c r="AC44" i="32"/>
  <c r="AD44" i="32"/>
  <c r="AE44" i="32"/>
  <c r="AF44" i="32"/>
  <c r="AG44" i="32"/>
  <c r="AB45" i="32"/>
  <c r="AC45" i="32"/>
  <c r="AD45" i="32"/>
  <c r="AE45" i="32"/>
  <c r="AF45" i="32"/>
  <c r="AG45" i="32"/>
  <c r="AB46" i="32"/>
  <c r="AC46" i="32"/>
  <c r="AD46" i="32"/>
  <c r="AE46" i="32"/>
  <c r="AF46" i="32"/>
  <c r="AG46" i="32"/>
  <c r="AB47" i="32"/>
  <c r="AC47" i="32"/>
  <c r="AD47" i="32"/>
  <c r="AE47" i="32"/>
  <c r="AF47" i="32"/>
  <c r="AG47" i="32"/>
  <c r="AB48" i="32"/>
  <c r="AC48" i="32"/>
  <c r="AD48" i="32"/>
  <c r="AE48" i="32"/>
  <c r="AF48" i="32"/>
  <c r="AG48" i="32"/>
  <c r="AB49" i="32"/>
  <c r="AC49" i="32"/>
  <c r="AD49" i="32"/>
  <c r="AE49" i="32"/>
  <c r="AF49" i="32"/>
  <c r="AG49" i="32"/>
  <c r="AB50" i="32"/>
  <c r="AC50" i="32"/>
  <c r="AD50" i="32"/>
  <c r="AE50" i="32"/>
  <c r="AF50" i="32"/>
  <c r="AG50" i="32"/>
  <c r="AB51" i="32"/>
  <c r="AC51" i="32"/>
  <c r="AD51" i="32"/>
  <c r="AE51" i="32"/>
  <c r="AF51" i="32"/>
  <c r="AG51" i="32"/>
  <c r="AB52" i="32"/>
  <c r="AC52" i="32"/>
  <c r="AD52" i="32"/>
  <c r="AE52" i="32"/>
  <c r="AF52" i="32"/>
  <c r="AG52" i="32"/>
  <c r="AB53" i="32"/>
  <c r="AC53" i="32"/>
  <c r="AD53" i="32"/>
  <c r="AE53" i="32"/>
  <c r="AF53" i="32"/>
  <c r="AG53" i="32"/>
  <c r="AB54" i="32"/>
  <c r="AC54" i="32"/>
  <c r="AD54" i="32"/>
  <c r="AE54" i="32"/>
  <c r="AF54" i="32"/>
  <c r="AG54" i="32"/>
  <c r="AB55" i="32"/>
  <c r="AC55" i="32"/>
  <c r="AD55" i="32"/>
  <c r="AE55" i="32"/>
  <c r="AF55" i="32"/>
  <c r="AG55" i="32"/>
  <c r="AB56" i="32"/>
  <c r="AC56" i="32"/>
  <c r="AD56" i="32"/>
  <c r="AE56" i="32"/>
  <c r="AF56" i="32"/>
  <c r="AG56" i="32"/>
  <c r="AB57" i="32"/>
  <c r="AC57" i="32"/>
  <c r="AD57" i="32"/>
  <c r="AE57" i="32"/>
  <c r="AF57" i="32"/>
  <c r="AG57" i="32"/>
  <c r="AB58" i="32"/>
  <c r="AC58" i="32"/>
  <c r="AD58" i="32"/>
  <c r="AE58" i="32"/>
  <c r="AF58" i="32"/>
  <c r="AG58" i="32"/>
  <c r="AB59" i="32"/>
  <c r="AC59" i="32"/>
  <c r="AD59" i="32"/>
  <c r="AE59" i="32"/>
  <c r="AF59" i="32"/>
  <c r="AG59" i="32"/>
  <c r="AB60" i="32"/>
  <c r="AC60" i="32"/>
  <c r="AD60" i="32"/>
  <c r="AE60" i="32"/>
  <c r="AF60" i="32"/>
  <c r="AG60" i="32"/>
  <c r="AB61" i="32"/>
  <c r="AC61" i="32"/>
  <c r="AD61" i="32"/>
  <c r="AE61" i="32"/>
  <c r="AF61" i="32"/>
  <c r="AG61" i="32"/>
  <c r="AB62" i="32"/>
  <c r="AC62" i="32"/>
  <c r="AD62" i="32"/>
  <c r="AE62" i="32"/>
  <c r="AF62" i="32"/>
  <c r="AG62" i="32"/>
  <c r="K6" i="35"/>
  <c r="L5" i="29"/>
  <c r="I89" i="29"/>
  <c r="E8" i="29"/>
  <c r="F34" i="29"/>
  <c r="J8" i="29"/>
  <c r="I8" i="29"/>
  <c r="H8" i="29"/>
  <c r="G8" i="29"/>
  <c r="F8" i="29"/>
  <c r="D128" i="29"/>
  <c r="D129" i="29"/>
  <c r="K7" i="35"/>
  <c r="I61" i="35"/>
  <c r="H61" i="35"/>
  <c r="I125" i="35"/>
  <c r="H125" i="35"/>
  <c r="I123" i="35"/>
  <c r="H123" i="35"/>
  <c r="I121" i="35"/>
  <c r="H121" i="35"/>
  <c r="I119" i="35"/>
  <c r="H119" i="35"/>
  <c r="I117" i="35"/>
  <c r="H117" i="35"/>
  <c r="I115" i="35"/>
  <c r="H115" i="35"/>
  <c r="I113" i="35"/>
  <c r="H113" i="35"/>
  <c r="I111" i="35"/>
  <c r="H111" i="35"/>
  <c r="I109" i="35"/>
  <c r="H109" i="35"/>
  <c r="I107" i="35"/>
  <c r="H107" i="35"/>
  <c r="I105" i="35"/>
  <c r="H105" i="35"/>
  <c r="I103" i="35"/>
  <c r="H103" i="35"/>
  <c r="I101" i="35"/>
  <c r="H101" i="35"/>
  <c r="I99" i="35"/>
  <c r="H99" i="35"/>
  <c r="I97" i="35"/>
  <c r="H97" i="35"/>
  <c r="I95" i="35"/>
  <c r="H95" i="35"/>
  <c r="I93" i="35"/>
  <c r="H93" i="35"/>
  <c r="I91" i="35"/>
  <c r="H91" i="35"/>
  <c r="I89" i="35"/>
  <c r="H89" i="35"/>
  <c r="I87" i="35"/>
  <c r="H87" i="35"/>
  <c r="I86" i="35"/>
  <c r="I85" i="35"/>
  <c r="H85" i="35"/>
  <c r="I83" i="35"/>
  <c r="H83" i="35"/>
  <c r="I81" i="35"/>
  <c r="H81" i="35"/>
  <c r="I79" i="35"/>
  <c r="H79" i="35"/>
  <c r="I77" i="35"/>
  <c r="H77" i="35"/>
  <c r="I75" i="35"/>
  <c r="H75" i="35"/>
  <c r="I73" i="35"/>
  <c r="H73" i="35"/>
  <c r="I71" i="35"/>
  <c r="H71" i="35"/>
  <c r="I69" i="35"/>
  <c r="H69" i="35"/>
  <c r="I68" i="35"/>
  <c r="H68" i="35"/>
  <c r="I67" i="35"/>
  <c r="H67" i="35"/>
  <c r="I66" i="35"/>
  <c r="I65" i="35"/>
  <c r="H65" i="35"/>
  <c r="I51" i="35"/>
  <c r="H51" i="35"/>
  <c r="I49" i="35"/>
  <c r="H49" i="35"/>
  <c r="I47" i="35"/>
  <c r="H47" i="35"/>
  <c r="I45" i="35"/>
  <c r="H45" i="35"/>
  <c r="I43" i="35"/>
  <c r="H43" i="35"/>
  <c r="I41" i="35"/>
  <c r="H41" i="35"/>
  <c r="I39" i="35"/>
  <c r="H39" i="35"/>
  <c r="I37" i="35"/>
  <c r="H37" i="35"/>
  <c r="I35" i="35"/>
  <c r="H35" i="35"/>
  <c r="I33" i="35"/>
  <c r="H33" i="35"/>
  <c r="I31" i="35"/>
  <c r="H31" i="35"/>
  <c r="I29" i="35"/>
  <c r="H29" i="35"/>
  <c r="I27" i="35"/>
  <c r="H27" i="35"/>
  <c r="I25" i="35"/>
  <c r="H25" i="35"/>
  <c r="I23" i="35"/>
  <c r="H23" i="35"/>
  <c r="I21" i="35"/>
  <c r="H21" i="35"/>
  <c r="I19" i="35"/>
  <c r="H19" i="35"/>
  <c r="I17" i="35"/>
  <c r="H17" i="35"/>
  <c r="I15" i="35"/>
  <c r="H15" i="35"/>
  <c r="I13" i="35"/>
  <c r="H13" i="35"/>
  <c r="I11" i="35"/>
  <c r="H11" i="35"/>
  <c r="I9" i="35"/>
  <c r="H9" i="35"/>
  <c r="I7" i="35"/>
  <c r="H7" i="35"/>
  <c r="H122" i="35"/>
  <c r="H120" i="35"/>
  <c r="H118" i="35"/>
  <c r="H116" i="35"/>
  <c r="H114" i="35"/>
  <c r="H112" i="35"/>
  <c r="H110" i="35"/>
  <c r="H108" i="35"/>
  <c r="H106" i="35"/>
  <c r="H104" i="35"/>
  <c r="H102" i="35"/>
  <c r="H100" i="35"/>
  <c r="H98" i="35"/>
  <c r="H96" i="35"/>
  <c r="H94" i="35"/>
  <c r="H92" i="35"/>
  <c r="H90" i="35"/>
  <c r="H88" i="35"/>
  <c r="H86" i="35"/>
  <c r="H84" i="35"/>
  <c r="H82" i="35"/>
  <c r="H80" i="35"/>
  <c r="H78" i="35"/>
  <c r="H76" i="35"/>
  <c r="H74" i="35"/>
  <c r="H72" i="35"/>
  <c r="H70" i="35"/>
  <c r="H66" i="35"/>
  <c r="H64" i="35"/>
  <c r="H60" i="35"/>
  <c r="H50" i="35"/>
  <c r="H48" i="35"/>
  <c r="H46" i="35"/>
  <c r="H44" i="35"/>
  <c r="H42" i="35"/>
  <c r="H40" i="35"/>
  <c r="H38" i="35"/>
  <c r="H36" i="35"/>
  <c r="H34" i="35"/>
  <c r="H32" i="35"/>
  <c r="H30" i="35"/>
  <c r="H28" i="35"/>
  <c r="H26" i="35"/>
  <c r="H24" i="35"/>
  <c r="H22" i="35"/>
  <c r="H20" i="35"/>
  <c r="H18" i="35"/>
  <c r="H16" i="35"/>
  <c r="H14" i="35"/>
  <c r="H12" i="35"/>
  <c r="H10" i="35"/>
  <c r="H8" i="35"/>
  <c r="H6" i="35"/>
  <c r="AG2" i="39"/>
  <c r="AF2" i="39"/>
  <c r="AE2" i="39"/>
  <c r="AD2" i="39"/>
  <c r="AC2" i="39"/>
  <c r="AB2" i="39"/>
  <c r="H124" i="35" s="1"/>
  <c r="AG66" i="38"/>
  <c r="AF66" i="38"/>
  <c r="AE66" i="38"/>
  <c r="AD66" i="38"/>
  <c r="AC66" i="38"/>
  <c r="AB66" i="38"/>
  <c r="AG65" i="38"/>
  <c r="AF65" i="38"/>
  <c r="AE65" i="38"/>
  <c r="AD65" i="38"/>
  <c r="AC65" i="38"/>
  <c r="AB65" i="38"/>
  <c r="AG64" i="38"/>
  <c r="AF64" i="38"/>
  <c r="AE64" i="38"/>
  <c r="AD64" i="38"/>
  <c r="AC64" i="38"/>
  <c r="AB64" i="38"/>
  <c r="AG63" i="38"/>
  <c r="AF63" i="38"/>
  <c r="AE63" i="38"/>
  <c r="AD63" i="38"/>
  <c r="AC63" i="38"/>
  <c r="AB63" i="38"/>
  <c r="AG62" i="38"/>
  <c r="AF62" i="38"/>
  <c r="AE62" i="38"/>
  <c r="AD62" i="38"/>
  <c r="AC62" i="38"/>
  <c r="AB62" i="38"/>
  <c r="AG61" i="38"/>
  <c r="AF61" i="38"/>
  <c r="AE61" i="38"/>
  <c r="AD61" i="38"/>
  <c r="AC61" i="38"/>
  <c r="AB61" i="38"/>
  <c r="I122" i="35" s="1"/>
  <c r="AG60" i="38"/>
  <c r="AF60" i="38"/>
  <c r="AE60" i="38"/>
  <c r="AD60" i="38"/>
  <c r="AC60" i="38"/>
  <c r="AB60" i="38"/>
  <c r="I120" i="35" s="1"/>
  <c r="AG59" i="38"/>
  <c r="AF59" i="38"/>
  <c r="AE59" i="38"/>
  <c r="AD59" i="38"/>
  <c r="AC59" i="38"/>
  <c r="AB59" i="38"/>
  <c r="I118" i="35" s="1"/>
  <c r="AG58" i="38"/>
  <c r="AF58" i="38"/>
  <c r="AE58" i="38"/>
  <c r="AD58" i="38"/>
  <c r="AC58" i="38"/>
  <c r="AB58" i="38"/>
  <c r="I116" i="35" s="1"/>
  <c r="AG57" i="38"/>
  <c r="AF57" i="38"/>
  <c r="AE57" i="38"/>
  <c r="AD57" i="38"/>
  <c r="AC57" i="38"/>
  <c r="AB57" i="38"/>
  <c r="I114" i="35" s="1"/>
  <c r="AG56" i="38"/>
  <c r="AF56" i="38"/>
  <c r="AE56" i="38"/>
  <c r="AD56" i="38"/>
  <c r="AC56" i="38"/>
  <c r="AB56" i="38"/>
  <c r="I112" i="35" s="1"/>
  <c r="AG55" i="38"/>
  <c r="AF55" i="38"/>
  <c r="AE55" i="38"/>
  <c r="AD55" i="38"/>
  <c r="AC55" i="38"/>
  <c r="AB55" i="38"/>
  <c r="I110" i="35" s="1"/>
  <c r="AG54" i="38"/>
  <c r="AF54" i="38"/>
  <c r="AE54" i="38"/>
  <c r="AD54" i="38"/>
  <c r="AC54" i="38"/>
  <c r="AB54" i="38"/>
  <c r="I108" i="35" s="1"/>
  <c r="AG53" i="38"/>
  <c r="AF53" i="38"/>
  <c r="AE53" i="38"/>
  <c r="AD53" i="38"/>
  <c r="AC53" i="38"/>
  <c r="AB53" i="38"/>
  <c r="I106" i="35" s="1"/>
  <c r="AG52" i="38"/>
  <c r="AF52" i="38"/>
  <c r="AE52" i="38"/>
  <c r="AD52" i="38"/>
  <c r="AC52" i="38"/>
  <c r="AB52" i="38"/>
  <c r="I104" i="35" s="1"/>
  <c r="AG51" i="38"/>
  <c r="AF51" i="38"/>
  <c r="AE51" i="38"/>
  <c r="AD51" i="38"/>
  <c r="AC51" i="38"/>
  <c r="AB51" i="38"/>
  <c r="I102" i="35" s="1"/>
  <c r="AG50" i="38"/>
  <c r="AF50" i="38"/>
  <c r="AE50" i="38"/>
  <c r="AD50" i="38"/>
  <c r="AC50" i="38"/>
  <c r="AB50" i="38"/>
  <c r="I100" i="35" s="1"/>
  <c r="AG49" i="38"/>
  <c r="AF49" i="38"/>
  <c r="AE49" i="38"/>
  <c r="AD49" i="38"/>
  <c r="AC49" i="38"/>
  <c r="AB49" i="38"/>
  <c r="I98" i="35" s="1"/>
  <c r="AG48" i="38"/>
  <c r="AF48" i="38"/>
  <c r="AE48" i="38"/>
  <c r="AD48" i="38"/>
  <c r="AC48" i="38"/>
  <c r="AB48" i="38"/>
  <c r="I96" i="35" s="1"/>
  <c r="AG47" i="38"/>
  <c r="AF47" i="38"/>
  <c r="AE47" i="38"/>
  <c r="AD47" i="38"/>
  <c r="AC47" i="38"/>
  <c r="AB47" i="38"/>
  <c r="I94" i="35" s="1"/>
  <c r="AG46" i="38"/>
  <c r="AF46" i="38"/>
  <c r="AE46" i="38"/>
  <c r="AD46" i="38"/>
  <c r="AC46" i="38"/>
  <c r="AB46" i="38"/>
  <c r="I92" i="35" s="1"/>
  <c r="AG45" i="38"/>
  <c r="AF45" i="38"/>
  <c r="AE45" i="38"/>
  <c r="AD45" i="38"/>
  <c r="AC45" i="38"/>
  <c r="AB45" i="38"/>
  <c r="I90" i="35" s="1"/>
  <c r="AG44" i="38"/>
  <c r="AF44" i="38"/>
  <c r="AE44" i="38"/>
  <c r="AD44" i="38"/>
  <c r="AC44" i="38"/>
  <c r="AB44" i="38"/>
  <c r="I88" i="35" s="1"/>
  <c r="AG43" i="38"/>
  <c r="AF43" i="38"/>
  <c r="AE43" i="38"/>
  <c r="AD43" i="38"/>
  <c r="AC43" i="38"/>
  <c r="AB43" i="38"/>
  <c r="AG42" i="38"/>
  <c r="AF42" i="38"/>
  <c r="AE42" i="38"/>
  <c r="AD42" i="38"/>
  <c r="AC42" i="38"/>
  <c r="AB42" i="38"/>
  <c r="I84" i="35" s="1"/>
  <c r="AG41" i="38"/>
  <c r="AF41" i="38"/>
  <c r="AE41" i="38"/>
  <c r="AD41" i="38"/>
  <c r="AC41" i="38"/>
  <c r="AB41" i="38"/>
  <c r="I82" i="35" s="1"/>
  <c r="AG40" i="38"/>
  <c r="AF40" i="38"/>
  <c r="AE40" i="38"/>
  <c r="AD40" i="38"/>
  <c r="AC40" i="38"/>
  <c r="AB40" i="38"/>
  <c r="I80" i="35" s="1"/>
  <c r="AG39" i="38"/>
  <c r="AF39" i="38"/>
  <c r="AE39" i="38"/>
  <c r="AD39" i="38"/>
  <c r="AC39" i="38"/>
  <c r="AB39" i="38"/>
  <c r="I78" i="35" s="1"/>
  <c r="AG38" i="38"/>
  <c r="AF38" i="38"/>
  <c r="AE38" i="38"/>
  <c r="AD38" i="38"/>
  <c r="AC38" i="38"/>
  <c r="AB38" i="38"/>
  <c r="I76" i="35" s="1"/>
  <c r="AG37" i="38"/>
  <c r="AF37" i="38"/>
  <c r="AE37" i="38"/>
  <c r="AD37" i="38"/>
  <c r="AC37" i="38"/>
  <c r="AB37" i="38"/>
  <c r="I74" i="35" s="1"/>
  <c r="AG36" i="38"/>
  <c r="AF36" i="38"/>
  <c r="AE36" i="38"/>
  <c r="AD36" i="38"/>
  <c r="AC36" i="38"/>
  <c r="AB36" i="38"/>
  <c r="I72" i="35" s="1"/>
  <c r="AG34" i="38"/>
  <c r="AF34" i="38"/>
  <c r="AE34" i="38"/>
  <c r="AD34" i="38"/>
  <c r="AC34" i="38"/>
  <c r="AB34" i="38"/>
  <c r="I70" i="35" s="1"/>
  <c r="AG33" i="38"/>
  <c r="AF33" i="38"/>
  <c r="AE33" i="38"/>
  <c r="AD33" i="38"/>
  <c r="AC33" i="38"/>
  <c r="AB33" i="38"/>
  <c r="AG32" i="38"/>
  <c r="AF32" i="38"/>
  <c r="AE32" i="38"/>
  <c r="AD32" i="38"/>
  <c r="AC32" i="38"/>
  <c r="AB32" i="38"/>
  <c r="I64" i="35" s="1"/>
  <c r="AG30" i="38"/>
  <c r="AF30" i="38"/>
  <c r="AE30" i="38"/>
  <c r="AD30" i="38"/>
  <c r="AC30" i="38"/>
  <c r="AB30" i="38"/>
  <c r="I60" i="35" s="1"/>
  <c r="AG25" i="38"/>
  <c r="AF25" i="38"/>
  <c r="AE25" i="38"/>
  <c r="AD25" i="38"/>
  <c r="AC25" i="38"/>
  <c r="AB25" i="38"/>
  <c r="I50" i="35" s="1"/>
  <c r="AG24" i="38"/>
  <c r="AF24" i="38"/>
  <c r="AE24" i="38"/>
  <c r="AD24" i="38"/>
  <c r="AC24" i="38"/>
  <c r="AB24" i="38"/>
  <c r="I48" i="35" s="1"/>
  <c r="AG23" i="38"/>
  <c r="AF23" i="38"/>
  <c r="AE23" i="38"/>
  <c r="AD23" i="38"/>
  <c r="AC23" i="38"/>
  <c r="AB23" i="38"/>
  <c r="I46" i="35" s="1"/>
  <c r="AG22" i="38"/>
  <c r="AF22" i="38"/>
  <c r="AE22" i="38"/>
  <c r="AD22" i="38"/>
  <c r="AC22" i="38"/>
  <c r="AB22" i="38"/>
  <c r="I44" i="35" s="1"/>
  <c r="AG21" i="38"/>
  <c r="AF21" i="38"/>
  <c r="AE21" i="38"/>
  <c r="AD21" i="38"/>
  <c r="AC21" i="38"/>
  <c r="AB21" i="38"/>
  <c r="I42" i="35" s="1"/>
  <c r="AG20" i="38"/>
  <c r="AF20" i="38"/>
  <c r="AE20" i="38"/>
  <c r="AD20" i="38"/>
  <c r="AC20" i="38"/>
  <c r="AB20" i="38"/>
  <c r="I40" i="35" s="1"/>
  <c r="AG19" i="38"/>
  <c r="AF19" i="38"/>
  <c r="AE19" i="38"/>
  <c r="AD19" i="38"/>
  <c r="AC19" i="38"/>
  <c r="AB19" i="38"/>
  <c r="I38" i="35" s="1"/>
  <c r="AG18" i="38"/>
  <c r="AF18" i="38"/>
  <c r="AE18" i="38"/>
  <c r="AD18" i="38"/>
  <c r="AC18" i="38"/>
  <c r="AB18" i="38"/>
  <c r="I36" i="35" s="1"/>
  <c r="AG17" i="38"/>
  <c r="AF17" i="38"/>
  <c r="AE17" i="38"/>
  <c r="AD17" i="38"/>
  <c r="AC17" i="38"/>
  <c r="AB17" i="38"/>
  <c r="I34" i="35" s="1"/>
  <c r="AG16" i="38"/>
  <c r="AF16" i="38"/>
  <c r="AE16" i="38"/>
  <c r="AD16" i="38"/>
  <c r="AC16" i="38"/>
  <c r="AB16" i="38"/>
  <c r="I32" i="35" s="1"/>
  <c r="AG15" i="38"/>
  <c r="AF15" i="38"/>
  <c r="AE15" i="38"/>
  <c r="AD15" i="38"/>
  <c r="AC15" i="38"/>
  <c r="AB15" i="38"/>
  <c r="I30" i="35" s="1"/>
  <c r="AG14" i="38"/>
  <c r="AF14" i="38"/>
  <c r="AE14" i="38"/>
  <c r="AD14" i="38"/>
  <c r="AC14" i="38"/>
  <c r="AB14" i="38"/>
  <c r="I28" i="35" s="1"/>
  <c r="AG13" i="38"/>
  <c r="AF13" i="38"/>
  <c r="AE13" i="38"/>
  <c r="AD13" i="38"/>
  <c r="AC13" i="38"/>
  <c r="AB13" i="38"/>
  <c r="I26" i="35" s="1"/>
  <c r="AG12" i="38"/>
  <c r="AF12" i="38"/>
  <c r="AE12" i="38"/>
  <c r="AD12" i="38"/>
  <c r="AC12" i="38"/>
  <c r="AB12" i="38"/>
  <c r="I24" i="35" s="1"/>
  <c r="AG11" i="38"/>
  <c r="AF11" i="38"/>
  <c r="AE11" i="38"/>
  <c r="AD11" i="38"/>
  <c r="AC11" i="38"/>
  <c r="AB11" i="38"/>
  <c r="I22" i="35" s="1"/>
  <c r="AG10" i="38"/>
  <c r="AF10" i="38"/>
  <c r="AE10" i="38"/>
  <c r="AD10" i="38"/>
  <c r="AC10" i="38"/>
  <c r="AB10" i="38"/>
  <c r="I20" i="35" s="1"/>
  <c r="AG9" i="38"/>
  <c r="AF9" i="38"/>
  <c r="AE9" i="38"/>
  <c r="AD9" i="38"/>
  <c r="AC9" i="38"/>
  <c r="AB9" i="38"/>
  <c r="I18" i="35" s="1"/>
  <c r="AG8" i="38"/>
  <c r="AF8" i="38"/>
  <c r="AE8" i="38"/>
  <c r="AD8" i="38"/>
  <c r="AC8" i="38"/>
  <c r="AB8" i="38"/>
  <c r="I16" i="35" s="1"/>
  <c r="AG7" i="38"/>
  <c r="AF7" i="38"/>
  <c r="AE7" i="38"/>
  <c r="AD7" i="38"/>
  <c r="AC7" i="38"/>
  <c r="AB7" i="38"/>
  <c r="I14" i="35" s="1"/>
  <c r="AG6" i="38"/>
  <c r="AF6" i="38"/>
  <c r="AE6" i="38"/>
  <c r="AD6" i="38"/>
  <c r="AC6" i="38"/>
  <c r="AB6" i="38"/>
  <c r="I12" i="35" s="1"/>
  <c r="AG5" i="38"/>
  <c r="AF5" i="38"/>
  <c r="AE5" i="38"/>
  <c r="AD5" i="38"/>
  <c r="AC5" i="38"/>
  <c r="AB5" i="38"/>
  <c r="I10" i="35" s="1"/>
  <c r="AG4" i="38"/>
  <c r="AF4" i="38"/>
  <c r="AE4" i="38"/>
  <c r="AD4" i="38"/>
  <c r="AC4" i="38"/>
  <c r="AB4" i="38"/>
  <c r="I8" i="35" s="1"/>
  <c r="AG3" i="38"/>
  <c r="AF3" i="38"/>
  <c r="AE3" i="38"/>
  <c r="AD3" i="38"/>
  <c r="AC3" i="38"/>
  <c r="AB3" i="38"/>
  <c r="I6" i="35" s="1"/>
  <c r="AG2" i="38"/>
  <c r="AF2" i="38"/>
  <c r="AE2" i="38"/>
  <c r="AD2" i="38"/>
  <c r="AC2" i="38"/>
  <c r="AB2" i="38"/>
  <c r="I124" i="35" s="1"/>
  <c r="G61" i="35"/>
  <c r="G125" i="35"/>
  <c r="G123" i="35"/>
  <c r="G121" i="35"/>
  <c r="G119" i="35"/>
  <c r="G117" i="35"/>
  <c r="G115" i="35"/>
  <c r="G113" i="35"/>
  <c r="G111" i="35"/>
  <c r="G109" i="35"/>
  <c r="G107" i="35"/>
  <c r="G105" i="35"/>
  <c r="G103" i="35"/>
  <c r="G101" i="35"/>
  <c r="G99" i="35"/>
  <c r="G97" i="35"/>
  <c r="G95" i="35"/>
  <c r="G93" i="35"/>
  <c r="G91" i="35"/>
  <c r="G89" i="35"/>
  <c r="G87" i="35"/>
  <c r="G85" i="35"/>
  <c r="G83" i="35"/>
  <c r="G81" i="35"/>
  <c r="G79" i="35"/>
  <c r="G77" i="35"/>
  <c r="G75" i="35"/>
  <c r="G73" i="35"/>
  <c r="G71" i="35"/>
  <c r="G69" i="35"/>
  <c r="G68" i="35"/>
  <c r="G67" i="35"/>
  <c r="G65" i="35"/>
  <c r="G51" i="35"/>
  <c r="G49" i="35"/>
  <c r="G47" i="35"/>
  <c r="G45" i="35"/>
  <c r="G43" i="35"/>
  <c r="G41" i="35"/>
  <c r="G39" i="35"/>
  <c r="G37" i="35"/>
  <c r="G35" i="35"/>
  <c r="G33" i="35"/>
  <c r="G31" i="35"/>
  <c r="G29" i="35"/>
  <c r="G27" i="35"/>
  <c r="G25" i="35"/>
  <c r="G23" i="35"/>
  <c r="G21" i="35"/>
  <c r="G19" i="35"/>
  <c r="G17" i="35"/>
  <c r="G15" i="35"/>
  <c r="G13" i="35"/>
  <c r="G11" i="35"/>
  <c r="G9" i="35"/>
  <c r="G7" i="35"/>
  <c r="D125" i="35"/>
  <c r="D123" i="35"/>
  <c r="D121" i="35"/>
  <c r="D119" i="35"/>
  <c r="D117" i="35"/>
  <c r="D115" i="35"/>
  <c r="D113" i="35"/>
  <c r="D111" i="35"/>
  <c r="D109" i="35"/>
  <c r="D107" i="35"/>
  <c r="D105" i="35"/>
  <c r="D103" i="35"/>
  <c r="D101" i="35"/>
  <c r="D99" i="35"/>
  <c r="D97" i="35"/>
  <c r="D95" i="35"/>
  <c r="D93" i="35"/>
  <c r="D91" i="35"/>
  <c r="D89" i="35"/>
  <c r="D87" i="35"/>
  <c r="D85" i="35"/>
  <c r="D83" i="35"/>
  <c r="D81" i="35"/>
  <c r="D79" i="35"/>
  <c r="D77" i="35"/>
  <c r="D75" i="35"/>
  <c r="D73" i="35"/>
  <c r="D71" i="35"/>
  <c r="D69" i="35"/>
  <c r="D67" i="35"/>
  <c r="D65" i="35"/>
  <c r="D63" i="35"/>
  <c r="D59" i="35"/>
  <c r="D57" i="35"/>
  <c r="D55" i="35"/>
  <c r="D53" i="35"/>
  <c r="D51" i="35"/>
  <c r="D49" i="35"/>
  <c r="D47" i="35"/>
  <c r="D45" i="35"/>
  <c r="D43" i="35"/>
  <c r="D41" i="35"/>
  <c r="D39" i="35"/>
  <c r="D37" i="35"/>
  <c r="D35" i="35"/>
  <c r="D33" i="35"/>
  <c r="D31" i="35"/>
  <c r="D29" i="35"/>
  <c r="D27" i="35"/>
  <c r="D25" i="35"/>
  <c r="D23" i="35"/>
  <c r="D21" i="35"/>
  <c r="D19" i="35"/>
  <c r="D17" i="35"/>
  <c r="D15" i="35"/>
  <c r="D13" i="35"/>
  <c r="D11" i="35"/>
  <c r="D9" i="35"/>
  <c r="D7" i="35"/>
  <c r="G122" i="35"/>
  <c r="G120" i="35"/>
  <c r="G118" i="35"/>
  <c r="G116" i="35"/>
  <c r="G114" i="35"/>
  <c r="G112" i="35"/>
  <c r="G110" i="35"/>
  <c r="G108" i="35"/>
  <c r="G106" i="35"/>
  <c r="G104" i="35"/>
  <c r="G102" i="35"/>
  <c r="G100" i="35"/>
  <c r="G98" i="35"/>
  <c r="G96" i="35"/>
  <c r="G94" i="35"/>
  <c r="G92" i="35"/>
  <c r="G90" i="35"/>
  <c r="G88" i="35"/>
  <c r="G86" i="35"/>
  <c r="G84" i="35"/>
  <c r="G82" i="35"/>
  <c r="G80" i="35"/>
  <c r="G78" i="35"/>
  <c r="G76" i="35"/>
  <c r="G74" i="35"/>
  <c r="G72" i="35"/>
  <c r="G70" i="35"/>
  <c r="G66" i="35"/>
  <c r="G64" i="35"/>
  <c r="G60" i="35"/>
  <c r="G50" i="35"/>
  <c r="G48" i="35"/>
  <c r="G46" i="35"/>
  <c r="G44" i="35"/>
  <c r="G42" i="35"/>
  <c r="G40" i="35"/>
  <c r="G38" i="35"/>
  <c r="G36" i="35"/>
  <c r="G34" i="35"/>
  <c r="G32" i="35"/>
  <c r="G30" i="35"/>
  <c r="G28" i="35"/>
  <c r="G26" i="35"/>
  <c r="G24" i="35"/>
  <c r="G22" i="35"/>
  <c r="G20" i="35"/>
  <c r="G18" i="35"/>
  <c r="G16" i="35"/>
  <c r="G14" i="35"/>
  <c r="G12" i="35"/>
  <c r="G10" i="35"/>
  <c r="G8" i="35"/>
  <c r="G6" i="35"/>
  <c r="AG2" i="37"/>
  <c r="AF2" i="37"/>
  <c r="AE2" i="37"/>
  <c r="AD2" i="37"/>
  <c r="AC2" i="37"/>
  <c r="AB2" i="37"/>
  <c r="G124" i="35" s="1"/>
  <c r="A14" i="36"/>
  <c r="A15" i="36" s="1"/>
  <c r="A17" i="36" s="1"/>
  <c r="A18" i="36" s="1"/>
  <c r="A20" i="36" s="1"/>
  <c r="A21" i="36" s="1"/>
  <c r="A23" i="36" s="1"/>
  <c r="A24" i="36" s="1"/>
  <c r="A26" i="36" s="1"/>
  <c r="A27" i="36" s="1"/>
  <c r="A29" i="36" s="1"/>
  <c r="A30" i="36" s="1"/>
  <c r="A32" i="36" s="1"/>
  <c r="A33" i="36" s="1"/>
  <c r="A35" i="36" s="1"/>
  <c r="A36" i="36" s="1"/>
  <c r="A38" i="36" s="1"/>
  <c r="A39" i="36" s="1"/>
  <c r="A41" i="36" s="1"/>
  <c r="A42" i="36" s="1"/>
  <c r="A44" i="36" s="1"/>
  <c r="A45" i="36" s="1"/>
  <c r="A47" i="36" s="1"/>
  <c r="A48" i="36" s="1"/>
  <c r="A50" i="36" s="1"/>
  <c r="A51" i="36" s="1"/>
  <c r="A53" i="36" s="1"/>
  <c r="A54" i="36" s="1"/>
  <c r="A56" i="36" s="1"/>
  <c r="A57" i="36" s="1"/>
  <c r="A59" i="36" s="1"/>
  <c r="A60" i="36" s="1"/>
  <c r="A62" i="36" s="1"/>
  <c r="A63" i="36" s="1"/>
  <c r="A65" i="36" s="1"/>
  <c r="A66" i="36" s="1"/>
  <c r="A68" i="36" s="1"/>
  <c r="A69" i="36" s="1"/>
  <c r="A71" i="36" s="1"/>
  <c r="A72" i="36" s="1"/>
  <c r="A74" i="36" s="1"/>
  <c r="A75" i="36" s="1"/>
  <c r="A77" i="36" s="1"/>
  <c r="A78" i="36" s="1"/>
  <c r="A80" i="36" s="1"/>
  <c r="A81" i="36" s="1"/>
  <c r="A83" i="36" s="1"/>
  <c r="A84" i="36" s="1"/>
  <c r="A86" i="36" s="1"/>
  <c r="A87" i="36" s="1"/>
  <c r="A89" i="36" s="1"/>
  <c r="A90" i="36" s="1"/>
  <c r="A92" i="36" s="1"/>
  <c r="A93" i="36" s="1"/>
  <c r="A95" i="36" s="1"/>
  <c r="A96" i="36" s="1"/>
  <c r="A98" i="36" s="1"/>
  <c r="A99" i="36" s="1"/>
  <c r="A101" i="36" s="1"/>
  <c r="A102" i="36" s="1"/>
  <c r="A104" i="36" s="1"/>
  <c r="A105" i="36" s="1"/>
  <c r="A107" i="36" s="1"/>
  <c r="A108" i="36" s="1"/>
  <c r="A110" i="36" s="1"/>
  <c r="A111" i="36" s="1"/>
  <c r="A113" i="36" s="1"/>
  <c r="A114" i="36" s="1"/>
  <c r="A116" i="36" s="1"/>
  <c r="A117" i="36" s="1"/>
  <c r="A119" i="36" s="1"/>
  <c r="A120" i="36" s="1"/>
  <c r="A122" i="36" s="1"/>
  <c r="A123" i="36" s="1"/>
  <c r="A125" i="36" s="1"/>
  <c r="A126" i="36" s="1"/>
  <c r="A128" i="36" s="1"/>
  <c r="A129" i="36" s="1"/>
  <c r="A131" i="36" s="1"/>
  <c r="A132" i="36" s="1"/>
  <c r="A134" i="36" s="1"/>
  <c r="A135" i="36" s="1"/>
  <c r="A137" i="36" s="1"/>
  <c r="A138" i="36" s="1"/>
  <c r="A140" i="36" s="1"/>
  <c r="A141" i="36" s="1"/>
  <c r="A143" i="36" s="1"/>
  <c r="A144" i="36" s="1"/>
  <c r="A146" i="36" s="1"/>
  <c r="A147" i="36" s="1"/>
  <c r="A149" i="36" s="1"/>
  <c r="A150" i="36" s="1"/>
  <c r="A152" i="36" s="1"/>
  <c r="A153" i="36" s="1"/>
  <c r="A155" i="36" s="1"/>
  <c r="A156" i="36" s="1"/>
  <c r="A158" i="36" s="1"/>
  <c r="A159" i="36" s="1"/>
  <c r="A161" i="36" s="1"/>
  <c r="A162" i="36" s="1"/>
  <c r="A164" i="36" s="1"/>
  <c r="A165" i="36" s="1"/>
  <c r="A167" i="36" s="1"/>
  <c r="A168" i="36" s="1"/>
  <c r="A170" i="36" s="1"/>
  <c r="A171" i="36" s="1"/>
  <c r="A173" i="36" s="1"/>
  <c r="A174" i="36" s="1"/>
  <c r="A12" i="36"/>
  <c r="A11" i="36"/>
  <c r="F125" i="35"/>
  <c r="F123" i="35"/>
  <c r="F121" i="35"/>
  <c r="F119" i="35"/>
  <c r="F117" i="35"/>
  <c r="F115" i="35"/>
  <c r="F113" i="35"/>
  <c r="F111" i="35"/>
  <c r="F109" i="35"/>
  <c r="F107" i="35"/>
  <c r="F105" i="35"/>
  <c r="F103" i="35"/>
  <c r="F101" i="35"/>
  <c r="F99" i="35"/>
  <c r="F97" i="35"/>
  <c r="F95" i="35"/>
  <c r="F93" i="35"/>
  <c r="F91" i="35"/>
  <c r="F89" i="35"/>
  <c r="F87" i="35"/>
  <c r="F85" i="35"/>
  <c r="F83" i="35"/>
  <c r="F81" i="35"/>
  <c r="F79" i="35"/>
  <c r="F77" i="35"/>
  <c r="F75" i="35"/>
  <c r="F73" i="35"/>
  <c r="F71" i="35"/>
  <c r="F69" i="35"/>
  <c r="F67" i="35"/>
  <c r="F65" i="35"/>
  <c r="F63" i="35"/>
  <c r="F59" i="35"/>
  <c r="F57" i="35"/>
  <c r="F55" i="35"/>
  <c r="F53" i="35"/>
  <c r="F51" i="35"/>
  <c r="F49" i="35"/>
  <c r="F47" i="35"/>
  <c r="F45" i="35"/>
  <c r="F43" i="35"/>
  <c r="F41" i="35"/>
  <c r="F39" i="35"/>
  <c r="F37" i="35"/>
  <c r="F35" i="35"/>
  <c r="F33" i="35"/>
  <c r="F31" i="35"/>
  <c r="F29" i="35"/>
  <c r="F27" i="35"/>
  <c r="F25" i="35"/>
  <c r="F23" i="35"/>
  <c r="F21" i="35"/>
  <c r="F19" i="35"/>
  <c r="F17" i="35"/>
  <c r="F15" i="35"/>
  <c r="F13" i="35"/>
  <c r="F11" i="35"/>
  <c r="F9" i="35"/>
  <c r="F7" i="35"/>
  <c r="E125" i="35"/>
  <c r="E123" i="35"/>
  <c r="E121" i="35"/>
  <c r="E119" i="35"/>
  <c r="E117" i="35"/>
  <c r="E115" i="35"/>
  <c r="E113" i="35"/>
  <c r="E111" i="35"/>
  <c r="E109" i="35"/>
  <c r="E107" i="35"/>
  <c r="E105" i="35"/>
  <c r="E103" i="35"/>
  <c r="E101" i="35"/>
  <c r="E99" i="35"/>
  <c r="E97" i="35"/>
  <c r="E95" i="35"/>
  <c r="E93" i="35"/>
  <c r="E91" i="35"/>
  <c r="E89" i="35"/>
  <c r="E87" i="35"/>
  <c r="E85" i="35"/>
  <c r="E83" i="35"/>
  <c r="E81" i="35"/>
  <c r="E80" i="35"/>
  <c r="E79" i="35"/>
  <c r="E77" i="35"/>
  <c r="E75" i="35"/>
  <c r="E73" i="35"/>
  <c r="E71" i="35"/>
  <c r="E69" i="35"/>
  <c r="E67" i="35"/>
  <c r="E65" i="35"/>
  <c r="E63" i="35"/>
  <c r="E59" i="35"/>
  <c r="E57" i="35"/>
  <c r="E55" i="35"/>
  <c r="E53" i="35"/>
  <c r="E51" i="35"/>
  <c r="E49" i="35"/>
  <c r="E47" i="35"/>
  <c r="E45" i="35"/>
  <c r="E43" i="35"/>
  <c r="E41" i="35"/>
  <c r="E39" i="35"/>
  <c r="E37" i="35"/>
  <c r="E35" i="35"/>
  <c r="E34" i="35"/>
  <c r="E33" i="35"/>
  <c r="E31" i="35"/>
  <c r="E29" i="35"/>
  <c r="E27" i="35"/>
  <c r="E25" i="35"/>
  <c r="E23" i="35"/>
  <c r="E21" i="35"/>
  <c r="E19" i="35"/>
  <c r="E17" i="35"/>
  <c r="E15" i="35"/>
  <c r="E13" i="35"/>
  <c r="E11" i="35"/>
  <c r="E9" i="35"/>
  <c r="E7" i="35"/>
  <c r="F122" i="35"/>
  <c r="F120" i="35"/>
  <c r="F118" i="35"/>
  <c r="F116" i="35"/>
  <c r="F114" i="35"/>
  <c r="F112" i="35"/>
  <c r="F110" i="35"/>
  <c r="F108" i="35"/>
  <c r="F106" i="35"/>
  <c r="F104" i="35"/>
  <c r="F102" i="35"/>
  <c r="F100" i="35"/>
  <c r="F98" i="35"/>
  <c r="F96" i="35"/>
  <c r="F94" i="35"/>
  <c r="F92" i="35"/>
  <c r="F90" i="35"/>
  <c r="F88" i="35"/>
  <c r="F86" i="35"/>
  <c r="F84" i="35"/>
  <c r="F82" i="35"/>
  <c r="F80" i="35"/>
  <c r="F78" i="35"/>
  <c r="F76" i="35"/>
  <c r="F74" i="35"/>
  <c r="F72" i="35"/>
  <c r="F68" i="35"/>
  <c r="F70" i="35"/>
  <c r="F66" i="35"/>
  <c r="F64" i="35"/>
  <c r="F62" i="35"/>
  <c r="F56" i="35"/>
  <c r="F54" i="35"/>
  <c r="F52" i="35"/>
  <c r="F50" i="35"/>
  <c r="F48" i="35"/>
  <c r="F46" i="35"/>
  <c r="F44" i="35"/>
  <c r="F42" i="35"/>
  <c r="F40" i="35"/>
  <c r="F38" i="35"/>
  <c r="F36" i="35"/>
  <c r="F34" i="35"/>
  <c r="F32" i="35"/>
  <c r="F30" i="35"/>
  <c r="F28" i="35"/>
  <c r="F26" i="35"/>
  <c r="F24" i="35"/>
  <c r="F22" i="35"/>
  <c r="F20" i="35"/>
  <c r="F18" i="35"/>
  <c r="F16" i="35"/>
  <c r="F14" i="35"/>
  <c r="F12" i="35"/>
  <c r="F10" i="35"/>
  <c r="F8" i="35"/>
  <c r="F6" i="35"/>
  <c r="AG2" i="34"/>
  <c r="AF2" i="34"/>
  <c r="AE2" i="34"/>
  <c r="AD2" i="34"/>
  <c r="AC2" i="34"/>
  <c r="AB2" i="34"/>
  <c r="F124" i="35" s="1"/>
  <c r="E122" i="35"/>
  <c r="E120" i="35"/>
  <c r="E118" i="35"/>
  <c r="E116" i="35"/>
  <c r="E114" i="35"/>
  <c r="E112" i="35"/>
  <c r="E110" i="35"/>
  <c r="E108" i="35"/>
  <c r="E106" i="35"/>
  <c r="E104" i="35"/>
  <c r="E102" i="35"/>
  <c r="E100" i="35"/>
  <c r="E98" i="35"/>
  <c r="E96" i="35"/>
  <c r="E94" i="35"/>
  <c r="E92" i="35"/>
  <c r="E90" i="35"/>
  <c r="E88" i="35"/>
  <c r="E86" i="35"/>
  <c r="E84" i="35"/>
  <c r="E82" i="35"/>
  <c r="E78" i="35"/>
  <c r="E76" i="35"/>
  <c r="E74" i="35"/>
  <c r="E72" i="35"/>
  <c r="E68" i="35"/>
  <c r="E70" i="35"/>
  <c r="E66" i="35"/>
  <c r="E64" i="35"/>
  <c r="E62" i="35"/>
  <c r="E58" i="35"/>
  <c r="E56" i="35"/>
  <c r="E54" i="35"/>
  <c r="E52" i="35"/>
  <c r="E50" i="35"/>
  <c r="E48" i="35"/>
  <c r="E46" i="35"/>
  <c r="E44" i="35"/>
  <c r="E42" i="35"/>
  <c r="E40" i="35"/>
  <c r="E38" i="35"/>
  <c r="E36" i="35"/>
  <c r="E32" i="35"/>
  <c r="E30" i="35"/>
  <c r="E28" i="35"/>
  <c r="E26" i="35"/>
  <c r="E24" i="35"/>
  <c r="E22" i="35"/>
  <c r="E20" i="35"/>
  <c r="E18" i="35"/>
  <c r="E16" i="35"/>
  <c r="E14" i="35"/>
  <c r="E12" i="35"/>
  <c r="E10" i="35"/>
  <c r="E8" i="35"/>
  <c r="E6" i="35"/>
  <c r="AG2" i="33"/>
  <c r="AF2" i="33"/>
  <c r="AE2" i="33"/>
  <c r="AD2" i="33"/>
  <c r="AC2" i="33"/>
  <c r="AB2" i="33"/>
  <c r="E124" i="35" s="1"/>
  <c r="D120" i="35"/>
  <c r="D116" i="35"/>
  <c r="D112" i="35"/>
  <c r="D108" i="35"/>
  <c r="D104" i="35"/>
  <c r="D100" i="35"/>
  <c r="D96" i="35"/>
  <c r="D92" i="35"/>
  <c r="D88" i="35"/>
  <c r="D84" i="35"/>
  <c r="D80" i="35"/>
  <c r="D76" i="35"/>
  <c r="D72" i="35"/>
  <c r="D70" i="35"/>
  <c r="D64" i="35"/>
  <c r="D62" i="35"/>
  <c r="D58" i="35"/>
  <c r="AG28" i="32"/>
  <c r="AF28" i="32"/>
  <c r="AE28" i="32"/>
  <c r="AD28" i="32"/>
  <c r="AC28" i="32"/>
  <c r="AB28" i="32"/>
  <c r="D56" i="35" s="1"/>
  <c r="AG27" i="32"/>
  <c r="AF27" i="32"/>
  <c r="AE27" i="32"/>
  <c r="AD27" i="32"/>
  <c r="AC27" i="32"/>
  <c r="AB27" i="32"/>
  <c r="D54" i="35" s="1"/>
  <c r="AG26" i="32"/>
  <c r="AF26" i="32"/>
  <c r="AE26" i="32"/>
  <c r="AD26" i="32"/>
  <c r="AC26" i="32"/>
  <c r="AB26" i="32"/>
  <c r="D52" i="35" s="1"/>
  <c r="AG25" i="32"/>
  <c r="AF25" i="32"/>
  <c r="AE25" i="32"/>
  <c r="AD25" i="32"/>
  <c r="AC25" i="32"/>
  <c r="AB25" i="32"/>
  <c r="D50" i="35" s="1"/>
  <c r="AG24" i="32"/>
  <c r="AF24" i="32"/>
  <c r="AE24" i="32"/>
  <c r="AD24" i="32"/>
  <c r="AC24" i="32"/>
  <c r="AB24" i="32"/>
  <c r="D48" i="35" s="1"/>
  <c r="AG23" i="32"/>
  <c r="AF23" i="32"/>
  <c r="AE23" i="32"/>
  <c r="AD23" i="32"/>
  <c r="AC23" i="32"/>
  <c r="AB23" i="32"/>
  <c r="D46" i="35" s="1"/>
  <c r="AG22" i="32"/>
  <c r="AF22" i="32"/>
  <c r="AE22" i="32"/>
  <c r="AD22" i="32"/>
  <c r="AC22" i="32"/>
  <c r="AB22" i="32"/>
  <c r="D44" i="35" s="1"/>
  <c r="AG21" i="32"/>
  <c r="AF21" i="32"/>
  <c r="AE21" i="32"/>
  <c r="AD21" i="32"/>
  <c r="AC21" i="32"/>
  <c r="AB21" i="32"/>
  <c r="D42" i="35" s="1"/>
  <c r="AG20" i="32"/>
  <c r="AF20" i="32"/>
  <c r="AE20" i="32"/>
  <c r="AD20" i="32"/>
  <c r="AC20" i="32"/>
  <c r="AB20" i="32"/>
  <c r="D40" i="35" s="1"/>
  <c r="AG19" i="32"/>
  <c r="AF19" i="32"/>
  <c r="AE19" i="32"/>
  <c r="AD19" i="32"/>
  <c r="AC19" i="32"/>
  <c r="AB19" i="32"/>
  <c r="D38" i="35" s="1"/>
  <c r="AG18" i="32"/>
  <c r="AF18" i="32"/>
  <c r="AE18" i="32"/>
  <c r="AD18" i="32"/>
  <c r="AC18" i="32"/>
  <c r="AB18" i="32"/>
  <c r="D36" i="35" s="1"/>
  <c r="AG17" i="32"/>
  <c r="AF17" i="32"/>
  <c r="AE17" i="32"/>
  <c r="AD17" i="32"/>
  <c r="AC17" i="32"/>
  <c r="AB17" i="32"/>
  <c r="D34" i="35" s="1"/>
  <c r="AG16" i="32"/>
  <c r="AF16" i="32"/>
  <c r="AE16" i="32"/>
  <c r="AD16" i="32"/>
  <c r="AC16" i="32"/>
  <c r="AB16" i="32"/>
  <c r="D32" i="35" s="1"/>
  <c r="AG15" i="32"/>
  <c r="AF15" i="32"/>
  <c r="AE15" i="32"/>
  <c r="AD15" i="32"/>
  <c r="AC15" i="32"/>
  <c r="AB15" i="32"/>
  <c r="D30" i="35" s="1"/>
  <c r="AG14" i="32"/>
  <c r="AF14" i="32"/>
  <c r="AE14" i="32"/>
  <c r="AD14" i="32"/>
  <c r="AC14" i="32"/>
  <c r="AB14" i="32"/>
  <c r="D28" i="35" s="1"/>
  <c r="AG13" i="32"/>
  <c r="AF13" i="32"/>
  <c r="AE13" i="32"/>
  <c r="AD13" i="32"/>
  <c r="AC13" i="32"/>
  <c r="AB13" i="32"/>
  <c r="D26" i="35" s="1"/>
  <c r="AG12" i="32"/>
  <c r="AF12" i="32"/>
  <c r="AE12" i="32"/>
  <c r="AD12" i="32"/>
  <c r="AC12" i="32"/>
  <c r="AB12" i="32"/>
  <c r="D24" i="35" s="1"/>
  <c r="AG11" i="32"/>
  <c r="AF11" i="32"/>
  <c r="AE11" i="32"/>
  <c r="AD11" i="32"/>
  <c r="AC11" i="32"/>
  <c r="AB11" i="32"/>
  <c r="D22" i="35" s="1"/>
  <c r="AG10" i="32"/>
  <c r="AF10" i="32"/>
  <c r="AE10" i="32"/>
  <c r="AD10" i="32"/>
  <c r="AC10" i="32"/>
  <c r="AB10" i="32"/>
  <c r="D20" i="35" s="1"/>
  <c r="AG9" i="32"/>
  <c r="AF9" i="32"/>
  <c r="AE9" i="32"/>
  <c r="AD9" i="32"/>
  <c r="AC9" i="32"/>
  <c r="AB9" i="32"/>
  <c r="D18" i="35" s="1"/>
  <c r="AG8" i="32"/>
  <c r="AF8" i="32"/>
  <c r="AE8" i="32"/>
  <c r="AD8" i="32"/>
  <c r="AC8" i="32"/>
  <c r="AB8" i="32"/>
  <c r="D16" i="35" s="1"/>
  <c r="AG7" i="32"/>
  <c r="AF7" i="32"/>
  <c r="AE7" i="32"/>
  <c r="AD7" i="32"/>
  <c r="AC7" i="32"/>
  <c r="AB7" i="32"/>
  <c r="D14" i="35" s="1"/>
  <c r="AG6" i="32"/>
  <c r="AF6" i="32"/>
  <c r="AE6" i="32"/>
  <c r="AD6" i="32"/>
  <c r="AC6" i="32"/>
  <c r="AB6" i="32"/>
  <c r="D12" i="35" s="1"/>
  <c r="AG5" i="32"/>
  <c r="AF5" i="32"/>
  <c r="AE5" i="32"/>
  <c r="AD5" i="32"/>
  <c r="AC5" i="32"/>
  <c r="AB5" i="32"/>
  <c r="D10" i="35" s="1"/>
  <c r="AG4" i="32"/>
  <c r="AF4" i="32"/>
  <c r="AE4" i="32"/>
  <c r="AD4" i="32"/>
  <c r="AC4" i="32"/>
  <c r="AB4" i="32"/>
  <c r="D8" i="35" s="1"/>
  <c r="AG3" i="32"/>
  <c r="AF3" i="32"/>
  <c r="AE3" i="32"/>
  <c r="AD3" i="32"/>
  <c r="AC3" i="32"/>
  <c r="AB3" i="32"/>
  <c r="D6" i="35" s="1"/>
  <c r="AG2" i="32"/>
  <c r="AF2" i="32"/>
  <c r="AE2" i="32"/>
  <c r="AD2" i="32"/>
  <c r="AC2" i="32"/>
  <c r="AB2" i="32"/>
  <c r="D124" i="35" s="1"/>
  <c r="H107" i="29"/>
  <c r="H108" i="29"/>
  <c r="H109" i="29"/>
  <c r="H110" i="29"/>
  <c r="H111" i="29"/>
  <c r="H112" i="29"/>
  <c r="G93" i="29"/>
  <c r="G94" i="29"/>
  <c r="E128" i="29"/>
  <c r="F128" i="29"/>
  <c r="G128" i="29"/>
  <c r="H128" i="29"/>
  <c r="I128" i="29"/>
  <c r="E129" i="29"/>
  <c r="F129" i="29"/>
  <c r="G129" i="29"/>
  <c r="H129" i="29"/>
  <c r="I129" i="29"/>
  <c r="E127" i="29"/>
  <c r="F127" i="29"/>
  <c r="G127" i="29"/>
  <c r="H127" i="29"/>
  <c r="I127" i="29"/>
  <c r="D127" i="29"/>
  <c r="D123" i="29"/>
  <c r="E123" i="29"/>
  <c r="F123" i="29"/>
  <c r="G123" i="29"/>
  <c r="H123" i="29"/>
  <c r="I123" i="29"/>
  <c r="D124" i="29"/>
  <c r="E124" i="29"/>
  <c r="F124" i="29"/>
  <c r="G124" i="29"/>
  <c r="H124" i="29"/>
  <c r="I124" i="29"/>
  <c r="J124" i="29"/>
  <c r="I7" i="29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88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H7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G7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F7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E7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6" i="29"/>
  <c r="F6" i="29"/>
  <c r="G6" i="29"/>
  <c r="H6" i="29"/>
  <c r="I6" i="29"/>
  <c r="J6" i="29"/>
  <c r="J10" i="29"/>
  <c r="J12" i="29"/>
  <c r="J14" i="29"/>
  <c r="J16" i="29"/>
  <c r="J18" i="29"/>
  <c r="J20" i="29"/>
  <c r="J22" i="29"/>
  <c r="J24" i="29"/>
  <c r="J26" i="29"/>
  <c r="J28" i="29"/>
  <c r="J30" i="29"/>
  <c r="J32" i="29"/>
  <c r="J34" i="29"/>
  <c r="J36" i="29"/>
  <c r="J38" i="29"/>
  <c r="J40" i="29"/>
  <c r="J42" i="29"/>
  <c r="J44" i="29"/>
  <c r="J46" i="29"/>
  <c r="J48" i="29"/>
  <c r="J50" i="29"/>
  <c r="J52" i="29"/>
  <c r="J54" i="29"/>
  <c r="J56" i="29"/>
  <c r="J58" i="29"/>
  <c r="J60" i="29"/>
  <c r="J62" i="29"/>
  <c r="J64" i="29"/>
  <c r="J66" i="29"/>
  <c r="J68" i="29"/>
  <c r="J70" i="29"/>
  <c r="J72" i="29"/>
  <c r="J74" i="29"/>
  <c r="J76" i="29"/>
  <c r="J78" i="29"/>
  <c r="J80" i="29"/>
  <c r="J82" i="29"/>
  <c r="J84" i="29"/>
  <c r="J86" i="29"/>
  <c r="J88" i="29"/>
  <c r="J90" i="29"/>
  <c r="J92" i="29"/>
  <c r="J94" i="29"/>
  <c r="J96" i="29"/>
  <c r="J98" i="29"/>
  <c r="J100" i="29"/>
  <c r="J102" i="29"/>
  <c r="J104" i="29"/>
  <c r="J106" i="29"/>
  <c r="J108" i="29"/>
  <c r="J110" i="29"/>
  <c r="J112" i="29"/>
  <c r="J114" i="29"/>
  <c r="J116" i="29"/>
  <c r="J118" i="29"/>
  <c r="J120" i="29"/>
  <c r="J121" i="29"/>
  <c r="J122" i="29"/>
  <c r="I122" i="29"/>
  <c r="I5" i="29"/>
  <c r="AB3" i="30"/>
  <c r="J5" i="29" s="1"/>
  <c r="AC3" i="30"/>
  <c r="AD3" i="30"/>
  <c r="AE3" i="30"/>
  <c r="AF3" i="30"/>
  <c r="AG3" i="30"/>
  <c r="AB4" i="30"/>
  <c r="J7" i="29" s="1"/>
  <c r="AC4" i="30"/>
  <c r="AD4" i="30"/>
  <c r="AE4" i="30"/>
  <c r="AF4" i="30"/>
  <c r="AG4" i="30"/>
  <c r="AB5" i="30"/>
  <c r="J9" i="29" s="1"/>
  <c r="AC5" i="30"/>
  <c r="AD5" i="30"/>
  <c r="AE5" i="30"/>
  <c r="AF5" i="30"/>
  <c r="AG5" i="30"/>
  <c r="AB6" i="30"/>
  <c r="J11" i="29" s="1"/>
  <c r="AC6" i="30"/>
  <c r="AD6" i="30"/>
  <c r="AE6" i="30"/>
  <c r="AF6" i="30"/>
  <c r="AG6" i="30"/>
  <c r="AB7" i="30"/>
  <c r="J13" i="29" s="1"/>
  <c r="AC7" i="30"/>
  <c r="AD7" i="30"/>
  <c r="AE7" i="30"/>
  <c r="AF7" i="30"/>
  <c r="AG7" i="30"/>
  <c r="AB8" i="30"/>
  <c r="J15" i="29" s="1"/>
  <c r="AC8" i="30"/>
  <c r="AD8" i="30"/>
  <c r="AE8" i="30"/>
  <c r="AF8" i="30"/>
  <c r="AG8" i="30"/>
  <c r="AB9" i="30"/>
  <c r="J17" i="29" s="1"/>
  <c r="AC9" i="30"/>
  <c r="AD9" i="30"/>
  <c r="AE9" i="30"/>
  <c r="AF9" i="30"/>
  <c r="AG9" i="30"/>
  <c r="AB10" i="30"/>
  <c r="J19" i="29" s="1"/>
  <c r="AC10" i="30"/>
  <c r="AD10" i="30"/>
  <c r="AE10" i="30"/>
  <c r="AF10" i="30"/>
  <c r="AG10" i="30"/>
  <c r="AB11" i="30"/>
  <c r="J21" i="29" s="1"/>
  <c r="AC11" i="30"/>
  <c r="AD11" i="30"/>
  <c r="AE11" i="30"/>
  <c r="AF11" i="30"/>
  <c r="AG11" i="30"/>
  <c r="AB12" i="30"/>
  <c r="J23" i="29" s="1"/>
  <c r="AC12" i="30"/>
  <c r="AD12" i="30"/>
  <c r="AE12" i="30"/>
  <c r="AF12" i="30"/>
  <c r="AG12" i="30"/>
  <c r="AB13" i="30"/>
  <c r="J25" i="29" s="1"/>
  <c r="AC13" i="30"/>
  <c r="AD13" i="30"/>
  <c r="AE13" i="30"/>
  <c r="AF13" i="30"/>
  <c r="AG13" i="30"/>
  <c r="AB14" i="30"/>
  <c r="J27" i="29" s="1"/>
  <c r="AC14" i="30"/>
  <c r="AD14" i="30"/>
  <c r="AE14" i="30"/>
  <c r="AF14" i="30"/>
  <c r="AG14" i="30"/>
  <c r="AB15" i="30"/>
  <c r="J29" i="29" s="1"/>
  <c r="AC15" i="30"/>
  <c r="AD15" i="30"/>
  <c r="AE15" i="30"/>
  <c r="AF15" i="30"/>
  <c r="AG15" i="30"/>
  <c r="AB16" i="30"/>
  <c r="J31" i="29" s="1"/>
  <c r="AC16" i="30"/>
  <c r="AD16" i="30"/>
  <c r="AE16" i="30"/>
  <c r="AF16" i="30"/>
  <c r="AG16" i="30"/>
  <c r="AB17" i="30"/>
  <c r="J33" i="29" s="1"/>
  <c r="AC17" i="30"/>
  <c r="AD17" i="30"/>
  <c r="AE17" i="30"/>
  <c r="AF17" i="30"/>
  <c r="AG17" i="30"/>
  <c r="AB18" i="30"/>
  <c r="J35" i="29" s="1"/>
  <c r="AC18" i="30"/>
  <c r="AD18" i="30"/>
  <c r="AE18" i="30"/>
  <c r="AF18" i="30"/>
  <c r="AG18" i="30"/>
  <c r="AB19" i="30"/>
  <c r="J37" i="29" s="1"/>
  <c r="AC19" i="30"/>
  <c r="AD19" i="30"/>
  <c r="AE19" i="30"/>
  <c r="AF19" i="30"/>
  <c r="AG19" i="30"/>
  <c r="AB20" i="30"/>
  <c r="J39" i="29" s="1"/>
  <c r="AC20" i="30"/>
  <c r="AD20" i="30"/>
  <c r="AE20" i="30"/>
  <c r="AF20" i="30"/>
  <c r="AG20" i="30"/>
  <c r="AB21" i="30"/>
  <c r="J41" i="29" s="1"/>
  <c r="AC21" i="30"/>
  <c r="AD21" i="30"/>
  <c r="AE21" i="30"/>
  <c r="AF21" i="30"/>
  <c r="AG21" i="30"/>
  <c r="AB22" i="30"/>
  <c r="J43" i="29" s="1"/>
  <c r="AC22" i="30"/>
  <c r="AD22" i="30"/>
  <c r="AE22" i="30"/>
  <c r="AF22" i="30"/>
  <c r="AG22" i="30"/>
  <c r="AB23" i="30"/>
  <c r="J45" i="29" s="1"/>
  <c r="AC23" i="30"/>
  <c r="AD23" i="30"/>
  <c r="AE23" i="30"/>
  <c r="AF23" i="30"/>
  <c r="AG23" i="30"/>
  <c r="AB24" i="30"/>
  <c r="J47" i="29" s="1"/>
  <c r="AC24" i="30"/>
  <c r="AD24" i="30"/>
  <c r="AE24" i="30"/>
  <c r="AF24" i="30"/>
  <c r="AG24" i="30"/>
  <c r="AB25" i="30"/>
  <c r="J49" i="29" s="1"/>
  <c r="AC25" i="30"/>
  <c r="AD25" i="30"/>
  <c r="AE25" i="30"/>
  <c r="AF25" i="30"/>
  <c r="AG25" i="30"/>
  <c r="AB26" i="30"/>
  <c r="J51" i="29" s="1"/>
  <c r="AC26" i="30"/>
  <c r="AD26" i="30"/>
  <c r="AE26" i="30"/>
  <c r="AF26" i="30"/>
  <c r="AG26" i="30"/>
  <c r="AB27" i="30"/>
  <c r="J53" i="29" s="1"/>
  <c r="AC27" i="30"/>
  <c r="AD27" i="30"/>
  <c r="AE27" i="30"/>
  <c r="AF27" i="30"/>
  <c r="AG27" i="30"/>
  <c r="AB28" i="30"/>
  <c r="J55" i="29" s="1"/>
  <c r="AC28" i="30"/>
  <c r="AD28" i="30"/>
  <c r="AE28" i="30"/>
  <c r="AF28" i="30"/>
  <c r="AG28" i="30"/>
  <c r="AB29" i="30"/>
  <c r="J57" i="29" s="1"/>
  <c r="AC29" i="30"/>
  <c r="AD29" i="30"/>
  <c r="AE29" i="30"/>
  <c r="AF29" i="30"/>
  <c r="AG29" i="30"/>
  <c r="AB30" i="30"/>
  <c r="J59" i="29" s="1"/>
  <c r="AC30" i="30"/>
  <c r="AD30" i="30"/>
  <c r="AE30" i="30"/>
  <c r="AF30" i="30"/>
  <c r="AG30" i="30"/>
  <c r="AB31" i="30"/>
  <c r="J61" i="29" s="1"/>
  <c r="AC31" i="30"/>
  <c r="AD31" i="30"/>
  <c r="AE31" i="30"/>
  <c r="AF31" i="30"/>
  <c r="AG31" i="30"/>
  <c r="AB32" i="30"/>
  <c r="J63" i="29" s="1"/>
  <c r="AC32" i="30"/>
  <c r="AD32" i="30"/>
  <c r="AE32" i="30"/>
  <c r="AF32" i="30"/>
  <c r="AG32" i="30"/>
  <c r="AB33" i="30"/>
  <c r="J65" i="29" s="1"/>
  <c r="AC33" i="30"/>
  <c r="AD33" i="30"/>
  <c r="AE33" i="30"/>
  <c r="AF33" i="30"/>
  <c r="AG33" i="30"/>
  <c r="AB34" i="30"/>
  <c r="J69" i="29" s="1"/>
  <c r="AC34" i="30"/>
  <c r="AD34" i="30"/>
  <c r="AE34" i="30"/>
  <c r="AF34" i="30"/>
  <c r="AG34" i="30"/>
  <c r="AB35" i="30"/>
  <c r="J67" i="29" s="1"/>
  <c r="AC35" i="30"/>
  <c r="AD35" i="30"/>
  <c r="AE35" i="30"/>
  <c r="AF35" i="30"/>
  <c r="AG35" i="30"/>
  <c r="AB36" i="30"/>
  <c r="J71" i="29" s="1"/>
  <c r="AC36" i="30"/>
  <c r="AD36" i="30"/>
  <c r="AE36" i="30"/>
  <c r="AF36" i="30"/>
  <c r="AG36" i="30"/>
  <c r="AB37" i="30"/>
  <c r="J73" i="29" s="1"/>
  <c r="AC37" i="30"/>
  <c r="AD37" i="30"/>
  <c r="AE37" i="30"/>
  <c r="AF37" i="30"/>
  <c r="AG37" i="30"/>
  <c r="AB38" i="30"/>
  <c r="J75" i="29" s="1"/>
  <c r="AC38" i="30"/>
  <c r="AD38" i="30"/>
  <c r="AE38" i="30"/>
  <c r="AF38" i="30"/>
  <c r="AG38" i="30"/>
  <c r="AB39" i="30"/>
  <c r="J77" i="29" s="1"/>
  <c r="AC39" i="30"/>
  <c r="AD39" i="30"/>
  <c r="AE39" i="30"/>
  <c r="AF39" i="30"/>
  <c r="AG39" i="30"/>
  <c r="AB40" i="30"/>
  <c r="J79" i="29" s="1"/>
  <c r="AC40" i="30"/>
  <c r="AD40" i="30"/>
  <c r="AE40" i="30"/>
  <c r="AF40" i="30"/>
  <c r="AG40" i="30"/>
  <c r="AB41" i="30"/>
  <c r="J81" i="29" s="1"/>
  <c r="AC41" i="30"/>
  <c r="AD41" i="30"/>
  <c r="AE41" i="30"/>
  <c r="AF41" i="30"/>
  <c r="AG41" i="30"/>
  <c r="AB42" i="30"/>
  <c r="J83" i="29" s="1"/>
  <c r="AC42" i="30"/>
  <c r="AD42" i="30"/>
  <c r="AE42" i="30"/>
  <c r="AF42" i="30"/>
  <c r="AG42" i="30"/>
  <c r="AB43" i="30"/>
  <c r="J85" i="29" s="1"/>
  <c r="AC43" i="30"/>
  <c r="AD43" i="30"/>
  <c r="AE43" i="30"/>
  <c r="AF43" i="30"/>
  <c r="AG43" i="30"/>
  <c r="AB44" i="30"/>
  <c r="J87" i="29" s="1"/>
  <c r="AC44" i="30"/>
  <c r="AD44" i="30"/>
  <c r="AE44" i="30"/>
  <c r="AF44" i="30"/>
  <c r="AG44" i="30"/>
  <c r="AB45" i="30"/>
  <c r="J89" i="29" s="1"/>
  <c r="AC45" i="30"/>
  <c r="AD45" i="30"/>
  <c r="AE45" i="30"/>
  <c r="AF45" i="30"/>
  <c r="AG45" i="30"/>
  <c r="AB46" i="30"/>
  <c r="J91" i="29" s="1"/>
  <c r="AC46" i="30"/>
  <c r="AD46" i="30"/>
  <c r="AE46" i="30"/>
  <c r="AF46" i="30"/>
  <c r="AG46" i="30"/>
  <c r="AB47" i="30"/>
  <c r="J93" i="29" s="1"/>
  <c r="AC47" i="30"/>
  <c r="AD47" i="30"/>
  <c r="AE47" i="30"/>
  <c r="AF47" i="30"/>
  <c r="AG47" i="30"/>
  <c r="AB48" i="30"/>
  <c r="J95" i="29" s="1"/>
  <c r="AC48" i="30"/>
  <c r="AD48" i="30"/>
  <c r="AE48" i="30"/>
  <c r="AF48" i="30"/>
  <c r="AG48" i="30"/>
  <c r="AB49" i="30"/>
  <c r="J97" i="29" s="1"/>
  <c r="AC49" i="30"/>
  <c r="AD49" i="30"/>
  <c r="AE49" i="30"/>
  <c r="AF49" i="30"/>
  <c r="AG49" i="30"/>
  <c r="AB50" i="30"/>
  <c r="J99" i="29" s="1"/>
  <c r="AC50" i="30"/>
  <c r="AD50" i="30"/>
  <c r="AE50" i="30"/>
  <c r="AF50" i="30"/>
  <c r="AG50" i="30"/>
  <c r="AB51" i="30"/>
  <c r="J101" i="29" s="1"/>
  <c r="AC51" i="30"/>
  <c r="AD51" i="30"/>
  <c r="AE51" i="30"/>
  <c r="AF51" i="30"/>
  <c r="AG51" i="30"/>
  <c r="AB52" i="30"/>
  <c r="J103" i="29" s="1"/>
  <c r="AC52" i="30"/>
  <c r="AD52" i="30"/>
  <c r="AE52" i="30"/>
  <c r="AF52" i="30"/>
  <c r="AG52" i="30"/>
  <c r="AB53" i="30"/>
  <c r="J105" i="29" s="1"/>
  <c r="AC53" i="30"/>
  <c r="AD53" i="30"/>
  <c r="AE53" i="30"/>
  <c r="AF53" i="30"/>
  <c r="AG53" i="30"/>
  <c r="AB54" i="30"/>
  <c r="J107" i="29" s="1"/>
  <c r="AC54" i="30"/>
  <c r="AD54" i="30"/>
  <c r="AE54" i="30"/>
  <c r="AF54" i="30"/>
  <c r="AG54" i="30"/>
  <c r="AB55" i="30"/>
  <c r="J109" i="29" s="1"/>
  <c r="AC55" i="30"/>
  <c r="AD55" i="30"/>
  <c r="AE55" i="30"/>
  <c r="AF55" i="30"/>
  <c r="AG55" i="30"/>
  <c r="AB56" i="30"/>
  <c r="J111" i="29" s="1"/>
  <c r="AC56" i="30"/>
  <c r="AD56" i="30"/>
  <c r="AE56" i="30"/>
  <c r="AF56" i="30"/>
  <c r="AG56" i="30"/>
  <c r="AB57" i="30"/>
  <c r="J113" i="29" s="1"/>
  <c r="AC57" i="30"/>
  <c r="AD57" i="30"/>
  <c r="AE57" i="30"/>
  <c r="AF57" i="30"/>
  <c r="AG57" i="30"/>
  <c r="AB58" i="30"/>
  <c r="J115" i="29" s="1"/>
  <c r="AC58" i="30"/>
  <c r="AD58" i="30"/>
  <c r="AE58" i="30"/>
  <c r="AF58" i="30"/>
  <c r="AG58" i="30"/>
  <c r="AB59" i="30"/>
  <c r="J117" i="29" s="1"/>
  <c r="AC59" i="30"/>
  <c r="AD59" i="30"/>
  <c r="AE59" i="30"/>
  <c r="AF59" i="30"/>
  <c r="AG59" i="30"/>
  <c r="AB60" i="30"/>
  <c r="J119" i="29" s="1"/>
  <c r="AC60" i="30"/>
  <c r="AD60" i="30"/>
  <c r="AE60" i="30"/>
  <c r="AF60" i="30"/>
  <c r="AG60" i="30"/>
  <c r="AG2" i="30"/>
  <c r="AF2" i="30"/>
  <c r="AE2" i="30"/>
  <c r="AD2" i="30"/>
  <c r="AC2" i="30"/>
  <c r="AB2" i="30"/>
  <c r="J123" i="29" s="1"/>
  <c r="I121" i="29"/>
  <c r="H5" i="29"/>
  <c r="E5" i="29"/>
  <c r="F5" i="29"/>
  <c r="G5" i="29"/>
  <c r="D6" i="29"/>
  <c r="D5" i="29"/>
  <c r="A17" i="4"/>
  <c r="A18" i="4" s="1"/>
  <c r="A20" i="4" s="1"/>
  <c r="A21" i="4" s="1"/>
  <c r="A23" i="4" s="1"/>
  <c r="A24" i="4" s="1"/>
  <c r="A26" i="4" s="1"/>
  <c r="A27" i="4" s="1"/>
  <c r="A29" i="4" s="1"/>
  <c r="A30" i="4" s="1"/>
  <c r="A32" i="4" s="1"/>
  <c r="A33" i="4" s="1"/>
  <c r="A35" i="4" s="1"/>
  <c r="A36" i="4" s="1"/>
  <c r="A38" i="4" s="1"/>
  <c r="A39" i="4" s="1"/>
  <c r="A41" i="4" s="1"/>
  <c r="A42" i="4" s="1"/>
  <c r="A44" i="4" s="1"/>
  <c r="A45" i="4" s="1"/>
  <c r="A47" i="4" s="1"/>
  <c r="A48" i="4" s="1"/>
  <c r="A50" i="4" s="1"/>
  <c r="A51" i="4" s="1"/>
  <c r="A53" i="4" s="1"/>
  <c r="A54" i="4" s="1"/>
  <c r="A56" i="4" s="1"/>
  <c r="A57" i="4" s="1"/>
  <c r="A59" i="4" s="1"/>
  <c r="A60" i="4" s="1"/>
  <c r="A62" i="4" s="1"/>
  <c r="A63" i="4" s="1"/>
  <c r="A65" i="4" s="1"/>
  <c r="A66" i="4" s="1"/>
  <c r="A68" i="4" s="1"/>
  <c r="A69" i="4" s="1"/>
  <c r="A71" i="4" s="1"/>
  <c r="A72" i="4" s="1"/>
  <c r="A74" i="4" s="1"/>
  <c r="A75" i="4" s="1"/>
  <c r="A77" i="4" s="1"/>
  <c r="A78" i="4" s="1"/>
  <c r="A80" i="4" s="1"/>
  <c r="A81" i="4" s="1"/>
  <c r="A83" i="4" s="1"/>
  <c r="A84" i="4" s="1"/>
  <c r="A86" i="4" s="1"/>
  <c r="A87" i="4" s="1"/>
  <c r="A89" i="4" s="1"/>
  <c r="A90" i="4" s="1"/>
  <c r="A92" i="4" s="1"/>
  <c r="A93" i="4" s="1"/>
  <c r="A95" i="4" s="1"/>
  <c r="A96" i="4" s="1"/>
  <c r="A98" i="4" s="1"/>
  <c r="A99" i="4" s="1"/>
  <c r="A101" i="4" s="1"/>
  <c r="A102" i="4" s="1"/>
  <c r="A104" i="4" s="1"/>
  <c r="A105" i="4" s="1"/>
  <c r="A107" i="4" s="1"/>
  <c r="A108" i="4" s="1"/>
  <c r="A110" i="4" s="1"/>
  <c r="A111" i="4" s="1"/>
  <c r="A113" i="4" s="1"/>
  <c r="A114" i="4" s="1"/>
  <c r="A116" i="4" s="1"/>
  <c r="A117" i="4" s="1"/>
  <c r="A119" i="4" s="1"/>
  <c r="A120" i="4" s="1"/>
  <c r="A122" i="4" s="1"/>
  <c r="A123" i="4" s="1"/>
  <c r="A125" i="4" s="1"/>
  <c r="A126" i="4" s="1"/>
  <c r="A128" i="4" s="1"/>
  <c r="A129" i="4" s="1"/>
  <c r="A131" i="4" s="1"/>
  <c r="A132" i="4" s="1"/>
  <c r="A134" i="4" s="1"/>
  <c r="A135" i="4" s="1"/>
  <c r="A137" i="4" s="1"/>
  <c r="A138" i="4" s="1"/>
  <c r="A140" i="4" s="1"/>
  <c r="A141" i="4" s="1"/>
  <c r="A143" i="4" s="1"/>
  <c r="A144" i="4" s="1"/>
  <c r="A146" i="4" s="1"/>
  <c r="A147" i="4" s="1"/>
  <c r="A149" i="4" s="1"/>
  <c r="A150" i="4" s="1"/>
  <c r="A152" i="4" s="1"/>
  <c r="A153" i="4" s="1"/>
  <c r="A155" i="4" s="1"/>
  <c r="A156" i="4" s="1"/>
  <c r="A158" i="4" s="1"/>
  <c r="A159" i="4" s="1"/>
  <c r="A161" i="4" s="1"/>
  <c r="A162" i="4" s="1"/>
  <c r="A164" i="4" s="1"/>
  <c r="A165" i="4" s="1"/>
  <c r="A167" i="4" s="1"/>
  <c r="A168" i="4" s="1"/>
  <c r="A170" i="4" s="1"/>
  <c r="A171" i="4" s="1"/>
  <c r="A173" i="4" s="1"/>
  <c r="A174" i="4" s="1"/>
  <c r="A176" i="4" s="1"/>
  <c r="A177" i="4" s="1"/>
  <c r="A179" i="4" s="1"/>
  <c r="A180" i="4" s="1"/>
  <c r="A182" i="4" s="1"/>
  <c r="A183" i="4" s="1"/>
  <c r="A185" i="4" s="1"/>
  <c r="A186" i="4" s="1"/>
  <c r="A14" i="4"/>
  <c r="A15" i="4" s="1"/>
  <c r="A12" i="4"/>
  <c r="A11" i="4"/>
  <c r="Z85" i="28"/>
  <c r="Y85" i="28"/>
  <c r="X85" i="28"/>
  <c r="W85" i="28"/>
  <c r="V85" i="28"/>
  <c r="U85" i="28"/>
  <c r="T85" i="28"/>
  <c r="S85" i="28"/>
  <c r="R85" i="28"/>
  <c r="Q85" i="28"/>
  <c r="P85" i="28"/>
  <c r="O85" i="28"/>
  <c r="X84" i="28"/>
  <c r="W84" i="28"/>
  <c r="V84" i="28"/>
  <c r="U84" i="28"/>
  <c r="T84" i="28"/>
  <c r="S84" i="28"/>
  <c r="R84" i="28"/>
  <c r="Q84" i="28"/>
  <c r="P84" i="28"/>
  <c r="O84" i="28"/>
  <c r="Z83" i="28"/>
  <c r="Y83" i="28"/>
  <c r="X83" i="28"/>
  <c r="W83" i="28"/>
  <c r="V83" i="28"/>
  <c r="U83" i="28"/>
  <c r="T83" i="28"/>
  <c r="S83" i="28"/>
  <c r="R83" i="28"/>
  <c r="Q83" i="28"/>
  <c r="P83" i="28"/>
  <c r="O83" i="28"/>
  <c r="Z82" i="28"/>
  <c r="Y82" i="28"/>
  <c r="X82" i="28"/>
  <c r="W82" i="28"/>
  <c r="V82" i="28"/>
  <c r="U82" i="28"/>
  <c r="T82" i="28"/>
  <c r="S82" i="28"/>
  <c r="R82" i="28"/>
  <c r="Q82" i="28"/>
  <c r="P82" i="28"/>
  <c r="O82" i="28"/>
  <c r="Z81" i="28"/>
  <c r="Y81" i="28"/>
  <c r="X81" i="28"/>
  <c r="W81" i="28"/>
  <c r="V81" i="28"/>
  <c r="U81" i="28"/>
  <c r="T81" i="28"/>
  <c r="S81" i="28"/>
  <c r="R81" i="28"/>
  <c r="Q81" i="28"/>
  <c r="P81" i="28"/>
  <c r="O81" i="28"/>
  <c r="Z80" i="28"/>
  <c r="Y80" i="28"/>
  <c r="X80" i="28"/>
  <c r="W80" i="28"/>
  <c r="V80" i="28"/>
  <c r="U80" i="28"/>
  <c r="T80" i="28"/>
  <c r="S80" i="28"/>
  <c r="R80" i="28"/>
  <c r="Q80" i="28"/>
  <c r="P80" i="28"/>
  <c r="O80" i="28"/>
  <c r="Z79" i="28"/>
  <c r="Y79" i="28"/>
  <c r="X79" i="28"/>
  <c r="W79" i="28"/>
  <c r="V79" i="28"/>
  <c r="U79" i="28"/>
  <c r="T79" i="28"/>
  <c r="S79" i="28"/>
  <c r="R79" i="28"/>
  <c r="Q79" i="28"/>
  <c r="P79" i="28"/>
  <c r="O79" i="28"/>
  <c r="Z78" i="28"/>
  <c r="Y78" i="28"/>
  <c r="X78" i="28"/>
  <c r="W78" i="28"/>
  <c r="V78" i="28"/>
  <c r="U78" i="28"/>
  <c r="T78" i="28"/>
  <c r="S78" i="28"/>
  <c r="R78" i="28"/>
  <c r="Q78" i="28"/>
  <c r="P78" i="28"/>
  <c r="O78" i="28"/>
  <c r="Z77" i="28"/>
  <c r="Y77" i="28"/>
  <c r="X77" i="28"/>
  <c r="W77" i="28"/>
  <c r="V77" i="28"/>
  <c r="U77" i="28"/>
  <c r="T77" i="28"/>
  <c r="S77" i="28"/>
  <c r="R77" i="28"/>
  <c r="Q77" i="28"/>
  <c r="P77" i="28"/>
  <c r="O77" i="28"/>
  <c r="Z76" i="28"/>
  <c r="Y76" i="28"/>
  <c r="X76" i="28"/>
  <c r="W76" i="28"/>
  <c r="V76" i="28"/>
  <c r="U76" i="28"/>
  <c r="T76" i="28"/>
  <c r="S76" i="28"/>
  <c r="R76" i="28"/>
  <c r="Q76" i="28"/>
  <c r="P76" i="28"/>
  <c r="O76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Z74" i="28"/>
  <c r="Y74" i="28"/>
  <c r="X74" i="28"/>
  <c r="W74" i="28"/>
  <c r="V74" i="28"/>
  <c r="U74" i="28"/>
  <c r="T74" i="28"/>
  <c r="S74" i="28"/>
  <c r="R74" i="28"/>
  <c r="Q74" i="28"/>
  <c r="P74" i="28"/>
  <c r="O74" i="28"/>
  <c r="Z73" i="28"/>
  <c r="Y73" i="28"/>
  <c r="X73" i="28"/>
  <c r="W73" i="28"/>
  <c r="V73" i="28"/>
  <c r="U73" i="28"/>
  <c r="T73" i="28"/>
  <c r="S73" i="28"/>
  <c r="R73" i="28"/>
  <c r="Q73" i="28"/>
  <c r="P73" i="28"/>
  <c r="O73" i="28"/>
  <c r="W69" i="28"/>
  <c r="S69" i="28"/>
  <c r="O69" i="28"/>
  <c r="Z67" i="28"/>
  <c r="Y67" i="28"/>
  <c r="X67" i="28"/>
  <c r="W67" i="28"/>
  <c r="V67" i="28"/>
  <c r="U67" i="28"/>
  <c r="T67" i="28"/>
  <c r="S67" i="28"/>
  <c r="R67" i="28"/>
  <c r="Q67" i="28"/>
  <c r="P67" i="28"/>
  <c r="O67" i="28"/>
  <c r="Z66" i="28"/>
  <c r="Y66" i="28"/>
  <c r="X66" i="28"/>
  <c r="W66" i="28"/>
  <c r="V66" i="28"/>
  <c r="U66" i="28"/>
  <c r="T66" i="28"/>
  <c r="S66" i="28"/>
  <c r="R66" i="28"/>
  <c r="Q66" i="28"/>
  <c r="P66" i="28"/>
  <c r="O66" i="28"/>
  <c r="Z65" i="28"/>
  <c r="Y65" i="28"/>
  <c r="X65" i="28"/>
  <c r="W65" i="28"/>
  <c r="V65" i="28"/>
  <c r="U65" i="28"/>
  <c r="T65" i="28"/>
  <c r="S65" i="28"/>
  <c r="R65" i="28"/>
  <c r="Q65" i="28"/>
  <c r="P65" i="28"/>
  <c r="O65" i="28"/>
  <c r="Z64" i="28"/>
  <c r="Y64" i="28"/>
  <c r="X64" i="28"/>
  <c r="W64" i="28"/>
  <c r="V64" i="28"/>
  <c r="U64" i="28"/>
  <c r="T64" i="28"/>
  <c r="S64" i="28"/>
  <c r="R64" i="28"/>
  <c r="Q64" i="28"/>
  <c r="P64" i="28"/>
  <c r="O64" i="28"/>
  <c r="Z63" i="28"/>
  <c r="Y63" i="28"/>
  <c r="X63" i="28"/>
  <c r="W63" i="28"/>
  <c r="V63" i="28"/>
  <c r="U63" i="28"/>
  <c r="T63" i="28"/>
  <c r="S63" i="28"/>
  <c r="R63" i="28"/>
  <c r="Q63" i="28"/>
  <c r="P63" i="28"/>
  <c r="O63" i="28"/>
  <c r="Z62" i="28"/>
  <c r="Y62" i="28"/>
  <c r="X62" i="28"/>
  <c r="W62" i="28"/>
  <c r="V62" i="28"/>
  <c r="U62" i="28"/>
  <c r="T62" i="28"/>
  <c r="S62" i="28"/>
  <c r="R62" i="28"/>
  <c r="Q62" i="28"/>
  <c r="P62" i="28"/>
  <c r="O62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Z60" i="28"/>
  <c r="Y60" i="28"/>
  <c r="X60" i="28"/>
  <c r="W60" i="28"/>
  <c r="V60" i="28"/>
  <c r="U60" i="28"/>
  <c r="T60" i="28"/>
  <c r="S60" i="28"/>
  <c r="R60" i="28"/>
  <c r="Q60" i="28"/>
  <c r="P60" i="28"/>
  <c r="O60" i="28"/>
  <c r="Z92" i="28"/>
  <c r="Y92" i="28"/>
  <c r="X92" i="28"/>
  <c r="W92" i="28"/>
  <c r="V92" i="28"/>
  <c r="U92" i="28"/>
  <c r="T92" i="28"/>
  <c r="S92" i="28"/>
  <c r="R92" i="28"/>
  <c r="Q92" i="28"/>
  <c r="P92" i="28"/>
  <c r="O92" i="28"/>
  <c r="Z91" i="28"/>
  <c r="Y91" i="28"/>
  <c r="X91" i="28"/>
  <c r="W91" i="28"/>
  <c r="V91" i="28"/>
  <c r="U91" i="28"/>
  <c r="T91" i="28"/>
  <c r="S91" i="28"/>
  <c r="R91" i="28"/>
  <c r="Q91" i="28"/>
  <c r="P91" i="28"/>
  <c r="O91" i="28"/>
  <c r="Z90" i="28"/>
  <c r="Y90" i="28"/>
  <c r="X90" i="28"/>
  <c r="W90" i="28"/>
  <c r="V90" i="28"/>
  <c r="U90" i="28"/>
  <c r="T90" i="28"/>
  <c r="S90" i="28"/>
  <c r="R90" i="28"/>
  <c r="Q90" i="28"/>
  <c r="P90" i="28"/>
  <c r="O90" i="28"/>
  <c r="Z89" i="28"/>
  <c r="Y89" i="28"/>
  <c r="X89" i="28"/>
  <c r="W89" i="28"/>
  <c r="V89" i="28"/>
  <c r="U89" i="28"/>
  <c r="T89" i="28"/>
  <c r="S89" i="28"/>
  <c r="R89" i="28"/>
  <c r="Q89" i="28"/>
  <c r="P89" i="28"/>
  <c r="O89" i="28"/>
  <c r="Z88" i="28"/>
  <c r="Y88" i="28"/>
  <c r="X88" i="28"/>
  <c r="W88" i="28"/>
  <c r="V88" i="28"/>
  <c r="U88" i="28"/>
  <c r="T88" i="28"/>
  <c r="S88" i="28"/>
  <c r="R88" i="28"/>
  <c r="Q88" i="28"/>
  <c r="P88" i="28"/>
  <c r="O88" i="28"/>
  <c r="Z87" i="28"/>
  <c r="Y87" i="28"/>
  <c r="X87" i="28"/>
  <c r="W87" i="28"/>
  <c r="V87" i="28"/>
  <c r="U87" i="28"/>
  <c r="T87" i="28"/>
  <c r="S87" i="28"/>
  <c r="R87" i="28"/>
  <c r="Q87" i="28"/>
  <c r="P87" i="28"/>
  <c r="O87" i="28"/>
  <c r="Z86" i="28"/>
  <c r="Y86" i="28"/>
  <c r="X86" i="28"/>
  <c r="W86" i="28"/>
  <c r="V86" i="28"/>
  <c r="U86" i="28"/>
  <c r="T86" i="28"/>
  <c r="S86" i="28"/>
  <c r="R86" i="28"/>
  <c r="Q86" i="28"/>
  <c r="P86" i="28"/>
  <c r="O86" i="28"/>
  <c r="Z59" i="28"/>
  <c r="Y59" i="28"/>
  <c r="X59" i="28"/>
  <c r="W59" i="28"/>
  <c r="V59" i="28"/>
  <c r="U59" i="28"/>
  <c r="T59" i="28"/>
  <c r="S59" i="28"/>
  <c r="R59" i="28"/>
  <c r="Q59" i="28"/>
  <c r="P59" i="28"/>
  <c r="O59" i="28"/>
  <c r="Z58" i="28"/>
  <c r="Y58" i="28"/>
  <c r="X58" i="28"/>
  <c r="W58" i="28"/>
  <c r="V58" i="28"/>
  <c r="U58" i="28"/>
  <c r="T58" i="28"/>
  <c r="S58" i="28"/>
  <c r="R58" i="28"/>
  <c r="Q58" i="28"/>
  <c r="P58" i="28"/>
  <c r="O58" i="28"/>
  <c r="Z57" i="28"/>
  <c r="Y57" i="28"/>
  <c r="X57" i="28"/>
  <c r="W57" i="28"/>
  <c r="V57" i="28"/>
  <c r="U57" i="28"/>
  <c r="T57" i="28"/>
  <c r="S57" i="28"/>
  <c r="R57" i="28"/>
  <c r="Q57" i="28"/>
  <c r="P57" i="28"/>
  <c r="O57" i="28"/>
  <c r="Z56" i="28"/>
  <c r="Y56" i="28"/>
  <c r="X56" i="28"/>
  <c r="W56" i="28"/>
  <c r="V56" i="28"/>
  <c r="U56" i="28"/>
  <c r="T56" i="28"/>
  <c r="S56" i="28"/>
  <c r="R56" i="28"/>
  <c r="Q56" i="28"/>
  <c r="P56" i="28"/>
  <c r="O56" i="28"/>
  <c r="Z55" i="28"/>
  <c r="Y55" i="28"/>
  <c r="X55" i="28"/>
  <c r="W55" i="28"/>
  <c r="V55" i="28"/>
  <c r="U55" i="28"/>
  <c r="T55" i="28"/>
  <c r="S55" i="28"/>
  <c r="R55" i="28"/>
  <c r="Q55" i="28"/>
  <c r="P55" i="28"/>
  <c r="O55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Z50" i="28"/>
  <c r="Y50" i="28"/>
  <c r="X50" i="28"/>
  <c r="W50" i="28"/>
  <c r="V50" i="28"/>
  <c r="U50" i="28"/>
  <c r="T50" i="28"/>
  <c r="S50" i="28"/>
  <c r="R50" i="28"/>
  <c r="Q50" i="28"/>
  <c r="P50" i="28"/>
  <c r="O50" i="28"/>
  <c r="Z49" i="28"/>
  <c r="Y49" i="28"/>
  <c r="X49" i="28"/>
  <c r="W49" i="28"/>
  <c r="V49" i="28"/>
  <c r="U49" i="28"/>
  <c r="T49" i="28"/>
  <c r="S49" i="28"/>
  <c r="R49" i="28"/>
  <c r="Q49" i="28"/>
  <c r="P49" i="28"/>
  <c r="O49" i="28"/>
  <c r="Z48" i="28"/>
  <c r="Y48" i="28"/>
  <c r="X48" i="28"/>
  <c r="W48" i="28"/>
  <c r="V48" i="28"/>
  <c r="U48" i="28"/>
  <c r="T48" i="28"/>
  <c r="S48" i="28"/>
  <c r="R48" i="28"/>
  <c r="Q48" i="28"/>
  <c r="P48" i="28"/>
  <c r="O48" i="28"/>
  <c r="Z47" i="28"/>
  <c r="Y47" i="28"/>
  <c r="X47" i="28"/>
  <c r="W47" i="28"/>
  <c r="V47" i="28"/>
  <c r="U47" i="28"/>
  <c r="T47" i="28"/>
  <c r="S47" i="28"/>
  <c r="R47" i="28"/>
  <c r="Q47" i="28"/>
  <c r="P47" i="28"/>
  <c r="O47" i="28"/>
  <c r="Z46" i="28"/>
  <c r="Y46" i="28"/>
  <c r="X46" i="28"/>
  <c r="W46" i="28"/>
  <c r="V46" i="28"/>
  <c r="U46" i="28"/>
  <c r="T46" i="28"/>
  <c r="S46" i="28"/>
  <c r="R46" i="28"/>
  <c r="Q46" i="28"/>
  <c r="P46" i="28"/>
  <c r="O46" i="28"/>
  <c r="Z45" i="28"/>
  <c r="Y45" i="28"/>
  <c r="X45" i="28"/>
  <c r="W45" i="28"/>
  <c r="V45" i="28"/>
  <c r="U45" i="28"/>
  <c r="T45" i="28"/>
  <c r="S45" i="28"/>
  <c r="R45" i="28"/>
  <c r="Q45" i="28"/>
  <c r="P45" i="28"/>
  <c r="O45" i="28"/>
  <c r="Z44" i="28"/>
  <c r="Y44" i="28"/>
  <c r="X44" i="28"/>
  <c r="W44" i="28"/>
  <c r="V44" i="28"/>
  <c r="U44" i="28"/>
  <c r="T44" i="28"/>
  <c r="S44" i="28"/>
  <c r="R44" i="28"/>
  <c r="Q44" i="28"/>
  <c r="P44" i="28"/>
  <c r="O44" i="28"/>
  <c r="Z43" i="28"/>
  <c r="Y43" i="28"/>
  <c r="X43" i="28"/>
  <c r="W43" i="28"/>
  <c r="V43" i="28"/>
  <c r="U43" i="28"/>
  <c r="T43" i="28"/>
  <c r="S43" i="28"/>
  <c r="R43" i="28"/>
  <c r="Q43" i="28"/>
  <c r="P43" i="28"/>
  <c r="O43" i="28"/>
  <c r="Z42" i="28"/>
  <c r="Y42" i="28"/>
  <c r="X42" i="28"/>
  <c r="W42" i="28"/>
  <c r="V42" i="28"/>
  <c r="U42" i="28"/>
  <c r="T42" i="28"/>
  <c r="S42" i="28"/>
  <c r="R42" i="28"/>
  <c r="Q42" i="28"/>
  <c r="P42" i="28"/>
  <c r="O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Z24" i="28"/>
  <c r="Y24" i="28"/>
  <c r="X24" i="28"/>
  <c r="W24" i="28"/>
  <c r="V24" i="28"/>
  <c r="U24" i="28"/>
  <c r="T24" i="28"/>
  <c r="S24" i="28"/>
  <c r="R24" i="28"/>
  <c r="Q24" i="28"/>
  <c r="P24" i="28"/>
  <c r="O24" i="28"/>
  <c r="Z23" i="28"/>
  <c r="Y23" i="28"/>
  <c r="X23" i="28"/>
  <c r="W23" i="28"/>
  <c r="V23" i="28"/>
  <c r="U23" i="28"/>
  <c r="T23" i="28"/>
  <c r="S23" i="28"/>
  <c r="R23" i="28"/>
  <c r="Q23" i="28"/>
  <c r="P23" i="28"/>
  <c r="O23" i="28"/>
  <c r="Z22" i="28"/>
  <c r="Y22" i="28"/>
  <c r="X22" i="28"/>
  <c r="W22" i="28"/>
  <c r="V22" i="28"/>
  <c r="U22" i="28"/>
  <c r="T22" i="28"/>
  <c r="S22" i="28"/>
  <c r="R22" i="28"/>
  <c r="Q22" i="28"/>
  <c r="P22" i="28"/>
  <c r="O22" i="28"/>
  <c r="Z21" i="28"/>
  <c r="Y21" i="28"/>
  <c r="X21" i="28"/>
  <c r="W21" i="28"/>
  <c r="V21" i="28"/>
  <c r="U21" i="28"/>
  <c r="T21" i="28"/>
  <c r="S21" i="28"/>
  <c r="R21" i="28"/>
  <c r="Q21" i="28"/>
  <c r="P21" i="28"/>
  <c r="O21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Z19" i="28"/>
  <c r="Y19" i="28"/>
  <c r="X19" i="28"/>
  <c r="W19" i="28"/>
  <c r="V19" i="28"/>
  <c r="U19" i="28"/>
  <c r="T19" i="28"/>
  <c r="S19" i="28"/>
  <c r="R19" i="28"/>
  <c r="Q19" i="28"/>
  <c r="P19" i="28"/>
  <c r="O19" i="28"/>
  <c r="Z18" i="28"/>
  <c r="Y18" i="28"/>
  <c r="X18" i="28"/>
  <c r="W18" i="28"/>
  <c r="V18" i="28"/>
  <c r="U18" i="28"/>
  <c r="T18" i="28"/>
  <c r="S18" i="28"/>
  <c r="R18" i="28"/>
  <c r="Q18" i="28"/>
  <c r="P18" i="28"/>
  <c r="O18" i="28"/>
  <c r="Z17" i="28"/>
  <c r="Y17" i="28"/>
  <c r="X17" i="28"/>
  <c r="W17" i="28"/>
  <c r="V17" i="28"/>
  <c r="U17" i="28"/>
  <c r="T17" i="28"/>
  <c r="S17" i="28"/>
  <c r="R17" i="28"/>
  <c r="Q17" i="28"/>
  <c r="P17" i="28"/>
  <c r="O17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Z15" i="28"/>
  <c r="Y15" i="28"/>
  <c r="X15" i="28"/>
  <c r="W15" i="28"/>
  <c r="V15" i="28"/>
  <c r="U15" i="28"/>
  <c r="T15" i="28"/>
  <c r="S15" i="28"/>
  <c r="R15" i="28"/>
  <c r="Q15" i="28"/>
  <c r="P15" i="28"/>
  <c r="O15" i="28"/>
  <c r="Z14" i="28"/>
  <c r="Y14" i="28"/>
  <c r="X14" i="28"/>
  <c r="W14" i="28"/>
  <c r="V14" i="28"/>
  <c r="U14" i="28"/>
  <c r="T14" i="28"/>
  <c r="S14" i="28"/>
  <c r="R14" i="28"/>
  <c r="Q14" i="28"/>
  <c r="P14" i="28"/>
  <c r="O14" i="28"/>
  <c r="Z13" i="28"/>
  <c r="Y13" i="28"/>
  <c r="X13" i="28"/>
  <c r="W13" i="28"/>
  <c r="V13" i="28"/>
  <c r="U13" i="28"/>
  <c r="T13" i="28"/>
  <c r="S13" i="28"/>
  <c r="R13" i="28"/>
  <c r="Q13" i="28"/>
  <c r="P13" i="28"/>
  <c r="O13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Z11" i="28"/>
  <c r="Y11" i="28"/>
  <c r="X11" i="28"/>
  <c r="W11" i="28"/>
  <c r="V11" i="28"/>
  <c r="U11" i="28"/>
  <c r="T11" i="28"/>
  <c r="S11" i="28"/>
  <c r="R11" i="28"/>
  <c r="Q11" i="28"/>
  <c r="P11" i="28"/>
  <c r="O11" i="28"/>
  <c r="Z10" i="28"/>
  <c r="Y10" i="28"/>
  <c r="X10" i="28"/>
  <c r="W10" i="28"/>
  <c r="V10" i="28"/>
  <c r="U10" i="28"/>
  <c r="T10" i="28"/>
  <c r="S10" i="28"/>
  <c r="R10" i="28"/>
  <c r="Q10" i="28"/>
  <c r="P10" i="28"/>
  <c r="O10" i="28"/>
  <c r="Z9" i="28"/>
  <c r="Y9" i="28"/>
  <c r="X9" i="28"/>
  <c r="W9" i="28"/>
  <c r="V9" i="28"/>
  <c r="U9" i="28"/>
  <c r="T9" i="28"/>
  <c r="S9" i="28"/>
  <c r="R9" i="28"/>
  <c r="Q9" i="28"/>
  <c r="P9" i="28"/>
  <c r="O9" i="28"/>
  <c r="Z8" i="28"/>
  <c r="Y8" i="28"/>
  <c r="X8" i="28"/>
  <c r="W8" i="28"/>
  <c r="V8" i="28"/>
  <c r="U8" i="28"/>
  <c r="T8" i="28"/>
  <c r="S8" i="28"/>
  <c r="R8" i="28"/>
  <c r="Q8" i="28"/>
  <c r="P8" i="28"/>
  <c r="O8" i="28"/>
  <c r="Z7" i="28"/>
  <c r="Y7" i="28"/>
  <c r="X7" i="28"/>
  <c r="W7" i="28"/>
  <c r="V7" i="28"/>
  <c r="U7" i="28"/>
  <c r="T7" i="28"/>
  <c r="S7" i="28"/>
  <c r="R7" i="28"/>
  <c r="Q7" i="28"/>
  <c r="P7" i="28"/>
  <c r="O7" i="28"/>
  <c r="AJ85" i="28"/>
  <c r="AI85" i="28"/>
  <c r="AH85" i="28"/>
  <c r="AG85" i="28"/>
  <c r="AF85" i="28"/>
  <c r="AE85" i="28"/>
  <c r="AD85" i="28"/>
  <c r="AC85" i="28"/>
  <c r="AB85" i="28"/>
  <c r="AA85" i="28"/>
  <c r="AJ84" i="28"/>
  <c r="AI84" i="28"/>
  <c r="AH84" i="28"/>
  <c r="AG84" i="28"/>
  <c r="AF84" i="28"/>
  <c r="AE84" i="28"/>
  <c r="AD84" i="28"/>
  <c r="AC84" i="28"/>
  <c r="AB84" i="28"/>
  <c r="AA84" i="28"/>
  <c r="AJ83" i="28"/>
  <c r="AI83" i="28"/>
  <c r="AH83" i="28"/>
  <c r="AG83" i="28"/>
  <c r="AF83" i="28"/>
  <c r="AE83" i="28"/>
  <c r="AD83" i="28"/>
  <c r="AC83" i="28"/>
  <c r="AB83" i="28"/>
  <c r="AA83" i="28"/>
  <c r="AJ82" i="28"/>
  <c r="AI82" i="28"/>
  <c r="AH82" i="28"/>
  <c r="AG82" i="28"/>
  <c r="AF82" i="28"/>
  <c r="AE82" i="28"/>
  <c r="AD82" i="28"/>
  <c r="AC82" i="28"/>
  <c r="AB82" i="28"/>
  <c r="AA82" i="28"/>
  <c r="AJ81" i="28"/>
  <c r="AI81" i="28"/>
  <c r="AH81" i="28"/>
  <c r="AG81" i="28"/>
  <c r="AF81" i="28"/>
  <c r="AE81" i="28"/>
  <c r="AD81" i="28"/>
  <c r="AC81" i="28"/>
  <c r="AB81" i="28"/>
  <c r="AA81" i="28"/>
  <c r="AJ80" i="28"/>
  <c r="AI80" i="28"/>
  <c r="AH80" i="28"/>
  <c r="AG80" i="28"/>
  <c r="AF80" i="28"/>
  <c r="AE80" i="28"/>
  <c r="AD80" i="28"/>
  <c r="AC80" i="28"/>
  <c r="AB80" i="28"/>
  <c r="AA80" i="28"/>
  <c r="AJ79" i="28"/>
  <c r="AI79" i="28"/>
  <c r="AH79" i="28"/>
  <c r="AG79" i="28"/>
  <c r="AF79" i="28"/>
  <c r="AE79" i="28"/>
  <c r="AD79" i="28"/>
  <c r="AC79" i="28"/>
  <c r="AB79" i="28"/>
  <c r="AA79" i="28"/>
  <c r="AJ78" i="28"/>
  <c r="AI78" i="28"/>
  <c r="AH78" i="28"/>
  <c r="AG78" i="28"/>
  <c r="AF78" i="28"/>
  <c r="AE78" i="28"/>
  <c r="AD78" i="28"/>
  <c r="AC78" i="28"/>
  <c r="AB78" i="28"/>
  <c r="AA78" i="28"/>
  <c r="AJ77" i="28"/>
  <c r="AI77" i="28"/>
  <c r="AH77" i="28"/>
  <c r="AG77" i="28"/>
  <c r="AF77" i="28"/>
  <c r="AE77" i="28"/>
  <c r="AD77" i="28"/>
  <c r="AC77" i="28"/>
  <c r="AB77" i="28"/>
  <c r="AA77" i="28"/>
  <c r="AJ76" i="28"/>
  <c r="AI76" i="28"/>
  <c r="AH76" i="28"/>
  <c r="AG76" i="28"/>
  <c r="AF76" i="28"/>
  <c r="AE76" i="28"/>
  <c r="AD76" i="28"/>
  <c r="AC76" i="28"/>
  <c r="AB76" i="28"/>
  <c r="AA76" i="28"/>
  <c r="AJ75" i="28"/>
  <c r="AI75" i="28"/>
  <c r="AH75" i="28"/>
  <c r="AG75" i="28"/>
  <c r="AF75" i="28"/>
  <c r="AE75" i="28"/>
  <c r="AD75" i="28"/>
  <c r="AC75" i="28"/>
  <c r="AB75" i="28"/>
  <c r="AA75" i="28"/>
  <c r="AJ74" i="28"/>
  <c r="AI74" i="28"/>
  <c r="AH74" i="28"/>
  <c r="AG74" i="28"/>
  <c r="AF74" i="28"/>
  <c r="AE74" i="28"/>
  <c r="AD74" i="28"/>
  <c r="AC74" i="28"/>
  <c r="AB74" i="28"/>
  <c r="AA74" i="28"/>
  <c r="AJ73" i="28"/>
  <c r="AI73" i="28"/>
  <c r="AH73" i="28"/>
  <c r="AG73" i="28"/>
  <c r="AF73" i="28"/>
  <c r="AE73" i="28"/>
  <c r="AD73" i="28"/>
  <c r="AC73" i="28"/>
  <c r="AB73" i="28"/>
  <c r="AA73" i="28"/>
  <c r="AI69" i="28"/>
  <c r="AE69" i="28"/>
  <c r="AA69" i="28"/>
  <c r="AJ67" i="28"/>
  <c r="AI67" i="28"/>
  <c r="AH67" i="28"/>
  <c r="AG67" i="28"/>
  <c r="AF67" i="28"/>
  <c r="AE67" i="28"/>
  <c r="AD67" i="28"/>
  <c r="AC67" i="28"/>
  <c r="AB67" i="28"/>
  <c r="AA67" i="28"/>
  <c r="AJ66" i="28"/>
  <c r="AI66" i="28"/>
  <c r="AH66" i="28"/>
  <c r="AG66" i="28"/>
  <c r="AF66" i="28"/>
  <c r="AE66" i="28"/>
  <c r="AD66" i="28"/>
  <c r="AC66" i="28"/>
  <c r="AB66" i="28"/>
  <c r="AA66" i="28"/>
  <c r="AJ65" i="28"/>
  <c r="AI65" i="28"/>
  <c r="AH65" i="28"/>
  <c r="AG65" i="28"/>
  <c r="AF65" i="28"/>
  <c r="AE65" i="28"/>
  <c r="AD65" i="28"/>
  <c r="AC65" i="28"/>
  <c r="AB65" i="28"/>
  <c r="AA65" i="28"/>
  <c r="AJ64" i="28"/>
  <c r="AI64" i="28"/>
  <c r="AH64" i="28"/>
  <c r="AG64" i="28"/>
  <c r="AF64" i="28"/>
  <c r="AE64" i="28"/>
  <c r="AD64" i="28"/>
  <c r="AC64" i="28"/>
  <c r="AB64" i="28"/>
  <c r="AA64" i="28"/>
  <c r="AJ63" i="28"/>
  <c r="AI63" i="28"/>
  <c r="AH63" i="28"/>
  <c r="AG63" i="28"/>
  <c r="AF63" i="28"/>
  <c r="AE63" i="28"/>
  <c r="AD63" i="28"/>
  <c r="AC63" i="28"/>
  <c r="AB63" i="28"/>
  <c r="AA63" i="28"/>
  <c r="AJ62" i="28"/>
  <c r="AI62" i="28"/>
  <c r="AH62" i="28"/>
  <c r="AG62" i="28"/>
  <c r="AF62" i="28"/>
  <c r="AE62" i="28"/>
  <c r="AD62" i="28"/>
  <c r="AC62" i="28"/>
  <c r="AB62" i="28"/>
  <c r="AA62" i="28"/>
  <c r="AJ61" i="28"/>
  <c r="AI61" i="28"/>
  <c r="AH61" i="28"/>
  <c r="AG61" i="28"/>
  <c r="AF61" i="28"/>
  <c r="AE61" i="28"/>
  <c r="AD61" i="28"/>
  <c r="AC61" i="28"/>
  <c r="AB61" i="28"/>
  <c r="AA61" i="28"/>
  <c r="AJ60" i="28"/>
  <c r="AI60" i="28"/>
  <c r="AH60" i="28"/>
  <c r="AG60" i="28"/>
  <c r="AF60" i="28"/>
  <c r="AE60" i="28"/>
  <c r="AD60" i="28"/>
  <c r="AC60" i="28"/>
  <c r="AB60" i="28"/>
  <c r="AA60" i="28"/>
  <c r="AJ92" i="28"/>
  <c r="AI92" i="28"/>
  <c r="AH92" i="28"/>
  <c r="AG92" i="28"/>
  <c r="AF92" i="28"/>
  <c r="AE92" i="28"/>
  <c r="AD92" i="28"/>
  <c r="AC92" i="28"/>
  <c r="AB92" i="28"/>
  <c r="AA92" i="28"/>
  <c r="AJ91" i="28"/>
  <c r="AI91" i="28"/>
  <c r="AH91" i="28"/>
  <c r="AG91" i="28"/>
  <c r="AF91" i="28"/>
  <c r="AE91" i="28"/>
  <c r="AD91" i="28"/>
  <c r="AC91" i="28"/>
  <c r="AB91" i="28"/>
  <c r="AA91" i="28"/>
  <c r="AJ90" i="28"/>
  <c r="AI90" i="28"/>
  <c r="AH90" i="28"/>
  <c r="AG90" i="28"/>
  <c r="AF90" i="28"/>
  <c r="AE90" i="28"/>
  <c r="AD90" i="28"/>
  <c r="AC90" i="28"/>
  <c r="AB90" i="28"/>
  <c r="AA90" i="28"/>
  <c r="AJ89" i="28"/>
  <c r="AI89" i="28"/>
  <c r="AH89" i="28"/>
  <c r="AG89" i="28"/>
  <c r="AF89" i="28"/>
  <c r="AE89" i="28"/>
  <c r="AD89" i="28"/>
  <c r="AC89" i="28"/>
  <c r="AB89" i="28"/>
  <c r="AA89" i="28"/>
  <c r="AJ88" i="28"/>
  <c r="AI88" i="28"/>
  <c r="AH88" i="28"/>
  <c r="AG88" i="28"/>
  <c r="AF88" i="28"/>
  <c r="AE88" i="28"/>
  <c r="AD88" i="28"/>
  <c r="AC88" i="28"/>
  <c r="AB88" i="28"/>
  <c r="AA88" i="28"/>
  <c r="AJ87" i="28"/>
  <c r="AI87" i="28"/>
  <c r="AH87" i="28"/>
  <c r="AG87" i="28"/>
  <c r="AF87" i="28"/>
  <c r="AE87" i="28"/>
  <c r="AD87" i="28"/>
  <c r="AC87" i="28"/>
  <c r="AB87" i="28"/>
  <c r="AA87" i="28"/>
  <c r="AJ86" i="28"/>
  <c r="AI86" i="28"/>
  <c r="AH86" i="28"/>
  <c r="AG86" i="28"/>
  <c r="AF86" i="28"/>
  <c r="AE86" i="28"/>
  <c r="AD86" i="28"/>
  <c r="AC86" i="28"/>
  <c r="AB86" i="28"/>
  <c r="AA86" i="28"/>
  <c r="AJ59" i="28"/>
  <c r="AI59" i="28"/>
  <c r="AH59" i="28"/>
  <c r="AG59" i="28"/>
  <c r="AF59" i="28"/>
  <c r="AE59" i="28"/>
  <c r="AD59" i="28"/>
  <c r="AC59" i="28"/>
  <c r="AB59" i="28"/>
  <c r="AA59" i="28"/>
  <c r="AJ58" i="28"/>
  <c r="AI58" i="28"/>
  <c r="AH58" i="28"/>
  <c r="AG58" i="28"/>
  <c r="AF58" i="28"/>
  <c r="AE58" i="28"/>
  <c r="AD58" i="28"/>
  <c r="AC58" i="28"/>
  <c r="AB58" i="28"/>
  <c r="AA58" i="28"/>
  <c r="AJ57" i="28"/>
  <c r="AI57" i="28"/>
  <c r="AH57" i="28"/>
  <c r="AG57" i="28"/>
  <c r="AF57" i="28"/>
  <c r="AE57" i="28"/>
  <c r="AD57" i="28"/>
  <c r="AC57" i="28"/>
  <c r="AB57" i="28"/>
  <c r="AA57" i="28"/>
  <c r="AJ56" i="28"/>
  <c r="AI56" i="28"/>
  <c r="AH56" i="28"/>
  <c r="AG56" i="28"/>
  <c r="AF56" i="28"/>
  <c r="AE56" i="28"/>
  <c r="AD56" i="28"/>
  <c r="AC56" i="28"/>
  <c r="AB56" i="28"/>
  <c r="AA56" i="28"/>
  <c r="AJ55" i="28"/>
  <c r="AI55" i="28"/>
  <c r="AH55" i="28"/>
  <c r="AG55" i="28"/>
  <c r="AF55" i="28"/>
  <c r="AE55" i="28"/>
  <c r="AD55" i="28"/>
  <c r="AC55" i="28"/>
  <c r="AB55" i="28"/>
  <c r="AA55" i="28"/>
  <c r="AJ54" i="28"/>
  <c r="AI54" i="28"/>
  <c r="AH54" i="28"/>
  <c r="AG54" i="28"/>
  <c r="AF54" i="28"/>
  <c r="AE54" i="28"/>
  <c r="AD54" i="28"/>
  <c r="AC54" i="28"/>
  <c r="AB54" i="28"/>
  <c r="AA54" i="28"/>
  <c r="AJ53" i="28"/>
  <c r="AI53" i="28"/>
  <c r="AH53" i="28"/>
  <c r="AG53" i="28"/>
  <c r="AF53" i="28"/>
  <c r="AE53" i="28"/>
  <c r="AD53" i="28"/>
  <c r="AC53" i="28"/>
  <c r="AB53" i="28"/>
  <c r="AA53" i="28"/>
  <c r="AJ52" i="28"/>
  <c r="AI52" i="28"/>
  <c r="AH52" i="28"/>
  <c r="AG52" i="28"/>
  <c r="AF52" i="28"/>
  <c r="AE52" i="28"/>
  <c r="AD52" i="28"/>
  <c r="AC52" i="28"/>
  <c r="AB52" i="28"/>
  <c r="AA52" i="28"/>
  <c r="AJ51" i="28"/>
  <c r="AI51" i="28"/>
  <c r="AH51" i="28"/>
  <c r="AG51" i="28"/>
  <c r="AF51" i="28"/>
  <c r="AE51" i="28"/>
  <c r="AD51" i="28"/>
  <c r="AC51" i="28"/>
  <c r="AB51" i="28"/>
  <c r="AA51" i="28"/>
  <c r="AJ50" i="28"/>
  <c r="AI50" i="28"/>
  <c r="AH50" i="28"/>
  <c r="AG50" i="28"/>
  <c r="AF50" i="28"/>
  <c r="AE50" i="28"/>
  <c r="AD50" i="28"/>
  <c r="AC50" i="28"/>
  <c r="AB50" i="28"/>
  <c r="AA50" i="28"/>
  <c r="AJ49" i="28"/>
  <c r="AI49" i="28"/>
  <c r="AH49" i="28"/>
  <c r="AG49" i="28"/>
  <c r="AF49" i="28"/>
  <c r="AE49" i="28"/>
  <c r="AD49" i="28"/>
  <c r="AC49" i="28"/>
  <c r="AB49" i="28"/>
  <c r="AA49" i="28"/>
  <c r="AJ48" i="28"/>
  <c r="AI48" i="28"/>
  <c r="AH48" i="28"/>
  <c r="AG48" i="28"/>
  <c r="AF48" i="28"/>
  <c r="AE48" i="28"/>
  <c r="AD48" i="28"/>
  <c r="AC48" i="28"/>
  <c r="AB48" i="28"/>
  <c r="AA48" i="28"/>
  <c r="AJ47" i="28"/>
  <c r="AI47" i="28"/>
  <c r="AH47" i="28"/>
  <c r="AG47" i="28"/>
  <c r="AF47" i="28"/>
  <c r="AE47" i="28"/>
  <c r="AD47" i="28"/>
  <c r="AC47" i="28"/>
  <c r="AB47" i="28"/>
  <c r="AA47" i="28"/>
  <c r="AJ46" i="28"/>
  <c r="AI46" i="28"/>
  <c r="AH46" i="28"/>
  <c r="AG46" i="28"/>
  <c r="AF46" i="28"/>
  <c r="AE46" i="28"/>
  <c r="AD46" i="28"/>
  <c r="AC46" i="28"/>
  <c r="AB46" i="28"/>
  <c r="AA46" i="28"/>
  <c r="AJ45" i="28"/>
  <c r="AI45" i="28"/>
  <c r="AH45" i="28"/>
  <c r="AG45" i="28"/>
  <c r="AF45" i="28"/>
  <c r="AE45" i="28"/>
  <c r="AD45" i="28"/>
  <c r="AC45" i="28"/>
  <c r="AB45" i="28"/>
  <c r="AA45" i="28"/>
  <c r="AJ44" i="28"/>
  <c r="AI44" i="28"/>
  <c r="AH44" i="28"/>
  <c r="AG44" i="28"/>
  <c r="AF44" i="28"/>
  <c r="AE44" i="28"/>
  <c r="AD44" i="28"/>
  <c r="AC44" i="28"/>
  <c r="AB44" i="28"/>
  <c r="AA44" i="28"/>
  <c r="AJ43" i="28"/>
  <c r="AI43" i="28"/>
  <c r="AH43" i="28"/>
  <c r="AG43" i="28"/>
  <c r="AF43" i="28"/>
  <c r="AE43" i="28"/>
  <c r="AD43" i="28"/>
  <c r="AC43" i="28"/>
  <c r="AB43" i="28"/>
  <c r="AA43" i="28"/>
  <c r="AJ42" i="28"/>
  <c r="AI42" i="28"/>
  <c r="AH42" i="28"/>
  <c r="AG42" i="28"/>
  <c r="AF42" i="28"/>
  <c r="AE42" i="28"/>
  <c r="AD42" i="28"/>
  <c r="AC42" i="28"/>
  <c r="AB42" i="28"/>
  <c r="AA42" i="28"/>
  <c r="AJ41" i="28"/>
  <c r="AI41" i="28"/>
  <c r="AH41" i="28"/>
  <c r="AG41" i="28"/>
  <c r="AF41" i="28"/>
  <c r="AE41" i="28"/>
  <c r="AD41" i="28"/>
  <c r="AC41" i="28"/>
  <c r="AB41" i="28"/>
  <c r="AA41" i="28"/>
  <c r="AJ40" i="28"/>
  <c r="AI40" i="28"/>
  <c r="AH40" i="28"/>
  <c r="AG40" i="28"/>
  <c r="AF40" i="28"/>
  <c r="AE40" i="28"/>
  <c r="AD40" i="28"/>
  <c r="AC40" i="28"/>
  <c r="AB40" i="28"/>
  <c r="AA40" i="28"/>
  <c r="AJ39" i="28"/>
  <c r="AI39" i="28"/>
  <c r="AH39" i="28"/>
  <c r="AG39" i="28"/>
  <c r="AF39" i="28"/>
  <c r="AE39" i="28"/>
  <c r="AD39" i="28"/>
  <c r="AC39" i="28"/>
  <c r="AB39" i="28"/>
  <c r="AA39" i="28"/>
  <c r="AJ38" i="28"/>
  <c r="AI38" i="28"/>
  <c r="AH38" i="28"/>
  <c r="AG38" i="28"/>
  <c r="AF38" i="28"/>
  <c r="AE38" i="28"/>
  <c r="AD38" i="28"/>
  <c r="AC38" i="28"/>
  <c r="AB38" i="28"/>
  <c r="AA38" i="28"/>
  <c r="AJ37" i="28"/>
  <c r="AI37" i="28"/>
  <c r="AH37" i="28"/>
  <c r="AG37" i="28"/>
  <c r="AF37" i="28"/>
  <c r="AE37" i="28"/>
  <c r="AD37" i="28"/>
  <c r="AC37" i="28"/>
  <c r="AB37" i="28"/>
  <c r="AA37" i="28"/>
  <c r="AJ36" i="28"/>
  <c r="AI36" i="28"/>
  <c r="AH36" i="28"/>
  <c r="AG36" i="28"/>
  <c r="AF36" i="28"/>
  <c r="AE36" i="28"/>
  <c r="AD36" i="28"/>
  <c r="AC36" i="28"/>
  <c r="AB36" i="28"/>
  <c r="AA36" i="28"/>
  <c r="AJ35" i="28"/>
  <c r="AI35" i="28"/>
  <c r="AH35" i="28"/>
  <c r="AG35" i="28"/>
  <c r="AF35" i="28"/>
  <c r="AE35" i="28"/>
  <c r="AD35" i="28"/>
  <c r="AC35" i="28"/>
  <c r="AB35" i="28"/>
  <c r="AA35" i="28"/>
  <c r="AJ34" i="28"/>
  <c r="AI34" i="28"/>
  <c r="AH34" i="28"/>
  <c r="AG34" i="28"/>
  <c r="AF34" i="28"/>
  <c r="AE34" i="28"/>
  <c r="AD34" i="28"/>
  <c r="AC34" i="28"/>
  <c r="AB34" i="28"/>
  <c r="AA34" i="28"/>
  <c r="AJ33" i="28"/>
  <c r="AI33" i="28"/>
  <c r="AH33" i="28"/>
  <c r="AG33" i="28"/>
  <c r="AF33" i="28"/>
  <c r="AE33" i="28"/>
  <c r="AD33" i="28"/>
  <c r="AC33" i="28"/>
  <c r="AB33" i="28"/>
  <c r="AA33" i="28"/>
  <c r="AJ32" i="28"/>
  <c r="AI32" i="28"/>
  <c r="AH32" i="28"/>
  <c r="AG32" i="28"/>
  <c r="AF32" i="28"/>
  <c r="AE32" i="28"/>
  <c r="AD32" i="28"/>
  <c r="AC32" i="28"/>
  <c r="AB32" i="28"/>
  <c r="AA32" i="28"/>
  <c r="AJ31" i="28"/>
  <c r="AI31" i="28"/>
  <c r="AH31" i="28"/>
  <c r="AG31" i="28"/>
  <c r="AF31" i="28"/>
  <c r="AE31" i="28"/>
  <c r="AD31" i="28"/>
  <c r="AC31" i="28"/>
  <c r="AB31" i="28"/>
  <c r="AA31" i="28"/>
  <c r="AJ30" i="28"/>
  <c r="AI30" i="28"/>
  <c r="AH30" i="28"/>
  <c r="AG30" i="28"/>
  <c r="AF30" i="28"/>
  <c r="AE30" i="28"/>
  <c r="AD30" i="28"/>
  <c r="AC30" i="28"/>
  <c r="AB30" i="28"/>
  <c r="AA30" i="28"/>
  <c r="AJ29" i="28"/>
  <c r="AI29" i="28"/>
  <c r="AH29" i="28"/>
  <c r="AG29" i="28"/>
  <c r="AF29" i="28"/>
  <c r="AE29" i="28"/>
  <c r="AD29" i="28"/>
  <c r="AC29" i="28"/>
  <c r="AB29" i="28"/>
  <c r="AA29" i="28"/>
  <c r="AJ28" i="28"/>
  <c r="AI28" i="28"/>
  <c r="AH28" i="28"/>
  <c r="AG28" i="28"/>
  <c r="AF28" i="28"/>
  <c r="AE28" i="28"/>
  <c r="AD28" i="28"/>
  <c r="AC28" i="28"/>
  <c r="AB28" i="28"/>
  <c r="AA28" i="28"/>
  <c r="AJ27" i="28"/>
  <c r="AI27" i="28"/>
  <c r="AH27" i="28"/>
  <c r="AG27" i="28"/>
  <c r="AF27" i="28"/>
  <c r="AE27" i="28"/>
  <c r="AD27" i="28"/>
  <c r="AC27" i="28"/>
  <c r="AB27" i="28"/>
  <c r="AA27" i="28"/>
  <c r="AJ26" i="28"/>
  <c r="AI26" i="28"/>
  <c r="AH26" i="28"/>
  <c r="AG26" i="28"/>
  <c r="AF26" i="28"/>
  <c r="AE26" i="28"/>
  <c r="AD26" i="28"/>
  <c r="AC26" i="28"/>
  <c r="AB26" i="28"/>
  <c r="AA26" i="28"/>
  <c r="AJ25" i="28"/>
  <c r="AI25" i="28"/>
  <c r="AH25" i="28"/>
  <c r="AG25" i="28"/>
  <c r="AF25" i="28"/>
  <c r="AE25" i="28"/>
  <c r="AD25" i="28"/>
  <c r="AC25" i="28"/>
  <c r="AB25" i="28"/>
  <c r="AA25" i="28"/>
  <c r="AJ24" i="28"/>
  <c r="AI24" i="28"/>
  <c r="AH24" i="28"/>
  <c r="AG24" i="28"/>
  <c r="AF24" i="28"/>
  <c r="AE24" i="28"/>
  <c r="AD24" i="28"/>
  <c r="AC24" i="28"/>
  <c r="AB24" i="28"/>
  <c r="AA24" i="28"/>
  <c r="AJ23" i="28"/>
  <c r="AI23" i="28"/>
  <c r="AH23" i="28"/>
  <c r="AG23" i="28"/>
  <c r="AF23" i="28"/>
  <c r="AE23" i="28"/>
  <c r="AD23" i="28"/>
  <c r="AC23" i="28"/>
  <c r="AB23" i="28"/>
  <c r="AA23" i="28"/>
  <c r="AJ22" i="28"/>
  <c r="AI22" i="28"/>
  <c r="AH22" i="28"/>
  <c r="AG22" i="28"/>
  <c r="AF22" i="28"/>
  <c r="AE22" i="28"/>
  <c r="AD22" i="28"/>
  <c r="AC22" i="28"/>
  <c r="AB22" i="28"/>
  <c r="AA22" i="28"/>
  <c r="AJ21" i="28"/>
  <c r="AI21" i="28"/>
  <c r="AH21" i="28"/>
  <c r="AG21" i="28"/>
  <c r="AF21" i="28"/>
  <c r="AE21" i="28"/>
  <c r="AD21" i="28"/>
  <c r="AC21" i="28"/>
  <c r="AB21" i="28"/>
  <c r="AA21" i="28"/>
  <c r="AJ20" i="28"/>
  <c r="AI20" i="28"/>
  <c r="AH20" i="28"/>
  <c r="AG20" i="28"/>
  <c r="AF20" i="28"/>
  <c r="AE20" i="28"/>
  <c r="AD20" i="28"/>
  <c r="AC20" i="28"/>
  <c r="AB20" i="28"/>
  <c r="AA20" i="28"/>
  <c r="AJ19" i="28"/>
  <c r="AI19" i="28"/>
  <c r="AH19" i="28"/>
  <c r="AG19" i="28"/>
  <c r="AF19" i="28"/>
  <c r="AE19" i="28"/>
  <c r="AD19" i="28"/>
  <c r="AC19" i="28"/>
  <c r="AB19" i="28"/>
  <c r="AA19" i="28"/>
  <c r="AJ18" i="28"/>
  <c r="AI18" i="28"/>
  <c r="AH18" i="28"/>
  <c r="AG18" i="28"/>
  <c r="AF18" i="28"/>
  <c r="AE18" i="28"/>
  <c r="AD18" i="28"/>
  <c r="AC18" i="28"/>
  <c r="AB18" i="28"/>
  <c r="AA18" i="28"/>
  <c r="AJ17" i="28"/>
  <c r="AI17" i="28"/>
  <c r="AH17" i="28"/>
  <c r="AG17" i="28"/>
  <c r="AF17" i="28"/>
  <c r="AE17" i="28"/>
  <c r="AD17" i="28"/>
  <c r="AC17" i="28"/>
  <c r="AB17" i="28"/>
  <c r="AA17" i="28"/>
  <c r="AJ16" i="28"/>
  <c r="AI16" i="28"/>
  <c r="AH16" i="28"/>
  <c r="AG16" i="28"/>
  <c r="AF16" i="28"/>
  <c r="AE16" i="28"/>
  <c r="AD16" i="28"/>
  <c r="AC16" i="28"/>
  <c r="AB16" i="28"/>
  <c r="AA16" i="28"/>
  <c r="AJ15" i="28"/>
  <c r="AI15" i="28"/>
  <c r="AH15" i="28"/>
  <c r="AG15" i="28"/>
  <c r="AF15" i="28"/>
  <c r="AE15" i="28"/>
  <c r="AD15" i="28"/>
  <c r="AC15" i="28"/>
  <c r="AB15" i="28"/>
  <c r="AA15" i="28"/>
  <c r="AJ14" i="28"/>
  <c r="AI14" i="28"/>
  <c r="AH14" i="28"/>
  <c r="AG14" i="28"/>
  <c r="AF14" i="28"/>
  <c r="AE14" i="28"/>
  <c r="AD14" i="28"/>
  <c r="AC14" i="28"/>
  <c r="AB14" i="28"/>
  <c r="AA14" i="28"/>
  <c r="AJ13" i="28"/>
  <c r="AI13" i="28"/>
  <c r="AH13" i="28"/>
  <c r="AG13" i="28"/>
  <c r="AF13" i="28"/>
  <c r="AE13" i="28"/>
  <c r="AD13" i="28"/>
  <c r="AC13" i="28"/>
  <c r="AB13" i="28"/>
  <c r="AA13" i="28"/>
  <c r="AJ12" i="28"/>
  <c r="AI12" i="28"/>
  <c r="AH12" i="28"/>
  <c r="AG12" i="28"/>
  <c r="AF12" i="28"/>
  <c r="AE12" i="28"/>
  <c r="AD12" i="28"/>
  <c r="AC12" i="28"/>
  <c r="AB12" i="28"/>
  <c r="AA12" i="28"/>
  <c r="AJ11" i="28"/>
  <c r="AI11" i="28"/>
  <c r="AH11" i="28"/>
  <c r="AG11" i="28"/>
  <c r="AF11" i="28"/>
  <c r="AE11" i="28"/>
  <c r="AD11" i="28"/>
  <c r="AC11" i="28"/>
  <c r="AB11" i="28"/>
  <c r="AA11" i="28"/>
  <c r="AJ10" i="28"/>
  <c r="AI10" i="28"/>
  <c r="AH10" i="28"/>
  <c r="AG10" i="28"/>
  <c r="AF10" i="28"/>
  <c r="AE10" i="28"/>
  <c r="AD10" i="28"/>
  <c r="AC10" i="28"/>
  <c r="AB10" i="28"/>
  <c r="AA10" i="28"/>
  <c r="AJ9" i="28"/>
  <c r="AI9" i="28"/>
  <c r="AH9" i="28"/>
  <c r="AG9" i="28"/>
  <c r="AF9" i="28"/>
  <c r="AE9" i="28"/>
  <c r="AD9" i="28"/>
  <c r="AC9" i="28"/>
  <c r="AB9" i="28"/>
  <c r="AA9" i="28"/>
  <c r="AJ8" i="28"/>
  <c r="AI8" i="28"/>
  <c r="AH8" i="28"/>
  <c r="AG8" i="28"/>
  <c r="AF8" i="28"/>
  <c r="AE8" i="28"/>
  <c r="AD8" i="28"/>
  <c r="AC8" i="28"/>
  <c r="AB8" i="28"/>
  <c r="AA8" i="28"/>
  <c r="AJ7" i="28"/>
  <c r="AI7" i="28"/>
  <c r="AH7" i="28"/>
  <c r="AG7" i="28"/>
  <c r="AF7" i="28"/>
  <c r="AE7" i="28"/>
  <c r="AD7" i="28"/>
  <c r="AC7" i="28"/>
  <c r="AB7" i="28"/>
  <c r="AA7" i="28"/>
  <c r="AJ85" i="2"/>
  <c r="AI85" i="2"/>
  <c r="AH85" i="2"/>
  <c r="AG85" i="2"/>
  <c r="AF85" i="2"/>
  <c r="AE85" i="2"/>
  <c r="AD85" i="2"/>
  <c r="AC85" i="2"/>
  <c r="AB85" i="2"/>
  <c r="AA85" i="2"/>
  <c r="AJ84" i="2"/>
  <c r="AI84" i="2"/>
  <c r="AH84" i="2"/>
  <c r="AG84" i="2"/>
  <c r="AF84" i="2"/>
  <c r="AE84" i="2"/>
  <c r="AD84" i="2"/>
  <c r="AC84" i="2"/>
  <c r="AB84" i="2"/>
  <c r="AA84" i="2"/>
  <c r="AJ83" i="2"/>
  <c r="AI83" i="2"/>
  <c r="AH83" i="2"/>
  <c r="AG83" i="2"/>
  <c r="AF83" i="2"/>
  <c r="AE83" i="2"/>
  <c r="AD83" i="2"/>
  <c r="AC83" i="2"/>
  <c r="AB83" i="2"/>
  <c r="AA83" i="2"/>
  <c r="AJ82" i="2"/>
  <c r="AI82" i="2"/>
  <c r="AH82" i="2"/>
  <c r="AG82" i="2"/>
  <c r="AF82" i="2"/>
  <c r="AE82" i="2"/>
  <c r="AD82" i="2"/>
  <c r="AC82" i="2"/>
  <c r="AB82" i="2"/>
  <c r="AA82" i="2"/>
  <c r="AJ81" i="2"/>
  <c r="AI81" i="2"/>
  <c r="AH81" i="2"/>
  <c r="AG81" i="2"/>
  <c r="AF81" i="2"/>
  <c r="AE81" i="2"/>
  <c r="AD81" i="2"/>
  <c r="AC81" i="2"/>
  <c r="AB81" i="2"/>
  <c r="AA81" i="2"/>
  <c r="AJ80" i="2"/>
  <c r="AI80" i="2"/>
  <c r="AH80" i="2"/>
  <c r="AG80" i="2"/>
  <c r="AF80" i="2"/>
  <c r="AE80" i="2"/>
  <c r="AD80" i="2"/>
  <c r="AC80" i="2"/>
  <c r="AB80" i="2"/>
  <c r="AA80" i="2"/>
  <c r="AJ79" i="2"/>
  <c r="AI79" i="2"/>
  <c r="AH79" i="2"/>
  <c r="AG79" i="2"/>
  <c r="AF79" i="2"/>
  <c r="AE79" i="2"/>
  <c r="AD79" i="2"/>
  <c r="AC79" i="2"/>
  <c r="AB79" i="2"/>
  <c r="AA79" i="2"/>
  <c r="AJ78" i="2"/>
  <c r="AI78" i="2"/>
  <c r="AH78" i="2"/>
  <c r="AG78" i="2"/>
  <c r="AF78" i="2"/>
  <c r="AE78" i="2"/>
  <c r="AD78" i="2"/>
  <c r="AC78" i="2"/>
  <c r="AB78" i="2"/>
  <c r="AA78" i="2"/>
  <c r="AJ77" i="2"/>
  <c r="AI77" i="2"/>
  <c r="AH77" i="2"/>
  <c r="AG77" i="2"/>
  <c r="AF77" i="2"/>
  <c r="AE77" i="2"/>
  <c r="AD77" i="2"/>
  <c r="AC77" i="2"/>
  <c r="AB77" i="2"/>
  <c r="AA77" i="2"/>
  <c r="AJ76" i="2"/>
  <c r="AI76" i="2"/>
  <c r="AH76" i="2"/>
  <c r="AG76" i="2"/>
  <c r="AF76" i="2"/>
  <c r="AE76" i="2"/>
  <c r="AD76" i="2"/>
  <c r="AC76" i="2"/>
  <c r="AB76" i="2"/>
  <c r="AA76" i="2"/>
  <c r="AJ75" i="2"/>
  <c r="AI75" i="2"/>
  <c r="AH75" i="2"/>
  <c r="AG75" i="2"/>
  <c r="AF75" i="2"/>
  <c r="AE75" i="2"/>
  <c r="AD75" i="2"/>
  <c r="AC75" i="2"/>
  <c r="AB75" i="2"/>
  <c r="AA75" i="2"/>
  <c r="AJ74" i="2"/>
  <c r="AI74" i="2"/>
  <c r="AH74" i="2"/>
  <c r="AG74" i="2"/>
  <c r="AF74" i="2"/>
  <c r="AE74" i="2"/>
  <c r="AD74" i="2"/>
  <c r="AC74" i="2"/>
  <c r="AB74" i="2"/>
  <c r="AA74" i="2"/>
  <c r="AJ73" i="2"/>
  <c r="AI73" i="2"/>
  <c r="AH73" i="2"/>
  <c r="AG73" i="2"/>
  <c r="AF73" i="2"/>
  <c r="AE73" i="2"/>
  <c r="AD73" i="2"/>
  <c r="AC73" i="2"/>
  <c r="AB73" i="2"/>
  <c r="AA73" i="2"/>
  <c r="AI69" i="2"/>
  <c r="AE69" i="2"/>
  <c r="AA69" i="2"/>
  <c r="AJ67" i="2"/>
  <c r="AI67" i="2"/>
  <c r="AH67" i="2"/>
  <c r="AG67" i="2"/>
  <c r="AF67" i="2"/>
  <c r="AE67" i="2"/>
  <c r="AD67" i="2"/>
  <c r="AC67" i="2"/>
  <c r="AB67" i="2"/>
  <c r="AA67" i="2"/>
  <c r="AJ66" i="2"/>
  <c r="AI66" i="2"/>
  <c r="AH66" i="2"/>
  <c r="AG66" i="2"/>
  <c r="AF66" i="2"/>
  <c r="AE66" i="2"/>
  <c r="AD66" i="2"/>
  <c r="AC66" i="2"/>
  <c r="AB66" i="2"/>
  <c r="AA66" i="2"/>
  <c r="AJ65" i="2"/>
  <c r="AI65" i="2"/>
  <c r="AH65" i="2"/>
  <c r="AG65" i="2"/>
  <c r="AF65" i="2"/>
  <c r="AE65" i="2"/>
  <c r="AD65" i="2"/>
  <c r="AC65" i="2"/>
  <c r="AB65" i="2"/>
  <c r="AA65" i="2"/>
  <c r="AJ64" i="2"/>
  <c r="AI64" i="2"/>
  <c r="AH64" i="2"/>
  <c r="AG64" i="2"/>
  <c r="AF64" i="2"/>
  <c r="AE64" i="2"/>
  <c r="AD64" i="2"/>
  <c r="AC64" i="2"/>
  <c r="AB64" i="2"/>
  <c r="AA64" i="2"/>
  <c r="AJ63" i="2"/>
  <c r="AI63" i="2"/>
  <c r="AH63" i="2"/>
  <c r="AG63" i="2"/>
  <c r="AF63" i="2"/>
  <c r="AE63" i="2"/>
  <c r="AD63" i="2"/>
  <c r="AC63" i="2"/>
  <c r="AB63" i="2"/>
  <c r="AA63" i="2"/>
  <c r="AJ62" i="2"/>
  <c r="AI62" i="2"/>
  <c r="AH62" i="2"/>
  <c r="AG62" i="2"/>
  <c r="AF62" i="2"/>
  <c r="AE62" i="2"/>
  <c r="AD62" i="2"/>
  <c r="AC62" i="2"/>
  <c r="AB62" i="2"/>
  <c r="AA62" i="2"/>
  <c r="AJ61" i="2"/>
  <c r="AI61" i="2"/>
  <c r="AH61" i="2"/>
  <c r="AG61" i="2"/>
  <c r="AF61" i="2"/>
  <c r="AE61" i="2"/>
  <c r="AD61" i="2"/>
  <c r="AC61" i="2"/>
  <c r="AB61" i="2"/>
  <c r="AA61" i="2"/>
  <c r="AJ60" i="2"/>
  <c r="AI60" i="2"/>
  <c r="AH60" i="2"/>
  <c r="AG60" i="2"/>
  <c r="AF60" i="2"/>
  <c r="AE60" i="2"/>
  <c r="AD60" i="2"/>
  <c r="AC60" i="2"/>
  <c r="AB60" i="2"/>
  <c r="AA60" i="2"/>
  <c r="AJ92" i="2"/>
  <c r="AI92" i="2"/>
  <c r="AH92" i="2"/>
  <c r="AG92" i="2"/>
  <c r="AF92" i="2"/>
  <c r="AE92" i="2"/>
  <c r="AD92" i="2"/>
  <c r="AC92" i="2"/>
  <c r="AB92" i="2"/>
  <c r="AA92" i="2"/>
  <c r="AJ91" i="2"/>
  <c r="AI91" i="2"/>
  <c r="AH91" i="2"/>
  <c r="AG91" i="2"/>
  <c r="AF91" i="2"/>
  <c r="AE91" i="2"/>
  <c r="AD91" i="2"/>
  <c r="AC91" i="2"/>
  <c r="AB91" i="2"/>
  <c r="AA91" i="2"/>
  <c r="AJ90" i="2"/>
  <c r="AI90" i="2"/>
  <c r="AH90" i="2"/>
  <c r="AG90" i="2"/>
  <c r="AF90" i="2"/>
  <c r="AE90" i="2"/>
  <c r="AD90" i="2"/>
  <c r="AC90" i="2"/>
  <c r="AB90" i="2"/>
  <c r="AA90" i="2"/>
  <c r="AJ89" i="2"/>
  <c r="AI89" i="2"/>
  <c r="AH89" i="2"/>
  <c r="AG89" i="2"/>
  <c r="AF89" i="2"/>
  <c r="AE89" i="2"/>
  <c r="AD89" i="2"/>
  <c r="AC89" i="2"/>
  <c r="AB89" i="2"/>
  <c r="AA89" i="2"/>
  <c r="AJ88" i="2"/>
  <c r="AI88" i="2"/>
  <c r="AH88" i="2"/>
  <c r="AG88" i="2"/>
  <c r="AF88" i="2"/>
  <c r="AE88" i="2"/>
  <c r="AD88" i="2"/>
  <c r="AC88" i="2"/>
  <c r="AB88" i="2"/>
  <c r="AA88" i="2"/>
  <c r="AJ87" i="2"/>
  <c r="AI87" i="2"/>
  <c r="AH87" i="2"/>
  <c r="AG87" i="2"/>
  <c r="AF87" i="2"/>
  <c r="AE87" i="2"/>
  <c r="AD87" i="2"/>
  <c r="AC87" i="2"/>
  <c r="AB87" i="2"/>
  <c r="AA87" i="2"/>
  <c r="AJ86" i="2"/>
  <c r="AI86" i="2"/>
  <c r="AH86" i="2"/>
  <c r="AG86" i="2"/>
  <c r="AF86" i="2"/>
  <c r="AE86" i="2"/>
  <c r="AD86" i="2"/>
  <c r="AC86" i="2"/>
  <c r="AB86" i="2"/>
  <c r="AA86" i="2"/>
  <c r="AJ59" i="2"/>
  <c r="AI59" i="2"/>
  <c r="AH59" i="2"/>
  <c r="AG59" i="2"/>
  <c r="AF59" i="2"/>
  <c r="AE59" i="2"/>
  <c r="AD59" i="2"/>
  <c r="AC59" i="2"/>
  <c r="AB59" i="2"/>
  <c r="AA59" i="2"/>
  <c r="AJ58" i="2"/>
  <c r="AI58" i="2"/>
  <c r="AH58" i="2"/>
  <c r="AG58" i="2"/>
  <c r="AF58" i="2"/>
  <c r="AE58" i="2"/>
  <c r="AD58" i="2"/>
  <c r="AC58" i="2"/>
  <c r="AB58" i="2"/>
  <c r="AA58" i="2"/>
  <c r="AJ57" i="2"/>
  <c r="AI57" i="2"/>
  <c r="AH57" i="2"/>
  <c r="AG57" i="2"/>
  <c r="AF57" i="2"/>
  <c r="AE57" i="2"/>
  <c r="AD57" i="2"/>
  <c r="AC57" i="2"/>
  <c r="AB57" i="2"/>
  <c r="AA57" i="2"/>
  <c r="AJ56" i="2"/>
  <c r="AI56" i="2"/>
  <c r="AH56" i="2"/>
  <c r="AG56" i="2"/>
  <c r="AF56" i="2"/>
  <c r="AE56" i="2"/>
  <c r="AD56" i="2"/>
  <c r="AC56" i="2"/>
  <c r="AB56" i="2"/>
  <c r="AA56" i="2"/>
  <c r="AJ55" i="2"/>
  <c r="AI55" i="2"/>
  <c r="AH55" i="2"/>
  <c r="AG55" i="2"/>
  <c r="AF55" i="2"/>
  <c r="AE55" i="2"/>
  <c r="AD55" i="2"/>
  <c r="AC55" i="2"/>
  <c r="AB55" i="2"/>
  <c r="AA55" i="2"/>
  <c r="AJ54" i="2"/>
  <c r="AI54" i="2"/>
  <c r="AH54" i="2"/>
  <c r="AG54" i="2"/>
  <c r="AF54" i="2"/>
  <c r="AE54" i="2"/>
  <c r="AD54" i="2"/>
  <c r="AC54" i="2"/>
  <c r="AB54" i="2"/>
  <c r="AA54" i="2"/>
  <c r="AJ53" i="2"/>
  <c r="AI53" i="2"/>
  <c r="AH53" i="2"/>
  <c r="AG53" i="2"/>
  <c r="AF53" i="2"/>
  <c r="AE53" i="2"/>
  <c r="AD53" i="2"/>
  <c r="AC53" i="2"/>
  <c r="AB53" i="2"/>
  <c r="AA53" i="2"/>
  <c r="AJ52" i="2"/>
  <c r="AI52" i="2"/>
  <c r="AH52" i="2"/>
  <c r="AG52" i="2"/>
  <c r="AF52" i="2"/>
  <c r="AE52" i="2"/>
  <c r="AD52" i="2"/>
  <c r="AC52" i="2"/>
  <c r="AB52" i="2"/>
  <c r="AA52" i="2"/>
  <c r="AJ51" i="2"/>
  <c r="AI51" i="2"/>
  <c r="AH51" i="2"/>
  <c r="AG51" i="2"/>
  <c r="AF51" i="2"/>
  <c r="AE51" i="2"/>
  <c r="AD51" i="2"/>
  <c r="AC51" i="2"/>
  <c r="AB51" i="2"/>
  <c r="AA51" i="2"/>
  <c r="AJ50" i="2"/>
  <c r="AI50" i="2"/>
  <c r="AH50" i="2"/>
  <c r="AG50" i="2"/>
  <c r="AF50" i="2"/>
  <c r="AE50" i="2"/>
  <c r="AD50" i="2"/>
  <c r="AC50" i="2"/>
  <c r="AB50" i="2"/>
  <c r="AA50" i="2"/>
  <c r="AJ49" i="2"/>
  <c r="AI49" i="2"/>
  <c r="AH49" i="2"/>
  <c r="AG49" i="2"/>
  <c r="AF49" i="2"/>
  <c r="AE49" i="2"/>
  <c r="AD49" i="2"/>
  <c r="AC49" i="2"/>
  <c r="AB49" i="2"/>
  <c r="AA49" i="2"/>
  <c r="AJ48" i="2"/>
  <c r="AI48" i="2"/>
  <c r="AH48" i="2"/>
  <c r="AG48" i="2"/>
  <c r="AF48" i="2"/>
  <c r="AE48" i="2"/>
  <c r="AD48" i="2"/>
  <c r="AC48" i="2"/>
  <c r="AB48" i="2"/>
  <c r="AA48" i="2"/>
  <c r="AJ47" i="2"/>
  <c r="AI47" i="2"/>
  <c r="AH47" i="2"/>
  <c r="AG47" i="2"/>
  <c r="AF47" i="2"/>
  <c r="AE47" i="2"/>
  <c r="AD47" i="2"/>
  <c r="AC47" i="2"/>
  <c r="AB47" i="2"/>
  <c r="AA47" i="2"/>
  <c r="AJ46" i="2"/>
  <c r="AI46" i="2"/>
  <c r="AH46" i="2"/>
  <c r="AG46" i="2"/>
  <c r="AF46" i="2"/>
  <c r="AE46" i="2"/>
  <c r="AD46" i="2"/>
  <c r="AC46" i="2"/>
  <c r="AB46" i="2"/>
  <c r="AA46" i="2"/>
  <c r="AJ45" i="2"/>
  <c r="AI45" i="2"/>
  <c r="AH45" i="2"/>
  <c r="AG45" i="2"/>
  <c r="AF45" i="2"/>
  <c r="AE45" i="2"/>
  <c r="AD45" i="2"/>
  <c r="AC45" i="2"/>
  <c r="AB45" i="2"/>
  <c r="AA45" i="2"/>
  <c r="AJ44" i="2"/>
  <c r="AI44" i="2"/>
  <c r="AH44" i="2"/>
  <c r="AG44" i="2"/>
  <c r="AF44" i="2"/>
  <c r="AE44" i="2"/>
  <c r="AD44" i="2"/>
  <c r="AC44" i="2"/>
  <c r="AB44" i="2"/>
  <c r="AA44" i="2"/>
  <c r="AJ43" i="2"/>
  <c r="AI43" i="2"/>
  <c r="AH43" i="2"/>
  <c r="AG43" i="2"/>
  <c r="AF43" i="2"/>
  <c r="AE43" i="2"/>
  <c r="AD43" i="2"/>
  <c r="AC43" i="2"/>
  <c r="AB43" i="2"/>
  <c r="AA43" i="2"/>
  <c r="AJ42" i="2"/>
  <c r="AI42" i="2"/>
  <c r="AH42" i="2"/>
  <c r="AG42" i="2"/>
  <c r="AF42" i="2"/>
  <c r="AE42" i="2"/>
  <c r="AD42" i="2"/>
  <c r="AC42" i="2"/>
  <c r="AB42" i="2"/>
  <c r="AA42" i="2"/>
  <c r="AJ41" i="2"/>
  <c r="AI41" i="2"/>
  <c r="AH41" i="2"/>
  <c r="AG41" i="2"/>
  <c r="AF41" i="2"/>
  <c r="AE41" i="2"/>
  <c r="AD41" i="2"/>
  <c r="AC41" i="2"/>
  <c r="AB41" i="2"/>
  <c r="AA41" i="2"/>
  <c r="AJ40" i="2"/>
  <c r="AI40" i="2"/>
  <c r="AH40" i="2"/>
  <c r="AG40" i="2"/>
  <c r="AF40" i="2"/>
  <c r="AE40" i="2"/>
  <c r="AD40" i="2"/>
  <c r="AC40" i="2"/>
  <c r="AB40" i="2"/>
  <c r="AA40" i="2"/>
  <c r="AJ39" i="2"/>
  <c r="AI39" i="2"/>
  <c r="AH39" i="2"/>
  <c r="AG39" i="2"/>
  <c r="AF39" i="2"/>
  <c r="AE39" i="2"/>
  <c r="AD39" i="2"/>
  <c r="AC39" i="2"/>
  <c r="AB39" i="2"/>
  <c r="AA39" i="2"/>
  <c r="AJ38" i="2"/>
  <c r="AI38" i="2"/>
  <c r="AH38" i="2"/>
  <c r="AG38" i="2"/>
  <c r="AF38" i="2"/>
  <c r="AE38" i="2"/>
  <c r="AD38" i="2"/>
  <c r="AC38" i="2"/>
  <c r="AB38" i="2"/>
  <c r="AA38" i="2"/>
  <c r="AJ37" i="2"/>
  <c r="AI37" i="2"/>
  <c r="AH37" i="2"/>
  <c r="AG37" i="2"/>
  <c r="AF37" i="2"/>
  <c r="AE37" i="2"/>
  <c r="AD37" i="2"/>
  <c r="AC37" i="2"/>
  <c r="AB37" i="2"/>
  <c r="AA37" i="2"/>
  <c r="AJ36" i="2"/>
  <c r="AI36" i="2"/>
  <c r="AH36" i="2"/>
  <c r="AG36" i="2"/>
  <c r="AF36" i="2"/>
  <c r="AE36" i="2"/>
  <c r="AD36" i="2"/>
  <c r="AC36" i="2"/>
  <c r="AB36" i="2"/>
  <c r="AA36" i="2"/>
  <c r="AJ35" i="2"/>
  <c r="AI35" i="2"/>
  <c r="AH35" i="2"/>
  <c r="AG35" i="2"/>
  <c r="AF35" i="2"/>
  <c r="AE35" i="2"/>
  <c r="AD35" i="2"/>
  <c r="AC35" i="2"/>
  <c r="AJ34" i="2"/>
  <c r="AI34" i="2"/>
  <c r="AH34" i="2"/>
  <c r="AG34" i="2"/>
  <c r="AF34" i="2"/>
  <c r="AE34" i="2"/>
  <c r="AD34" i="2"/>
  <c r="AC34" i="2"/>
  <c r="AB34" i="2"/>
  <c r="AA34" i="2"/>
  <c r="AJ33" i="2"/>
  <c r="AI33" i="2"/>
  <c r="AH33" i="2"/>
  <c r="AG33" i="2"/>
  <c r="AF33" i="2"/>
  <c r="AE33" i="2"/>
  <c r="AD33" i="2"/>
  <c r="AC33" i="2"/>
  <c r="AB33" i="2"/>
  <c r="AA33" i="2"/>
  <c r="AJ32" i="2"/>
  <c r="AI32" i="2"/>
  <c r="AH32" i="2"/>
  <c r="AG32" i="2"/>
  <c r="AF32" i="2"/>
  <c r="AE32" i="2"/>
  <c r="AD32" i="2"/>
  <c r="AC32" i="2"/>
  <c r="AB32" i="2"/>
  <c r="AA32" i="2"/>
  <c r="AJ31" i="2"/>
  <c r="AI31" i="2"/>
  <c r="AH31" i="2"/>
  <c r="AG31" i="2"/>
  <c r="AF31" i="2"/>
  <c r="AE31" i="2"/>
  <c r="AD31" i="2"/>
  <c r="AC31" i="2"/>
  <c r="AJ30" i="2"/>
  <c r="AI30" i="2"/>
  <c r="AH30" i="2"/>
  <c r="AG30" i="2"/>
  <c r="AF30" i="2"/>
  <c r="AE30" i="2"/>
  <c r="AD30" i="2"/>
  <c r="AC30" i="2"/>
  <c r="AJ29" i="2"/>
  <c r="AI29" i="2"/>
  <c r="AH29" i="2"/>
  <c r="AG29" i="2"/>
  <c r="AF29" i="2"/>
  <c r="AE29" i="2"/>
  <c r="AD29" i="2"/>
  <c r="AC29" i="2"/>
  <c r="AJ28" i="2"/>
  <c r="AI28" i="2"/>
  <c r="AH28" i="2"/>
  <c r="AG28" i="2"/>
  <c r="AF28" i="2"/>
  <c r="AE28" i="2"/>
  <c r="AD28" i="2"/>
  <c r="AC28" i="2"/>
  <c r="AJ27" i="2"/>
  <c r="AI27" i="2"/>
  <c r="AH27" i="2"/>
  <c r="AG27" i="2"/>
  <c r="AF27" i="2"/>
  <c r="AE27" i="2"/>
  <c r="AD27" i="2"/>
  <c r="AC27" i="2"/>
  <c r="AB27" i="2"/>
  <c r="AA27" i="2"/>
  <c r="AJ26" i="2"/>
  <c r="AI26" i="2"/>
  <c r="AH26" i="2"/>
  <c r="AG26" i="2"/>
  <c r="AF26" i="2"/>
  <c r="AE26" i="2"/>
  <c r="AD26" i="2"/>
  <c r="AC26" i="2"/>
  <c r="AB26" i="2"/>
  <c r="AA26" i="2"/>
  <c r="AJ25" i="2"/>
  <c r="AI25" i="2"/>
  <c r="AH25" i="2"/>
  <c r="AG25" i="2"/>
  <c r="AF25" i="2"/>
  <c r="AE25" i="2"/>
  <c r="AD25" i="2"/>
  <c r="AC25" i="2"/>
  <c r="AB25" i="2"/>
  <c r="AA25" i="2"/>
  <c r="AJ23" i="2"/>
  <c r="AI23" i="2"/>
  <c r="AH23" i="2"/>
  <c r="AG23" i="2"/>
  <c r="AF23" i="2"/>
  <c r="AE23" i="2"/>
  <c r="AD23" i="2"/>
  <c r="AC23" i="2"/>
  <c r="AB23" i="2"/>
  <c r="AA23" i="2"/>
  <c r="AJ22" i="2"/>
  <c r="AI22" i="2"/>
  <c r="AH22" i="2"/>
  <c r="AG22" i="2"/>
  <c r="AF22" i="2"/>
  <c r="AE22" i="2"/>
  <c r="AD22" i="2"/>
  <c r="AC22" i="2"/>
  <c r="AB22" i="2"/>
  <c r="AA22" i="2"/>
  <c r="AJ24" i="2"/>
  <c r="AI24" i="2"/>
  <c r="AH24" i="2"/>
  <c r="AG24" i="2"/>
  <c r="AF24" i="2"/>
  <c r="AE24" i="2"/>
  <c r="AD24" i="2"/>
  <c r="AC24" i="2"/>
  <c r="AB24" i="2"/>
  <c r="AA24" i="2"/>
  <c r="AJ21" i="2"/>
  <c r="AI21" i="2"/>
  <c r="AH21" i="2"/>
  <c r="AG21" i="2"/>
  <c r="AF21" i="2"/>
  <c r="AE21" i="2"/>
  <c r="AD21" i="2"/>
  <c r="AC21" i="2"/>
  <c r="AB21" i="2"/>
  <c r="AA21" i="2"/>
  <c r="AJ20" i="2"/>
  <c r="AI20" i="2"/>
  <c r="AH20" i="2"/>
  <c r="AG20" i="2"/>
  <c r="AF20" i="2"/>
  <c r="AE20" i="2"/>
  <c r="AD20" i="2"/>
  <c r="AC20" i="2"/>
  <c r="AB20" i="2"/>
  <c r="AA20" i="2"/>
  <c r="AJ19" i="2"/>
  <c r="AI19" i="2"/>
  <c r="AH19" i="2"/>
  <c r="AG19" i="2"/>
  <c r="AF19" i="2"/>
  <c r="AE19" i="2"/>
  <c r="AD19" i="2"/>
  <c r="AC19" i="2"/>
  <c r="AB19" i="2"/>
  <c r="AA19" i="2"/>
  <c r="AJ18" i="2"/>
  <c r="AI18" i="2"/>
  <c r="AH18" i="2"/>
  <c r="AG18" i="2"/>
  <c r="AF18" i="2"/>
  <c r="AE18" i="2"/>
  <c r="AD18" i="2"/>
  <c r="AC18" i="2"/>
  <c r="AB18" i="2"/>
  <c r="AA18" i="2"/>
  <c r="AJ17" i="2"/>
  <c r="AI17" i="2"/>
  <c r="AH17" i="2"/>
  <c r="AG17" i="2"/>
  <c r="AF17" i="2"/>
  <c r="AE17" i="2"/>
  <c r="AD17" i="2"/>
  <c r="AC17" i="2"/>
  <c r="AB17" i="2"/>
  <c r="AA17" i="2"/>
  <c r="AJ16" i="2"/>
  <c r="AI16" i="2"/>
  <c r="AH16" i="2"/>
  <c r="AG16" i="2"/>
  <c r="AF16" i="2"/>
  <c r="AE16" i="2"/>
  <c r="AD16" i="2"/>
  <c r="AC16" i="2"/>
  <c r="AB16" i="2"/>
  <c r="AA16" i="2"/>
  <c r="AJ15" i="2"/>
  <c r="AI15" i="2"/>
  <c r="AH15" i="2"/>
  <c r="AG15" i="2"/>
  <c r="AF15" i="2"/>
  <c r="AE15" i="2"/>
  <c r="AD15" i="2"/>
  <c r="AC15" i="2"/>
  <c r="AB15" i="2"/>
  <c r="AA15" i="2"/>
  <c r="AJ14" i="2"/>
  <c r="AI14" i="2"/>
  <c r="AH14" i="2"/>
  <c r="AG14" i="2"/>
  <c r="AF14" i="2"/>
  <c r="AE14" i="2"/>
  <c r="AD14" i="2"/>
  <c r="AC14" i="2"/>
  <c r="AB14" i="2"/>
  <c r="AA14" i="2"/>
  <c r="AJ13" i="2"/>
  <c r="AI13" i="2"/>
  <c r="AH13" i="2"/>
  <c r="AG13" i="2"/>
  <c r="AF13" i="2"/>
  <c r="AE13" i="2"/>
  <c r="AD13" i="2"/>
  <c r="AC13" i="2"/>
  <c r="AB13" i="2"/>
  <c r="AA13" i="2"/>
  <c r="AJ12" i="2"/>
  <c r="AI12" i="2"/>
  <c r="AH12" i="2"/>
  <c r="AG12" i="2"/>
  <c r="AF12" i="2"/>
  <c r="AE12" i="2"/>
  <c r="AD12" i="2"/>
  <c r="AC12" i="2"/>
  <c r="AB12" i="2"/>
  <c r="AA12" i="2"/>
  <c r="AJ11" i="2"/>
  <c r="AI11" i="2"/>
  <c r="AH11" i="2"/>
  <c r="AG11" i="2"/>
  <c r="AF11" i="2"/>
  <c r="AE11" i="2"/>
  <c r="AD11" i="2"/>
  <c r="AC11" i="2"/>
  <c r="AB11" i="2"/>
  <c r="AA11" i="2"/>
  <c r="AJ10" i="2"/>
  <c r="AI10" i="2"/>
  <c r="AH10" i="2"/>
  <c r="AG10" i="2"/>
  <c r="AF10" i="2"/>
  <c r="AE10" i="2"/>
  <c r="AD10" i="2"/>
  <c r="AC10" i="2"/>
  <c r="AB10" i="2"/>
  <c r="AA10" i="2"/>
  <c r="AJ9" i="2"/>
  <c r="AI9" i="2"/>
  <c r="AH9" i="2"/>
  <c r="AG9" i="2"/>
  <c r="AF9" i="2"/>
  <c r="AE9" i="2"/>
  <c r="AD9" i="2"/>
  <c r="AC9" i="2"/>
  <c r="AB9" i="2"/>
  <c r="AA9" i="2"/>
  <c r="AJ8" i="2"/>
  <c r="AI8" i="2"/>
  <c r="AH8" i="2"/>
  <c r="AG8" i="2"/>
  <c r="AF8" i="2"/>
  <c r="AE8" i="2"/>
  <c r="AD8" i="2"/>
  <c r="AC8" i="2"/>
  <c r="AB8" i="2"/>
  <c r="AA8" i="2"/>
  <c r="AJ7" i="2"/>
  <c r="AI7" i="2"/>
  <c r="AH7" i="2"/>
  <c r="AG7" i="2"/>
  <c r="AF7" i="2"/>
  <c r="AE7" i="2"/>
  <c r="AD7" i="2"/>
  <c r="AC7" i="2"/>
  <c r="AB7" i="2"/>
  <c r="AA7" i="2"/>
  <c r="AN7" i="2" s="1"/>
  <c r="Z85" i="2"/>
  <c r="Y85" i="2"/>
  <c r="X85" i="2"/>
  <c r="W85" i="2"/>
  <c r="V85" i="2"/>
  <c r="U85" i="2"/>
  <c r="T85" i="2"/>
  <c r="S85" i="2"/>
  <c r="R85" i="2"/>
  <c r="Q85" i="2"/>
  <c r="P85" i="2"/>
  <c r="O85" i="2"/>
  <c r="X84" i="2"/>
  <c r="W84" i="2"/>
  <c r="V84" i="2"/>
  <c r="U84" i="2"/>
  <c r="T84" i="2"/>
  <c r="S84" i="2"/>
  <c r="R84" i="2"/>
  <c r="Q84" i="2"/>
  <c r="P84" i="2"/>
  <c r="O84" i="2"/>
  <c r="Z83" i="2"/>
  <c r="Y83" i="2"/>
  <c r="X83" i="2"/>
  <c r="W83" i="2"/>
  <c r="V83" i="2"/>
  <c r="U83" i="2"/>
  <c r="T83" i="2"/>
  <c r="S83" i="2"/>
  <c r="R83" i="2"/>
  <c r="Q83" i="2"/>
  <c r="P83" i="2"/>
  <c r="O83" i="2"/>
  <c r="Z82" i="2"/>
  <c r="Y82" i="2"/>
  <c r="X82" i="2"/>
  <c r="W82" i="2"/>
  <c r="V82" i="2"/>
  <c r="U82" i="2"/>
  <c r="T82" i="2"/>
  <c r="S82" i="2"/>
  <c r="R82" i="2"/>
  <c r="Q82" i="2"/>
  <c r="P82" i="2"/>
  <c r="O82" i="2"/>
  <c r="Z81" i="2"/>
  <c r="Y81" i="2"/>
  <c r="X81" i="2"/>
  <c r="W81" i="2"/>
  <c r="V81" i="2"/>
  <c r="U81" i="2"/>
  <c r="T81" i="2"/>
  <c r="S81" i="2"/>
  <c r="R81" i="2"/>
  <c r="Q81" i="2"/>
  <c r="P81" i="2"/>
  <c r="O81" i="2"/>
  <c r="Z80" i="2"/>
  <c r="Y80" i="2"/>
  <c r="X80" i="2"/>
  <c r="W80" i="2"/>
  <c r="V80" i="2"/>
  <c r="U80" i="2"/>
  <c r="T80" i="2"/>
  <c r="S80" i="2"/>
  <c r="R80" i="2"/>
  <c r="Q80" i="2"/>
  <c r="P80" i="2"/>
  <c r="O80" i="2"/>
  <c r="Z79" i="2"/>
  <c r="Y79" i="2"/>
  <c r="X79" i="2"/>
  <c r="W79" i="2"/>
  <c r="V79" i="2"/>
  <c r="U79" i="2"/>
  <c r="T79" i="2"/>
  <c r="S79" i="2"/>
  <c r="R79" i="2"/>
  <c r="Q79" i="2"/>
  <c r="P79" i="2"/>
  <c r="O79" i="2"/>
  <c r="Z78" i="2"/>
  <c r="Y78" i="2"/>
  <c r="X78" i="2"/>
  <c r="W78" i="2"/>
  <c r="V78" i="2"/>
  <c r="U78" i="2"/>
  <c r="T78" i="2"/>
  <c r="S78" i="2"/>
  <c r="R78" i="2"/>
  <c r="Q78" i="2"/>
  <c r="P78" i="2"/>
  <c r="O78" i="2"/>
  <c r="Z77" i="2"/>
  <c r="Y77" i="2"/>
  <c r="X77" i="2"/>
  <c r="W77" i="2"/>
  <c r="V77" i="2"/>
  <c r="U77" i="2"/>
  <c r="T77" i="2"/>
  <c r="S77" i="2"/>
  <c r="R77" i="2"/>
  <c r="Q77" i="2"/>
  <c r="P77" i="2"/>
  <c r="O77" i="2"/>
  <c r="Z76" i="2"/>
  <c r="Y76" i="2"/>
  <c r="X76" i="2"/>
  <c r="W76" i="2"/>
  <c r="V76" i="2"/>
  <c r="U76" i="2"/>
  <c r="T76" i="2"/>
  <c r="S76" i="2"/>
  <c r="R76" i="2"/>
  <c r="Q76" i="2"/>
  <c r="P76" i="2"/>
  <c r="O76" i="2"/>
  <c r="Z75" i="2"/>
  <c r="Y75" i="2"/>
  <c r="X75" i="2"/>
  <c r="W75" i="2"/>
  <c r="V75" i="2"/>
  <c r="U75" i="2"/>
  <c r="T75" i="2"/>
  <c r="S75" i="2"/>
  <c r="R75" i="2"/>
  <c r="Q75" i="2"/>
  <c r="P75" i="2"/>
  <c r="O75" i="2"/>
  <c r="Z74" i="2"/>
  <c r="Y74" i="2"/>
  <c r="X74" i="2"/>
  <c r="W74" i="2"/>
  <c r="V74" i="2"/>
  <c r="U74" i="2"/>
  <c r="T74" i="2"/>
  <c r="S74" i="2"/>
  <c r="R74" i="2"/>
  <c r="Q74" i="2"/>
  <c r="P74" i="2"/>
  <c r="O74" i="2"/>
  <c r="Z73" i="2"/>
  <c r="Y73" i="2"/>
  <c r="X73" i="2"/>
  <c r="W73" i="2"/>
  <c r="V73" i="2"/>
  <c r="U73" i="2"/>
  <c r="T73" i="2"/>
  <c r="S73" i="2"/>
  <c r="R73" i="2"/>
  <c r="Q73" i="2"/>
  <c r="P73" i="2"/>
  <c r="O73" i="2"/>
  <c r="W69" i="2"/>
  <c r="S69" i="2"/>
  <c r="O69" i="2"/>
  <c r="Z67" i="2"/>
  <c r="Y67" i="2"/>
  <c r="X67" i="2"/>
  <c r="W67" i="2"/>
  <c r="V67" i="2"/>
  <c r="U67" i="2"/>
  <c r="T67" i="2"/>
  <c r="S67" i="2"/>
  <c r="R67" i="2"/>
  <c r="Q67" i="2"/>
  <c r="P67" i="2"/>
  <c r="O67" i="2"/>
  <c r="Z66" i="2"/>
  <c r="Y66" i="2"/>
  <c r="X66" i="2"/>
  <c r="W66" i="2"/>
  <c r="V66" i="2"/>
  <c r="U66" i="2"/>
  <c r="T66" i="2"/>
  <c r="S66" i="2"/>
  <c r="R66" i="2"/>
  <c r="Q66" i="2"/>
  <c r="P66" i="2"/>
  <c r="O66" i="2"/>
  <c r="Z65" i="2"/>
  <c r="Y65" i="2"/>
  <c r="X65" i="2"/>
  <c r="W65" i="2"/>
  <c r="V65" i="2"/>
  <c r="U65" i="2"/>
  <c r="T65" i="2"/>
  <c r="S65" i="2"/>
  <c r="R65" i="2"/>
  <c r="Q65" i="2"/>
  <c r="P65" i="2"/>
  <c r="O65" i="2"/>
  <c r="Z64" i="2"/>
  <c r="Y64" i="2"/>
  <c r="X64" i="2"/>
  <c r="W64" i="2"/>
  <c r="V64" i="2"/>
  <c r="U64" i="2"/>
  <c r="T64" i="2"/>
  <c r="S64" i="2"/>
  <c r="R64" i="2"/>
  <c r="Q64" i="2"/>
  <c r="P64" i="2"/>
  <c r="O64" i="2"/>
  <c r="Z63" i="2"/>
  <c r="Y63" i="2"/>
  <c r="X63" i="2"/>
  <c r="W63" i="2"/>
  <c r="V63" i="2"/>
  <c r="U63" i="2"/>
  <c r="T63" i="2"/>
  <c r="S63" i="2"/>
  <c r="R63" i="2"/>
  <c r="Q63" i="2"/>
  <c r="P63" i="2"/>
  <c r="O63" i="2"/>
  <c r="Z62" i="2"/>
  <c r="Y62" i="2"/>
  <c r="X62" i="2"/>
  <c r="W62" i="2"/>
  <c r="V62" i="2"/>
  <c r="U62" i="2"/>
  <c r="T62" i="2"/>
  <c r="S62" i="2"/>
  <c r="R62" i="2"/>
  <c r="Q62" i="2"/>
  <c r="P62" i="2"/>
  <c r="O62" i="2"/>
  <c r="Z61" i="2"/>
  <c r="Y61" i="2"/>
  <c r="X61" i="2"/>
  <c r="W61" i="2"/>
  <c r="V61" i="2"/>
  <c r="U61" i="2"/>
  <c r="T61" i="2"/>
  <c r="S61" i="2"/>
  <c r="R61" i="2"/>
  <c r="Q61" i="2"/>
  <c r="P61" i="2"/>
  <c r="O61" i="2"/>
  <c r="Z60" i="2"/>
  <c r="Y60" i="2"/>
  <c r="X60" i="2"/>
  <c r="W60" i="2"/>
  <c r="V60" i="2"/>
  <c r="U60" i="2"/>
  <c r="T60" i="2"/>
  <c r="S60" i="2"/>
  <c r="R60" i="2"/>
  <c r="Q60" i="2"/>
  <c r="P60" i="2"/>
  <c r="O60" i="2"/>
  <c r="Z92" i="2"/>
  <c r="Y92" i="2"/>
  <c r="X92" i="2"/>
  <c r="W92" i="2"/>
  <c r="V92" i="2"/>
  <c r="U92" i="2"/>
  <c r="T92" i="2"/>
  <c r="S92" i="2"/>
  <c r="R92" i="2"/>
  <c r="Q92" i="2"/>
  <c r="P92" i="2"/>
  <c r="O92" i="2"/>
  <c r="Z91" i="2"/>
  <c r="Y91" i="2"/>
  <c r="X91" i="2"/>
  <c r="W91" i="2"/>
  <c r="V91" i="2"/>
  <c r="U91" i="2"/>
  <c r="T91" i="2"/>
  <c r="S91" i="2"/>
  <c r="R91" i="2"/>
  <c r="Q91" i="2"/>
  <c r="P91" i="2"/>
  <c r="O91" i="2"/>
  <c r="Z90" i="2"/>
  <c r="Y90" i="2"/>
  <c r="X90" i="2"/>
  <c r="W90" i="2"/>
  <c r="V90" i="2"/>
  <c r="U90" i="2"/>
  <c r="T90" i="2"/>
  <c r="S90" i="2"/>
  <c r="R90" i="2"/>
  <c r="Q90" i="2"/>
  <c r="P90" i="2"/>
  <c r="O90" i="2"/>
  <c r="Z89" i="2"/>
  <c r="Y89" i="2"/>
  <c r="X89" i="2"/>
  <c r="W89" i="2"/>
  <c r="V89" i="2"/>
  <c r="U89" i="2"/>
  <c r="T89" i="2"/>
  <c r="S89" i="2"/>
  <c r="R89" i="2"/>
  <c r="Q89" i="2"/>
  <c r="P89" i="2"/>
  <c r="O89" i="2"/>
  <c r="Z88" i="2"/>
  <c r="Y88" i="2"/>
  <c r="X88" i="2"/>
  <c r="W88" i="2"/>
  <c r="V88" i="2"/>
  <c r="U88" i="2"/>
  <c r="T88" i="2"/>
  <c r="S88" i="2"/>
  <c r="R88" i="2"/>
  <c r="Q88" i="2"/>
  <c r="P88" i="2"/>
  <c r="O88" i="2"/>
  <c r="Z87" i="2"/>
  <c r="Y87" i="2"/>
  <c r="X87" i="2"/>
  <c r="W87" i="2"/>
  <c r="V87" i="2"/>
  <c r="U87" i="2"/>
  <c r="T87" i="2"/>
  <c r="S87" i="2"/>
  <c r="R87" i="2"/>
  <c r="Q87" i="2"/>
  <c r="P87" i="2"/>
  <c r="O87" i="2"/>
  <c r="Z86" i="2"/>
  <c r="Y86" i="2"/>
  <c r="X86" i="2"/>
  <c r="W86" i="2"/>
  <c r="V86" i="2"/>
  <c r="U86" i="2"/>
  <c r="T86" i="2"/>
  <c r="S86" i="2"/>
  <c r="R86" i="2"/>
  <c r="Q86" i="2"/>
  <c r="P86" i="2"/>
  <c r="O86" i="2"/>
  <c r="Z59" i="2"/>
  <c r="Y59" i="2"/>
  <c r="X59" i="2"/>
  <c r="W59" i="2"/>
  <c r="V59" i="2"/>
  <c r="U59" i="2"/>
  <c r="T59" i="2"/>
  <c r="S59" i="2"/>
  <c r="R59" i="2"/>
  <c r="Q59" i="2"/>
  <c r="P59" i="2"/>
  <c r="O59" i="2"/>
  <c r="Z58" i="2"/>
  <c r="Y58" i="2"/>
  <c r="X58" i="2"/>
  <c r="W58" i="2"/>
  <c r="V58" i="2"/>
  <c r="U58" i="2"/>
  <c r="T58" i="2"/>
  <c r="S58" i="2"/>
  <c r="R58" i="2"/>
  <c r="Q58" i="2"/>
  <c r="P58" i="2"/>
  <c r="O58" i="2"/>
  <c r="Z57" i="2"/>
  <c r="Y57" i="2"/>
  <c r="X57" i="2"/>
  <c r="W57" i="2"/>
  <c r="V57" i="2"/>
  <c r="U57" i="2"/>
  <c r="T57" i="2"/>
  <c r="S57" i="2"/>
  <c r="R57" i="2"/>
  <c r="Q57" i="2"/>
  <c r="P57" i="2"/>
  <c r="O57" i="2"/>
  <c r="Z56" i="2"/>
  <c r="Y56" i="2"/>
  <c r="X56" i="2"/>
  <c r="W56" i="2"/>
  <c r="V56" i="2"/>
  <c r="U56" i="2"/>
  <c r="T56" i="2"/>
  <c r="S56" i="2"/>
  <c r="R56" i="2"/>
  <c r="Q56" i="2"/>
  <c r="P56" i="2"/>
  <c r="O56" i="2"/>
  <c r="Z55" i="2"/>
  <c r="Y55" i="2"/>
  <c r="X55" i="2"/>
  <c r="W55" i="2"/>
  <c r="V55" i="2"/>
  <c r="U55" i="2"/>
  <c r="T55" i="2"/>
  <c r="S55" i="2"/>
  <c r="R55" i="2"/>
  <c r="Q55" i="2"/>
  <c r="P55" i="2"/>
  <c r="O55" i="2"/>
  <c r="Z54" i="2"/>
  <c r="Y54" i="2"/>
  <c r="X54" i="2"/>
  <c r="W54" i="2"/>
  <c r="V54" i="2"/>
  <c r="U54" i="2"/>
  <c r="T54" i="2"/>
  <c r="S54" i="2"/>
  <c r="R54" i="2"/>
  <c r="Q54" i="2"/>
  <c r="P54" i="2"/>
  <c r="O54" i="2"/>
  <c r="Z53" i="2"/>
  <c r="Y53" i="2"/>
  <c r="X53" i="2"/>
  <c r="W53" i="2"/>
  <c r="V53" i="2"/>
  <c r="U53" i="2"/>
  <c r="T53" i="2"/>
  <c r="S53" i="2"/>
  <c r="R53" i="2"/>
  <c r="Q53" i="2"/>
  <c r="P53" i="2"/>
  <c r="O53" i="2"/>
  <c r="Z52" i="2"/>
  <c r="Y52" i="2"/>
  <c r="X52" i="2"/>
  <c r="W52" i="2"/>
  <c r="V52" i="2"/>
  <c r="U52" i="2"/>
  <c r="T52" i="2"/>
  <c r="S52" i="2"/>
  <c r="R52" i="2"/>
  <c r="Q52" i="2"/>
  <c r="P52" i="2"/>
  <c r="O52" i="2"/>
  <c r="Z51" i="2"/>
  <c r="Y51" i="2"/>
  <c r="X51" i="2"/>
  <c r="W51" i="2"/>
  <c r="V51" i="2"/>
  <c r="U51" i="2"/>
  <c r="T51" i="2"/>
  <c r="S51" i="2"/>
  <c r="R51" i="2"/>
  <c r="Q51" i="2"/>
  <c r="P51" i="2"/>
  <c r="O51" i="2"/>
  <c r="Z50" i="2"/>
  <c r="Y50" i="2"/>
  <c r="X50" i="2"/>
  <c r="W50" i="2"/>
  <c r="V50" i="2"/>
  <c r="U50" i="2"/>
  <c r="T50" i="2"/>
  <c r="S50" i="2"/>
  <c r="R50" i="2"/>
  <c r="Q50" i="2"/>
  <c r="P50" i="2"/>
  <c r="O50" i="2"/>
  <c r="Z49" i="2"/>
  <c r="Y49" i="2"/>
  <c r="X49" i="2"/>
  <c r="W49" i="2"/>
  <c r="V49" i="2"/>
  <c r="U49" i="2"/>
  <c r="T49" i="2"/>
  <c r="S49" i="2"/>
  <c r="R49" i="2"/>
  <c r="Q49" i="2"/>
  <c r="P49" i="2"/>
  <c r="O49" i="2"/>
  <c r="Z48" i="2"/>
  <c r="Y48" i="2"/>
  <c r="X48" i="2"/>
  <c r="W48" i="2"/>
  <c r="V48" i="2"/>
  <c r="U48" i="2"/>
  <c r="T48" i="2"/>
  <c r="S48" i="2"/>
  <c r="R48" i="2"/>
  <c r="Q48" i="2"/>
  <c r="P48" i="2"/>
  <c r="O48" i="2"/>
  <c r="Z47" i="2"/>
  <c r="Y47" i="2"/>
  <c r="X47" i="2"/>
  <c r="W47" i="2"/>
  <c r="V47" i="2"/>
  <c r="U47" i="2"/>
  <c r="T47" i="2"/>
  <c r="S47" i="2"/>
  <c r="R47" i="2"/>
  <c r="Q47" i="2"/>
  <c r="P47" i="2"/>
  <c r="O47" i="2"/>
  <c r="Z46" i="2"/>
  <c r="Y46" i="2"/>
  <c r="X46" i="2"/>
  <c r="W46" i="2"/>
  <c r="V46" i="2"/>
  <c r="U46" i="2"/>
  <c r="T46" i="2"/>
  <c r="S46" i="2"/>
  <c r="R46" i="2"/>
  <c r="Q46" i="2"/>
  <c r="P46" i="2"/>
  <c r="O46" i="2"/>
  <c r="Z45" i="2"/>
  <c r="Y45" i="2"/>
  <c r="X45" i="2"/>
  <c r="W45" i="2"/>
  <c r="V45" i="2"/>
  <c r="U45" i="2"/>
  <c r="T45" i="2"/>
  <c r="S45" i="2"/>
  <c r="R45" i="2"/>
  <c r="Q45" i="2"/>
  <c r="P45" i="2"/>
  <c r="O45" i="2"/>
  <c r="Z44" i="2"/>
  <c r="Y44" i="2"/>
  <c r="X44" i="2"/>
  <c r="W44" i="2"/>
  <c r="V44" i="2"/>
  <c r="U44" i="2"/>
  <c r="T44" i="2"/>
  <c r="S44" i="2"/>
  <c r="R44" i="2"/>
  <c r="Q44" i="2"/>
  <c r="P44" i="2"/>
  <c r="O44" i="2"/>
  <c r="Z43" i="2"/>
  <c r="Y43" i="2"/>
  <c r="X43" i="2"/>
  <c r="W43" i="2"/>
  <c r="V43" i="2"/>
  <c r="U43" i="2"/>
  <c r="T43" i="2"/>
  <c r="S43" i="2"/>
  <c r="R43" i="2"/>
  <c r="Q43" i="2"/>
  <c r="P43" i="2"/>
  <c r="O43" i="2"/>
  <c r="Z42" i="2"/>
  <c r="Y42" i="2"/>
  <c r="X42" i="2"/>
  <c r="W42" i="2"/>
  <c r="V42" i="2"/>
  <c r="U42" i="2"/>
  <c r="T42" i="2"/>
  <c r="S42" i="2"/>
  <c r="R42" i="2"/>
  <c r="Q42" i="2"/>
  <c r="P42" i="2"/>
  <c r="O42" i="2"/>
  <c r="Z41" i="2"/>
  <c r="Y41" i="2"/>
  <c r="X41" i="2"/>
  <c r="W41" i="2"/>
  <c r="V41" i="2"/>
  <c r="U41" i="2"/>
  <c r="T41" i="2"/>
  <c r="S41" i="2"/>
  <c r="R41" i="2"/>
  <c r="Q41" i="2"/>
  <c r="P41" i="2"/>
  <c r="O41" i="2"/>
  <c r="Z40" i="2"/>
  <c r="Y40" i="2"/>
  <c r="X40" i="2"/>
  <c r="W40" i="2"/>
  <c r="V40" i="2"/>
  <c r="U40" i="2"/>
  <c r="T40" i="2"/>
  <c r="S40" i="2"/>
  <c r="R40" i="2"/>
  <c r="Q40" i="2"/>
  <c r="P40" i="2"/>
  <c r="O40" i="2"/>
  <c r="Z39" i="2"/>
  <c r="Y39" i="2"/>
  <c r="X39" i="2"/>
  <c r="W39" i="2"/>
  <c r="V39" i="2"/>
  <c r="U39" i="2"/>
  <c r="T39" i="2"/>
  <c r="S39" i="2"/>
  <c r="R39" i="2"/>
  <c r="Q39" i="2"/>
  <c r="P39" i="2"/>
  <c r="O39" i="2"/>
  <c r="Z38" i="2"/>
  <c r="Y38" i="2"/>
  <c r="X38" i="2"/>
  <c r="W38" i="2"/>
  <c r="V38" i="2"/>
  <c r="U38" i="2"/>
  <c r="T38" i="2"/>
  <c r="S38" i="2"/>
  <c r="R38" i="2"/>
  <c r="Q38" i="2"/>
  <c r="P38" i="2"/>
  <c r="O38" i="2"/>
  <c r="Z37" i="2"/>
  <c r="Y37" i="2"/>
  <c r="X37" i="2"/>
  <c r="W37" i="2"/>
  <c r="V37" i="2"/>
  <c r="U37" i="2"/>
  <c r="T37" i="2"/>
  <c r="S37" i="2"/>
  <c r="R37" i="2"/>
  <c r="Q37" i="2"/>
  <c r="P37" i="2"/>
  <c r="O37" i="2"/>
  <c r="Z36" i="2"/>
  <c r="Y36" i="2"/>
  <c r="X36" i="2"/>
  <c r="W36" i="2"/>
  <c r="V36" i="2"/>
  <c r="U36" i="2"/>
  <c r="T36" i="2"/>
  <c r="S36" i="2"/>
  <c r="R36" i="2"/>
  <c r="Q36" i="2"/>
  <c r="P36" i="2"/>
  <c r="O36" i="2"/>
  <c r="Z35" i="2"/>
  <c r="Y35" i="2"/>
  <c r="X35" i="2"/>
  <c r="W35" i="2"/>
  <c r="V35" i="2"/>
  <c r="U35" i="2"/>
  <c r="T35" i="2"/>
  <c r="S35" i="2"/>
  <c r="R35" i="2"/>
  <c r="Q35" i="2"/>
  <c r="P35" i="2"/>
  <c r="O35" i="2"/>
  <c r="Z34" i="2"/>
  <c r="Y34" i="2"/>
  <c r="X34" i="2"/>
  <c r="W34" i="2"/>
  <c r="V34" i="2"/>
  <c r="U34" i="2"/>
  <c r="T34" i="2"/>
  <c r="S34" i="2"/>
  <c r="R34" i="2"/>
  <c r="Q34" i="2"/>
  <c r="Z33" i="2"/>
  <c r="Y33" i="2"/>
  <c r="X33" i="2"/>
  <c r="W33" i="2"/>
  <c r="V33" i="2"/>
  <c r="U33" i="2"/>
  <c r="T33" i="2"/>
  <c r="S33" i="2"/>
  <c r="R33" i="2"/>
  <c r="Q33" i="2"/>
  <c r="Z32" i="2"/>
  <c r="Y32" i="2"/>
  <c r="X32" i="2"/>
  <c r="W32" i="2"/>
  <c r="V32" i="2"/>
  <c r="U32" i="2"/>
  <c r="T32" i="2"/>
  <c r="S32" i="2"/>
  <c r="R32" i="2"/>
  <c r="Q32" i="2"/>
  <c r="P32" i="2"/>
  <c r="O32" i="2"/>
  <c r="Z31" i="2"/>
  <c r="Y31" i="2"/>
  <c r="X31" i="2"/>
  <c r="W31" i="2"/>
  <c r="V31" i="2"/>
  <c r="U31" i="2"/>
  <c r="T31" i="2"/>
  <c r="S31" i="2"/>
  <c r="R31" i="2"/>
  <c r="Q31" i="2"/>
  <c r="P31" i="2"/>
  <c r="O31" i="2"/>
  <c r="Z30" i="2"/>
  <c r="Y30" i="2"/>
  <c r="X30" i="2"/>
  <c r="W30" i="2"/>
  <c r="V30" i="2"/>
  <c r="U30" i="2"/>
  <c r="T30" i="2"/>
  <c r="S30" i="2"/>
  <c r="R30" i="2"/>
  <c r="Q30" i="2"/>
  <c r="P30" i="2"/>
  <c r="O30" i="2"/>
  <c r="Z29" i="2"/>
  <c r="Y29" i="2"/>
  <c r="X29" i="2"/>
  <c r="W29" i="2"/>
  <c r="V29" i="2"/>
  <c r="U29" i="2"/>
  <c r="T29" i="2"/>
  <c r="S29" i="2"/>
  <c r="R29" i="2"/>
  <c r="Q29" i="2"/>
  <c r="P29" i="2"/>
  <c r="O29" i="2"/>
  <c r="Z28" i="2"/>
  <c r="Y28" i="2"/>
  <c r="X28" i="2"/>
  <c r="W28" i="2"/>
  <c r="V28" i="2"/>
  <c r="U28" i="2"/>
  <c r="T28" i="2"/>
  <c r="S28" i="2"/>
  <c r="R28" i="2"/>
  <c r="Q28" i="2"/>
  <c r="P28" i="2"/>
  <c r="O28" i="2"/>
  <c r="Z27" i="2"/>
  <c r="Y27" i="2"/>
  <c r="X27" i="2"/>
  <c r="W27" i="2"/>
  <c r="V27" i="2"/>
  <c r="U27" i="2"/>
  <c r="T27" i="2"/>
  <c r="S27" i="2"/>
  <c r="R27" i="2"/>
  <c r="Q27" i="2"/>
  <c r="P27" i="2"/>
  <c r="O27" i="2"/>
  <c r="Z26" i="2"/>
  <c r="Y26" i="2"/>
  <c r="X26" i="2"/>
  <c r="W26" i="2"/>
  <c r="V26" i="2"/>
  <c r="U26" i="2"/>
  <c r="T26" i="2"/>
  <c r="S26" i="2"/>
  <c r="R26" i="2"/>
  <c r="Q26" i="2"/>
  <c r="P26" i="2"/>
  <c r="O26" i="2"/>
  <c r="Z25" i="2"/>
  <c r="Y25" i="2"/>
  <c r="X25" i="2"/>
  <c r="W25" i="2"/>
  <c r="V25" i="2"/>
  <c r="U25" i="2"/>
  <c r="T25" i="2"/>
  <c r="S25" i="2"/>
  <c r="R25" i="2"/>
  <c r="Q25" i="2"/>
  <c r="P25" i="2"/>
  <c r="O25" i="2"/>
  <c r="Z23" i="2"/>
  <c r="Y23" i="2"/>
  <c r="X23" i="2"/>
  <c r="W23" i="2"/>
  <c r="V23" i="2"/>
  <c r="U23" i="2"/>
  <c r="T23" i="2"/>
  <c r="S23" i="2"/>
  <c r="R23" i="2"/>
  <c r="Q23" i="2"/>
  <c r="P23" i="2"/>
  <c r="O23" i="2"/>
  <c r="Z22" i="2"/>
  <c r="Y22" i="2"/>
  <c r="X22" i="2"/>
  <c r="W22" i="2"/>
  <c r="V22" i="2"/>
  <c r="U22" i="2"/>
  <c r="T22" i="2"/>
  <c r="S22" i="2"/>
  <c r="R22" i="2"/>
  <c r="Q22" i="2"/>
  <c r="P22" i="2"/>
  <c r="O22" i="2"/>
  <c r="Z24" i="2"/>
  <c r="Y24" i="2"/>
  <c r="X24" i="2"/>
  <c r="W24" i="2"/>
  <c r="V24" i="2"/>
  <c r="U24" i="2"/>
  <c r="T24" i="2"/>
  <c r="S24" i="2"/>
  <c r="R24" i="2"/>
  <c r="Q24" i="2"/>
  <c r="P24" i="2"/>
  <c r="O24" i="2"/>
  <c r="Z21" i="2"/>
  <c r="Y21" i="2"/>
  <c r="X21" i="2"/>
  <c r="W21" i="2"/>
  <c r="V21" i="2"/>
  <c r="U21" i="2"/>
  <c r="T21" i="2"/>
  <c r="S21" i="2"/>
  <c r="R21" i="2"/>
  <c r="Q21" i="2"/>
  <c r="P21" i="2"/>
  <c r="O21" i="2"/>
  <c r="Z20" i="2"/>
  <c r="Y20" i="2"/>
  <c r="X20" i="2"/>
  <c r="W20" i="2"/>
  <c r="V20" i="2"/>
  <c r="U20" i="2"/>
  <c r="T20" i="2"/>
  <c r="S20" i="2"/>
  <c r="R20" i="2"/>
  <c r="Q20" i="2"/>
  <c r="P20" i="2"/>
  <c r="O20" i="2"/>
  <c r="Z19" i="2"/>
  <c r="Y19" i="2"/>
  <c r="X19" i="2"/>
  <c r="W19" i="2"/>
  <c r="V19" i="2"/>
  <c r="U19" i="2"/>
  <c r="T19" i="2"/>
  <c r="S19" i="2"/>
  <c r="R19" i="2"/>
  <c r="Q19" i="2"/>
  <c r="P19" i="2"/>
  <c r="O19" i="2"/>
  <c r="Z18" i="2"/>
  <c r="Y18" i="2"/>
  <c r="X18" i="2"/>
  <c r="W18" i="2"/>
  <c r="V18" i="2"/>
  <c r="U18" i="2"/>
  <c r="T18" i="2"/>
  <c r="S18" i="2"/>
  <c r="R18" i="2"/>
  <c r="Q18" i="2"/>
  <c r="P18" i="2"/>
  <c r="O18" i="2"/>
  <c r="Z17" i="2"/>
  <c r="Y17" i="2"/>
  <c r="X17" i="2"/>
  <c r="W17" i="2"/>
  <c r="V17" i="2"/>
  <c r="U17" i="2"/>
  <c r="T17" i="2"/>
  <c r="S17" i="2"/>
  <c r="R17" i="2"/>
  <c r="Q17" i="2"/>
  <c r="P17" i="2"/>
  <c r="O17" i="2"/>
  <c r="Z16" i="2"/>
  <c r="Y16" i="2"/>
  <c r="X16" i="2"/>
  <c r="W16" i="2"/>
  <c r="V16" i="2"/>
  <c r="U16" i="2"/>
  <c r="T16" i="2"/>
  <c r="S16" i="2"/>
  <c r="R16" i="2"/>
  <c r="Q16" i="2"/>
  <c r="P16" i="2"/>
  <c r="O16" i="2"/>
  <c r="Z15" i="2"/>
  <c r="Y15" i="2"/>
  <c r="X15" i="2"/>
  <c r="W15" i="2"/>
  <c r="V15" i="2"/>
  <c r="U15" i="2"/>
  <c r="T15" i="2"/>
  <c r="S15" i="2"/>
  <c r="R15" i="2"/>
  <c r="Q15" i="2"/>
  <c r="P15" i="2"/>
  <c r="O15" i="2"/>
  <c r="Z14" i="2"/>
  <c r="Y14" i="2"/>
  <c r="X14" i="2"/>
  <c r="W14" i="2"/>
  <c r="V14" i="2"/>
  <c r="U14" i="2"/>
  <c r="T14" i="2"/>
  <c r="S14" i="2"/>
  <c r="R14" i="2"/>
  <c r="Q14" i="2"/>
  <c r="P14" i="2"/>
  <c r="O14" i="2"/>
  <c r="Z13" i="2"/>
  <c r="Y13" i="2"/>
  <c r="X13" i="2"/>
  <c r="W13" i="2"/>
  <c r="V13" i="2"/>
  <c r="U13" i="2"/>
  <c r="T13" i="2"/>
  <c r="S13" i="2"/>
  <c r="R13" i="2"/>
  <c r="Q13" i="2"/>
  <c r="P13" i="2"/>
  <c r="O13" i="2"/>
  <c r="Z12" i="2"/>
  <c r="Y12" i="2"/>
  <c r="X12" i="2"/>
  <c r="W12" i="2"/>
  <c r="V12" i="2"/>
  <c r="U12" i="2"/>
  <c r="T12" i="2"/>
  <c r="S12" i="2"/>
  <c r="R12" i="2"/>
  <c r="Q12" i="2"/>
  <c r="P12" i="2"/>
  <c r="O12" i="2"/>
  <c r="Z11" i="2"/>
  <c r="Y11" i="2"/>
  <c r="X11" i="2"/>
  <c r="W11" i="2"/>
  <c r="V11" i="2"/>
  <c r="U11" i="2"/>
  <c r="T11" i="2"/>
  <c r="S11" i="2"/>
  <c r="R11" i="2"/>
  <c r="Q11" i="2"/>
  <c r="P11" i="2"/>
  <c r="O11" i="2"/>
  <c r="Z10" i="2"/>
  <c r="Y10" i="2"/>
  <c r="X10" i="2"/>
  <c r="W10" i="2"/>
  <c r="V10" i="2"/>
  <c r="U10" i="2"/>
  <c r="T10" i="2"/>
  <c r="S10" i="2"/>
  <c r="R10" i="2"/>
  <c r="Q10" i="2"/>
  <c r="P10" i="2"/>
  <c r="O10" i="2"/>
  <c r="Z9" i="2"/>
  <c r="Y9" i="2"/>
  <c r="X9" i="2"/>
  <c r="W9" i="2"/>
  <c r="V9" i="2"/>
  <c r="U9" i="2"/>
  <c r="T9" i="2"/>
  <c r="S9" i="2"/>
  <c r="R9" i="2"/>
  <c r="Q9" i="2"/>
  <c r="P9" i="2"/>
  <c r="O9" i="2"/>
  <c r="Z8" i="2"/>
  <c r="Y8" i="2"/>
  <c r="X8" i="2"/>
  <c r="W8" i="2"/>
  <c r="V8" i="2"/>
  <c r="U8" i="2"/>
  <c r="T8" i="2"/>
  <c r="S8" i="2"/>
  <c r="R8" i="2"/>
  <c r="Q8" i="2"/>
  <c r="P8" i="2"/>
  <c r="O8" i="2"/>
  <c r="Z7" i="2"/>
  <c r="Y7" i="2"/>
  <c r="X7" i="2"/>
  <c r="W7" i="2"/>
  <c r="V7" i="2"/>
  <c r="U7" i="2"/>
  <c r="T7" i="2"/>
  <c r="S7" i="2"/>
  <c r="R7" i="2"/>
  <c r="Q7" i="2"/>
  <c r="P7" i="2"/>
  <c r="O7" i="2"/>
  <c r="AL85" i="28"/>
  <c r="AK85" i="28"/>
  <c r="N85" i="28"/>
  <c r="M85" i="28"/>
  <c r="L85" i="28"/>
  <c r="K85" i="28"/>
  <c r="J85" i="28"/>
  <c r="I85" i="28"/>
  <c r="H85" i="28"/>
  <c r="G85" i="28"/>
  <c r="F85" i="28"/>
  <c r="E85" i="28"/>
  <c r="D85" i="28"/>
  <c r="C85" i="28"/>
  <c r="N84" i="28"/>
  <c r="M84" i="28"/>
  <c r="L84" i="28"/>
  <c r="K84" i="28"/>
  <c r="J84" i="28"/>
  <c r="I84" i="28"/>
  <c r="H84" i="28"/>
  <c r="G84" i="28"/>
  <c r="F84" i="28"/>
  <c r="E84" i="28"/>
  <c r="D84" i="28"/>
  <c r="C84" i="28"/>
  <c r="AL83" i="28"/>
  <c r="AK83" i="28"/>
  <c r="N83" i="28"/>
  <c r="M83" i="28"/>
  <c r="L83" i="28"/>
  <c r="K83" i="28"/>
  <c r="J83" i="28"/>
  <c r="I83" i="28"/>
  <c r="H83" i="28"/>
  <c r="G83" i="28"/>
  <c r="F83" i="28"/>
  <c r="E83" i="28"/>
  <c r="D83" i="28"/>
  <c r="C83" i="28"/>
  <c r="AL82" i="28"/>
  <c r="AK82" i="28"/>
  <c r="N82" i="28"/>
  <c r="M82" i="28"/>
  <c r="L82" i="28"/>
  <c r="K82" i="28"/>
  <c r="J82" i="28"/>
  <c r="I82" i="28"/>
  <c r="H82" i="28"/>
  <c r="G82" i="28"/>
  <c r="F82" i="28"/>
  <c r="E82" i="28"/>
  <c r="D82" i="28"/>
  <c r="C82" i="28"/>
  <c r="AL81" i="28"/>
  <c r="AK81" i="28"/>
  <c r="N81" i="28"/>
  <c r="M81" i="28"/>
  <c r="L81" i="28"/>
  <c r="K81" i="28"/>
  <c r="J81" i="28"/>
  <c r="I81" i="28"/>
  <c r="H81" i="28"/>
  <c r="G81" i="28"/>
  <c r="F81" i="28"/>
  <c r="E81" i="28"/>
  <c r="D81" i="28"/>
  <c r="C81" i="28"/>
  <c r="AL80" i="28"/>
  <c r="AK80" i="28"/>
  <c r="N80" i="28"/>
  <c r="M80" i="28"/>
  <c r="L80" i="28"/>
  <c r="K80" i="28"/>
  <c r="J80" i="28"/>
  <c r="I80" i="28"/>
  <c r="H80" i="28"/>
  <c r="G80" i="28"/>
  <c r="F80" i="28"/>
  <c r="E80" i="28"/>
  <c r="D80" i="28"/>
  <c r="C80" i="28"/>
  <c r="AL79" i="28"/>
  <c r="AK79" i="28"/>
  <c r="N79" i="28"/>
  <c r="M79" i="28"/>
  <c r="L79" i="28"/>
  <c r="K79" i="28"/>
  <c r="J79" i="28"/>
  <c r="I79" i="28"/>
  <c r="H79" i="28"/>
  <c r="G79" i="28"/>
  <c r="F79" i="28"/>
  <c r="E79" i="28"/>
  <c r="D79" i="28"/>
  <c r="C79" i="28"/>
  <c r="AL78" i="28"/>
  <c r="AK78" i="28"/>
  <c r="N78" i="28"/>
  <c r="M78" i="28"/>
  <c r="L78" i="28"/>
  <c r="K78" i="28"/>
  <c r="J78" i="28"/>
  <c r="I78" i="28"/>
  <c r="H78" i="28"/>
  <c r="G78" i="28"/>
  <c r="F78" i="28"/>
  <c r="E78" i="28"/>
  <c r="D78" i="28"/>
  <c r="C78" i="28"/>
  <c r="AL77" i="28"/>
  <c r="AK77" i="28"/>
  <c r="N77" i="28"/>
  <c r="M77" i="28"/>
  <c r="L77" i="28"/>
  <c r="K77" i="28"/>
  <c r="J77" i="28"/>
  <c r="I77" i="28"/>
  <c r="H77" i="28"/>
  <c r="G77" i="28"/>
  <c r="F77" i="28"/>
  <c r="E77" i="28"/>
  <c r="D77" i="28"/>
  <c r="C77" i="28"/>
  <c r="AL76" i="28"/>
  <c r="AK76" i="28"/>
  <c r="N76" i="28"/>
  <c r="M76" i="28"/>
  <c r="L76" i="28"/>
  <c r="K76" i="28"/>
  <c r="J76" i="28"/>
  <c r="I76" i="28"/>
  <c r="H76" i="28"/>
  <c r="G76" i="28"/>
  <c r="F76" i="28"/>
  <c r="E76" i="28"/>
  <c r="D76" i="28"/>
  <c r="C76" i="28"/>
  <c r="AL75" i="28"/>
  <c r="AK75" i="28"/>
  <c r="N75" i="28"/>
  <c r="M75" i="28"/>
  <c r="L75" i="28"/>
  <c r="K75" i="28"/>
  <c r="J75" i="28"/>
  <c r="I75" i="28"/>
  <c r="H75" i="28"/>
  <c r="G75" i="28"/>
  <c r="F75" i="28"/>
  <c r="E75" i="28"/>
  <c r="D75" i="28"/>
  <c r="C75" i="28"/>
  <c r="AL74" i="28"/>
  <c r="AK74" i="28"/>
  <c r="N74" i="28"/>
  <c r="M74" i="28"/>
  <c r="L74" i="28"/>
  <c r="K74" i="28"/>
  <c r="J74" i="28"/>
  <c r="I74" i="28"/>
  <c r="H74" i="28"/>
  <c r="G74" i="28"/>
  <c r="F74" i="28"/>
  <c r="E74" i="28"/>
  <c r="D74" i="28"/>
  <c r="C74" i="28"/>
  <c r="AL73" i="28"/>
  <c r="AK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K69" i="28"/>
  <c r="G69" i="28"/>
  <c r="C69" i="28"/>
  <c r="AL67" i="28"/>
  <c r="AK67" i="28"/>
  <c r="N67" i="28"/>
  <c r="M67" i="28"/>
  <c r="L67" i="28"/>
  <c r="K67" i="28"/>
  <c r="J67" i="28"/>
  <c r="I67" i="28"/>
  <c r="H67" i="28"/>
  <c r="G67" i="28"/>
  <c r="F67" i="28"/>
  <c r="E67" i="28"/>
  <c r="D67" i="28"/>
  <c r="C67" i="28"/>
  <c r="AL66" i="28"/>
  <c r="AK66" i="28"/>
  <c r="N66" i="28"/>
  <c r="M66" i="28"/>
  <c r="L66" i="28"/>
  <c r="K66" i="28"/>
  <c r="J66" i="28"/>
  <c r="I66" i="28"/>
  <c r="H66" i="28"/>
  <c r="G66" i="28"/>
  <c r="F66" i="28"/>
  <c r="E66" i="28"/>
  <c r="D66" i="28"/>
  <c r="C66" i="28"/>
  <c r="AL65" i="28"/>
  <c r="AK65" i="28"/>
  <c r="N65" i="28"/>
  <c r="M65" i="28"/>
  <c r="L65" i="28"/>
  <c r="K65" i="28"/>
  <c r="J65" i="28"/>
  <c r="I65" i="28"/>
  <c r="H65" i="28"/>
  <c r="G65" i="28"/>
  <c r="F65" i="28"/>
  <c r="E65" i="28"/>
  <c r="D65" i="28"/>
  <c r="C65" i="28"/>
  <c r="AL64" i="28"/>
  <c r="AK64" i="28"/>
  <c r="N64" i="28"/>
  <c r="M64" i="28"/>
  <c r="L64" i="28"/>
  <c r="K64" i="28"/>
  <c r="J64" i="28"/>
  <c r="I64" i="28"/>
  <c r="H64" i="28"/>
  <c r="G64" i="28"/>
  <c r="F64" i="28"/>
  <c r="E64" i="28"/>
  <c r="D64" i="28"/>
  <c r="C64" i="28"/>
  <c r="AL63" i="28"/>
  <c r="AK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AL62" i="28"/>
  <c r="AK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AL61" i="28"/>
  <c r="AK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AL60" i="28"/>
  <c r="AK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AL92" i="28"/>
  <c r="AK92" i="28"/>
  <c r="N92" i="28"/>
  <c r="M92" i="28"/>
  <c r="L92" i="28"/>
  <c r="K92" i="28"/>
  <c r="J92" i="28"/>
  <c r="I92" i="28"/>
  <c r="H92" i="28"/>
  <c r="G92" i="28"/>
  <c r="F92" i="28"/>
  <c r="E92" i="28"/>
  <c r="D92" i="28"/>
  <c r="C92" i="28"/>
  <c r="AL91" i="28"/>
  <c r="AK91" i="28"/>
  <c r="N91" i="28"/>
  <c r="M91" i="28"/>
  <c r="L91" i="28"/>
  <c r="K91" i="28"/>
  <c r="J91" i="28"/>
  <c r="I91" i="28"/>
  <c r="H91" i="28"/>
  <c r="G91" i="28"/>
  <c r="F91" i="28"/>
  <c r="E91" i="28"/>
  <c r="D91" i="28"/>
  <c r="C91" i="28"/>
  <c r="AL90" i="28"/>
  <c r="AK90" i="28"/>
  <c r="N90" i="28"/>
  <c r="M90" i="28"/>
  <c r="L90" i="28"/>
  <c r="K90" i="28"/>
  <c r="J90" i="28"/>
  <c r="I90" i="28"/>
  <c r="H90" i="28"/>
  <c r="G90" i="28"/>
  <c r="F90" i="28"/>
  <c r="E90" i="28"/>
  <c r="D90" i="28"/>
  <c r="C90" i="28"/>
  <c r="AL89" i="28"/>
  <c r="AK89" i="28"/>
  <c r="N89" i="28"/>
  <c r="M89" i="28"/>
  <c r="L89" i="28"/>
  <c r="K89" i="28"/>
  <c r="J89" i="28"/>
  <c r="I89" i="28"/>
  <c r="H89" i="28"/>
  <c r="G89" i="28"/>
  <c r="F89" i="28"/>
  <c r="E89" i="28"/>
  <c r="D89" i="28"/>
  <c r="C89" i="28"/>
  <c r="AL88" i="28"/>
  <c r="AK88" i="28"/>
  <c r="N88" i="28"/>
  <c r="M88" i="28"/>
  <c r="L88" i="28"/>
  <c r="K88" i="28"/>
  <c r="J88" i="28"/>
  <c r="I88" i="28"/>
  <c r="H88" i="28"/>
  <c r="G88" i="28"/>
  <c r="F88" i="28"/>
  <c r="E88" i="28"/>
  <c r="D88" i="28"/>
  <c r="C88" i="28"/>
  <c r="AL87" i="28"/>
  <c r="AK87" i="28"/>
  <c r="N87" i="28"/>
  <c r="M87" i="28"/>
  <c r="L87" i="28"/>
  <c r="K87" i="28"/>
  <c r="J87" i="28"/>
  <c r="I87" i="28"/>
  <c r="H87" i="28"/>
  <c r="G87" i="28"/>
  <c r="F87" i="28"/>
  <c r="E87" i="28"/>
  <c r="D87" i="28"/>
  <c r="C87" i="28"/>
  <c r="AL86" i="28"/>
  <c r="AK86" i="28"/>
  <c r="N86" i="28"/>
  <c r="M86" i="28"/>
  <c r="L86" i="28"/>
  <c r="K86" i="28"/>
  <c r="J86" i="28"/>
  <c r="I86" i="28"/>
  <c r="H86" i="28"/>
  <c r="G86" i="28"/>
  <c r="F86" i="28"/>
  <c r="E86" i="28"/>
  <c r="D86" i="28"/>
  <c r="C86" i="28"/>
  <c r="AL59" i="28"/>
  <c r="AK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AL58" i="28"/>
  <c r="AK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AL57" i="28"/>
  <c r="AK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AL56" i="28"/>
  <c r="AK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AL55" i="28"/>
  <c r="AK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AL54" i="28"/>
  <c r="AK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AL53" i="28"/>
  <c r="AK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AL52" i="28"/>
  <c r="AK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AL51" i="28"/>
  <c r="AK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AL50" i="28"/>
  <c r="AK50" i="28"/>
  <c r="N50" i="28"/>
  <c r="M50" i="28"/>
  <c r="L50" i="28"/>
  <c r="K50" i="28"/>
  <c r="J50" i="28"/>
  <c r="I50" i="28"/>
  <c r="H50" i="28"/>
  <c r="G50" i="28"/>
  <c r="F50" i="28"/>
  <c r="E50" i="28"/>
  <c r="D50" i="28"/>
  <c r="C50" i="28"/>
  <c r="AL49" i="28"/>
  <c r="AK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AL48" i="28"/>
  <c r="AK48" i="28"/>
  <c r="N48" i="28"/>
  <c r="M48" i="28"/>
  <c r="L48" i="28"/>
  <c r="K48" i="28"/>
  <c r="J48" i="28"/>
  <c r="I48" i="28"/>
  <c r="H48" i="28"/>
  <c r="G48" i="28"/>
  <c r="F48" i="28"/>
  <c r="E48" i="28"/>
  <c r="D48" i="28"/>
  <c r="C48" i="28"/>
  <c r="AL47" i="28"/>
  <c r="AK47" i="28"/>
  <c r="N47" i="28"/>
  <c r="M47" i="28"/>
  <c r="L47" i="28"/>
  <c r="K47" i="28"/>
  <c r="J47" i="28"/>
  <c r="I47" i="28"/>
  <c r="H47" i="28"/>
  <c r="G47" i="28"/>
  <c r="F47" i="28"/>
  <c r="E47" i="28"/>
  <c r="D47" i="28"/>
  <c r="C47" i="28"/>
  <c r="AL46" i="28"/>
  <c r="AK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AL45" i="28"/>
  <c r="AK45" i="28"/>
  <c r="N45" i="28"/>
  <c r="M45" i="28"/>
  <c r="L45" i="28"/>
  <c r="K45" i="28"/>
  <c r="J45" i="28"/>
  <c r="I45" i="28"/>
  <c r="H45" i="28"/>
  <c r="G45" i="28"/>
  <c r="F45" i="28"/>
  <c r="E45" i="28"/>
  <c r="D45" i="28"/>
  <c r="C45" i="28"/>
  <c r="AL44" i="28"/>
  <c r="AK44" i="28"/>
  <c r="N44" i="28"/>
  <c r="M44" i="28"/>
  <c r="L44" i="28"/>
  <c r="K44" i="28"/>
  <c r="J44" i="28"/>
  <c r="I44" i="28"/>
  <c r="H44" i="28"/>
  <c r="G44" i="28"/>
  <c r="F44" i="28"/>
  <c r="E44" i="28"/>
  <c r="D44" i="28"/>
  <c r="C44" i="28"/>
  <c r="AL43" i="28"/>
  <c r="AK43" i="28"/>
  <c r="N43" i="28"/>
  <c r="M43" i="28"/>
  <c r="L43" i="28"/>
  <c r="K43" i="28"/>
  <c r="J43" i="28"/>
  <c r="I43" i="28"/>
  <c r="H43" i="28"/>
  <c r="G43" i="28"/>
  <c r="F43" i="28"/>
  <c r="E43" i="28"/>
  <c r="D43" i="28"/>
  <c r="C43" i="28"/>
  <c r="AL42" i="28"/>
  <c r="AK42" i="28"/>
  <c r="N42" i="28"/>
  <c r="M42" i="28"/>
  <c r="L42" i="28"/>
  <c r="K42" i="28"/>
  <c r="J42" i="28"/>
  <c r="I42" i="28"/>
  <c r="H42" i="28"/>
  <c r="G42" i="28"/>
  <c r="F42" i="28"/>
  <c r="E42" i="28"/>
  <c r="D42" i="28"/>
  <c r="C42" i="28"/>
  <c r="AL41" i="28"/>
  <c r="AK41" i="28"/>
  <c r="N41" i="28"/>
  <c r="M41" i="28"/>
  <c r="L41" i="28"/>
  <c r="K41" i="28"/>
  <c r="J41" i="28"/>
  <c r="I41" i="28"/>
  <c r="H41" i="28"/>
  <c r="G41" i="28"/>
  <c r="F41" i="28"/>
  <c r="E41" i="28"/>
  <c r="D41" i="28"/>
  <c r="C41" i="28"/>
  <c r="AL40" i="28"/>
  <c r="AK40" i="28"/>
  <c r="N40" i="28"/>
  <c r="M40" i="28"/>
  <c r="L40" i="28"/>
  <c r="K40" i="28"/>
  <c r="J40" i="28"/>
  <c r="I40" i="28"/>
  <c r="H40" i="28"/>
  <c r="G40" i="28"/>
  <c r="F40" i="28"/>
  <c r="E40" i="28"/>
  <c r="D40" i="28"/>
  <c r="C40" i="28"/>
  <c r="AL39" i="28"/>
  <c r="AK39" i="28"/>
  <c r="N39" i="28"/>
  <c r="M39" i="28"/>
  <c r="L39" i="28"/>
  <c r="K39" i="28"/>
  <c r="J39" i="28"/>
  <c r="I39" i="28"/>
  <c r="H39" i="28"/>
  <c r="G39" i="28"/>
  <c r="F39" i="28"/>
  <c r="E39" i="28"/>
  <c r="D39" i="28"/>
  <c r="C39" i="28"/>
  <c r="AL38" i="28"/>
  <c r="AK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AL37" i="28"/>
  <c r="AK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AL36" i="28"/>
  <c r="AK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AL35" i="28"/>
  <c r="AK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AL34" i="28"/>
  <c r="AK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AL33" i="28"/>
  <c r="AK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AL32" i="28"/>
  <c r="AK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AL31" i="28"/>
  <c r="AK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AL30" i="28"/>
  <c r="AK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AL29" i="28"/>
  <c r="AK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AL28" i="28"/>
  <c r="AK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AL27" i="28"/>
  <c r="AK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AL26" i="28"/>
  <c r="AK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AL25" i="28"/>
  <c r="AK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AL24" i="28"/>
  <c r="AK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AL23" i="28"/>
  <c r="AK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AL22" i="28"/>
  <c r="AK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AL21" i="28"/>
  <c r="AK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AL20" i="28"/>
  <c r="AK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AL19" i="28"/>
  <c r="AK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AL18" i="28"/>
  <c r="AK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AL17" i="28"/>
  <c r="AK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AL16" i="28"/>
  <c r="AK16" i="28"/>
  <c r="N16" i="28"/>
  <c r="M16" i="28"/>
  <c r="L16" i="28"/>
  <c r="K16" i="28"/>
  <c r="J16" i="28"/>
  <c r="I16" i="28"/>
  <c r="H16" i="28"/>
  <c r="G16" i="28"/>
  <c r="F16" i="28"/>
  <c r="E16" i="28"/>
  <c r="D16" i="28"/>
  <c r="C16" i="28"/>
  <c r="AL15" i="28"/>
  <c r="AK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AL14" i="28"/>
  <c r="AK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AL13" i="28"/>
  <c r="AK13" i="28"/>
  <c r="N13" i="28"/>
  <c r="M13" i="28"/>
  <c r="L13" i="28"/>
  <c r="K13" i="28"/>
  <c r="J13" i="28"/>
  <c r="I13" i="28"/>
  <c r="H13" i="28"/>
  <c r="G13" i="28"/>
  <c r="F13" i="28"/>
  <c r="E13" i="28"/>
  <c r="D13" i="28"/>
  <c r="C13" i="28"/>
  <c r="AL12" i="28"/>
  <c r="AK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AL11" i="28"/>
  <c r="AK11" i="28"/>
  <c r="N11" i="28"/>
  <c r="M11" i="28"/>
  <c r="L11" i="28"/>
  <c r="K11" i="28"/>
  <c r="J11" i="28"/>
  <c r="I11" i="28"/>
  <c r="H11" i="28"/>
  <c r="G11" i="28"/>
  <c r="F11" i="28"/>
  <c r="E11" i="28"/>
  <c r="D11" i="28"/>
  <c r="C11" i="28"/>
  <c r="AL10" i="28"/>
  <c r="AK10" i="28"/>
  <c r="N10" i="28"/>
  <c r="M10" i="28"/>
  <c r="L10" i="28"/>
  <c r="K10" i="28"/>
  <c r="J10" i="28"/>
  <c r="I10" i="28"/>
  <c r="H10" i="28"/>
  <c r="G10" i="28"/>
  <c r="F10" i="28"/>
  <c r="E10" i="28"/>
  <c r="D10" i="28"/>
  <c r="C10" i="28"/>
  <c r="AL9" i="28"/>
  <c r="AK9" i="28"/>
  <c r="N9" i="28"/>
  <c r="M9" i="28"/>
  <c r="L9" i="28"/>
  <c r="K9" i="28"/>
  <c r="J9" i="28"/>
  <c r="I9" i="28"/>
  <c r="H9" i="28"/>
  <c r="G9" i="28"/>
  <c r="F9" i="28"/>
  <c r="E9" i="28"/>
  <c r="D9" i="28"/>
  <c r="C9" i="28"/>
  <c r="AL8" i="28"/>
  <c r="AK8" i="28"/>
  <c r="N8" i="28"/>
  <c r="M8" i="28"/>
  <c r="L8" i="28"/>
  <c r="K8" i="28"/>
  <c r="J8" i="28"/>
  <c r="I8" i="28"/>
  <c r="H8" i="28"/>
  <c r="G8" i="28"/>
  <c r="F8" i="28"/>
  <c r="E8" i="28"/>
  <c r="D8" i="28"/>
  <c r="C8" i="28"/>
  <c r="AL7" i="28"/>
  <c r="AK7" i="28"/>
  <c r="N7" i="28"/>
  <c r="M7" i="28"/>
  <c r="L7" i="28"/>
  <c r="K7" i="28"/>
  <c r="J7" i="28"/>
  <c r="I7" i="28"/>
  <c r="H7" i="28"/>
  <c r="G7" i="28"/>
  <c r="F7" i="28"/>
  <c r="E7" i="28"/>
  <c r="D7" i="28"/>
  <c r="C7" i="28"/>
  <c r="C18" i="2"/>
  <c r="G18" i="2"/>
  <c r="D18" i="2"/>
  <c r="H18" i="2"/>
  <c r="K18" i="2"/>
  <c r="L18" i="2"/>
  <c r="L7" i="2"/>
  <c r="K7" i="2"/>
  <c r="H7" i="2"/>
  <c r="G7" i="2"/>
  <c r="D7" i="2"/>
  <c r="C7" i="2"/>
  <c r="L6" i="29" s="1"/>
  <c r="C85" i="2"/>
  <c r="AI68" i="27"/>
  <c r="AI67" i="27"/>
  <c r="AI66" i="27"/>
  <c r="AE68" i="27"/>
  <c r="AE67" i="27"/>
  <c r="AE66" i="27"/>
  <c r="AA68" i="27"/>
  <c r="AA67" i="27"/>
  <c r="AA66" i="27"/>
  <c r="W68" i="27"/>
  <c r="W67" i="27"/>
  <c r="W66" i="27"/>
  <c r="S68" i="27"/>
  <c r="S67" i="27"/>
  <c r="S66" i="27"/>
  <c r="O68" i="27"/>
  <c r="O67" i="27"/>
  <c r="O66" i="27"/>
  <c r="K68" i="27"/>
  <c r="K67" i="27"/>
  <c r="K66" i="27"/>
  <c r="G68" i="27"/>
  <c r="G67" i="27"/>
  <c r="G66" i="27"/>
  <c r="C68" i="27"/>
  <c r="C67" i="27"/>
  <c r="C66" i="27"/>
  <c r="AI41" i="27"/>
  <c r="AE41" i="27"/>
  <c r="AA41" i="27"/>
  <c r="W41" i="27"/>
  <c r="S41" i="27"/>
  <c r="O41" i="27"/>
  <c r="K41" i="27"/>
  <c r="H41" i="27"/>
  <c r="G41" i="27"/>
  <c r="C41" i="27"/>
  <c r="AJ92" i="27"/>
  <c r="AI92" i="27"/>
  <c r="AH92" i="27"/>
  <c r="AG92" i="27"/>
  <c r="AF92" i="27"/>
  <c r="AE92" i="27"/>
  <c r="AD92" i="27"/>
  <c r="AC92" i="27"/>
  <c r="AB92" i="27"/>
  <c r="AA92" i="27"/>
  <c r="X92" i="27"/>
  <c r="W92" i="27"/>
  <c r="V92" i="27"/>
  <c r="U92" i="27"/>
  <c r="T92" i="27"/>
  <c r="S92" i="27"/>
  <c r="R92" i="27"/>
  <c r="Q92" i="27"/>
  <c r="P92" i="27"/>
  <c r="O92" i="27"/>
  <c r="L92" i="27"/>
  <c r="K92" i="27"/>
  <c r="J92" i="27"/>
  <c r="I92" i="27"/>
  <c r="H92" i="27"/>
  <c r="G92" i="27"/>
  <c r="F92" i="27"/>
  <c r="E92" i="27"/>
  <c r="D92" i="27"/>
  <c r="C92" i="27"/>
  <c r="AJ91" i="27"/>
  <c r="AI91" i="27"/>
  <c r="AH91" i="27"/>
  <c r="AG91" i="27"/>
  <c r="AF91" i="27"/>
  <c r="AE91" i="27"/>
  <c r="AD91" i="27"/>
  <c r="AC91" i="27"/>
  <c r="AB91" i="27"/>
  <c r="AA91" i="27"/>
  <c r="X91" i="27"/>
  <c r="W91" i="27"/>
  <c r="V91" i="27"/>
  <c r="U91" i="27"/>
  <c r="T91" i="27"/>
  <c r="S91" i="27"/>
  <c r="R91" i="27"/>
  <c r="Q91" i="27"/>
  <c r="P91" i="27"/>
  <c r="O91" i="27"/>
  <c r="L91" i="27"/>
  <c r="K91" i="27"/>
  <c r="J91" i="27"/>
  <c r="I91" i="27"/>
  <c r="H91" i="27"/>
  <c r="G91" i="27"/>
  <c r="F91" i="27"/>
  <c r="E91" i="27"/>
  <c r="D91" i="27"/>
  <c r="C91" i="27"/>
  <c r="AJ90" i="27"/>
  <c r="AI90" i="27"/>
  <c r="AH90" i="27"/>
  <c r="AG90" i="27"/>
  <c r="AF90" i="27"/>
  <c r="AE90" i="27"/>
  <c r="AD90" i="27"/>
  <c r="AC90" i="27"/>
  <c r="AB90" i="27"/>
  <c r="AA90" i="27"/>
  <c r="X90" i="27"/>
  <c r="W90" i="27"/>
  <c r="V90" i="27"/>
  <c r="U90" i="27"/>
  <c r="T90" i="27"/>
  <c r="S90" i="27"/>
  <c r="R90" i="27"/>
  <c r="Q90" i="27"/>
  <c r="P90" i="27"/>
  <c r="O90" i="27"/>
  <c r="L90" i="27"/>
  <c r="K90" i="27"/>
  <c r="J90" i="27"/>
  <c r="I90" i="27"/>
  <c r="H90" i="27"/>
  <c r="G90" i="27"/>
  <c r="F90" i="27"/>
  <c r="E90" i="27"/>
  <c r="D90" i="27"/>
  <c r="C90" i="27"/>
  <c r="AJ89" i="27"/>
  <c r="AI89" i="27"/>
  <c r="AH89" i="27"/>
  <c r="AG89" i="27"/>
  <c r="AF89" i="27"/>
  <c r="AE89" i="27"/>
  <c r="AD89" i="27"/>
  <c r="AC89" i="27"/>
  <c r="AB89" i="27"/>
  <c r="AA89" i="27"/>
  <c r="X89" i="27"/>
  <c r="W89" i="27"/>
  <c r="V89" i="27"/>
  <c r="U89" i="27"/>
  <c r="T89" i="27"/>
  <c r="S89" i="27"/>
  <c r="R89" i="27"/>
  <c r="Q89" i="27"/>
  <c r="P89" i="27"/>
  <c r="O89" i="27"/>
  <c r="L89" i="27"/>
  <c r="K89" i="27"/>
  <c r="J89" i="27"/>
  <c r="I89" i="27"/>
  <c r="H89" i="27"/>
  <c r="G89" i="27"/>
  <c r="F89" i="27"/>
  <c r="E89" i="27"/>
  <c r="D89" i="27"/>
  <c r="C89" i="27"/>
  <c r="AJ88" i="27"/>
  <c r="AI88" i="27"/>
  <c r="AH88" i="27"/>
  <c r="AG88" i="27"/>
  <c r="AF88" i="27"/>
  <c r="AE88" i="27"/>
  <c r="AD88" i="27"/>
  <c r="AC88" i="27"/>
  <c r="AB88" i="27"/>
  <c r="AA88" i="27"/>
  <c r="X88" i="27"/>
  <c r="W88" i="27"/>
  <c r="V88" i="27"/>
  <c r="U88" i="27"/>
  <c r="T88" i="27"/>
  <c r="S88" i="27"/>
  <c r="R88" i="27"/>
  <c r="Q88" i="27"/>
  <c r="P88" i="27"/>
  <c r="O88" i="27"/>
  <c r="L88" i="27"/>
  <c r="K88" i="27"/>
  <c r="J88" i="27"/>
  <c r="I88" i="27"/>
  <c r="H88" i="27"/>
  <c r="G88" i="27"/>
  <c r="F88" i="27"/>
  <c r="E88" i="27"/>
  <c r="D88" i="27"/>
  <c r="C88" i="27"/>
  <c r="AJ87" i="27"/>
  <c r="AI87" i="27"/>
  <c r="AH87" i="27"/>
  <c r="AG87" i="27"/>
  <c r="AF87" i="27"/>
  <c r="AE87" i="27"/>
  <c r="AD87" i="27"/>
  <c r="AC87" i="27"/>
  <c r="AB87" i="27"/>
  <c r="AA87" i="27"/>
  <c r="X87" i="27"/>
  <c r="W87" i="27"/>
  <c r="V87" i="27"/>
  <c r="U87" i="27"/>
  <c r="T87" i="27"/>
  <c r="S87" i="27"/>
  <c r="R87" i="27"/>
  <c r="Q87" i="27"/>
  <c r="P87" i="27"/>
  <c r="O87" i="27"/>
  <c r="L87" i="27"/>
  <c r="K87" i="27"/>
  <c r="J87" i="27"/>
  <c r="I87" i="27"/>
  <c r="H87" i="27"/>
  <c r="G87" i="27"/>
  <c r="F87" i="27"/>
  <c r="E87" i="27"/>
  <c r="D87" i="27"/>
  <c r="C87" i="27"/>
  <c r="AJ86" i="27"/>
  <c r="AI86" i="27"/>
  <c r="AH86" i="27"/>
  <c r="AG86" i="27"/>
  <c r="AF86" i="27"/>
  <c r="AE86" i="27"/>
  <c r="AD86" i="27"/>
  <c r="AC86" i="27"/>
  <c r="AB86" i="27"/>
  <c r="AA86" i="27"/>
  <c r="X86" i="27"/>
  <c r="W86" i="27"/>
  <c r="V86" i="27"/>
  <c r="U86" i="27"/>
  <c r="T86" i="27"/>
  <c r="S86" i="27"/>
  <c r="R86" i="27"/>
  <c r="Q86" i="27"/>
  <c r="P86" i="27"/>
  <c r="O86" i="27"/>
  <c r="L86" i="27"/>
  <c r="K86" i="27"/>
  <c r="J86" i="27"/>
  <c r="I86" i="27"/>
  <c r="H86" i="27"/>
  <c r="G86" i="27"/>
  <c r="F86" i="27"/>
  <c r="E86" i="27"/>
  <c r="D86" i="27"/>
  <c r="C86" i="27"/>
  <c r="AJ85" i="27"/>
  <c r="AI85" i="27"/>
  <c r="AH85" i="27"/>
  <c r="AG85" i="27"/>
  <c r="AF85" i="27"/>
  <c r="AE85" i="27"/>
  <c r="AD85" i="27"/>
  <c r="AC85" i="27"/>
  <c r="AB85" i="27"/>
  <c r="AA85" i="27"/>
  <c r="X85" i="27"/>
  <c r="W85" i="27"/>
  <c r="V85" i="27"/>
  <c r="U85" i="27"/>
  <c r="T85" i="27"/>
  <c r="S85" i="27"/>
  <c r="R85" i="27"/>
  <c r="Q85" i="27"/>
  <c r="P85" i="27"/>
  <c r="O85" i="27"/>
  <c r="L85" i="27"/>
  <c r="K85" i="27"/>
  <c r="J85" i="27"/>
  <c r="I85" i="27"/>
  <c r="H85" i="27"/>
  <c r="G85" i="27"/>
  <c r="F85" i="27"/>
  <c r="E85" i="27"/>
  <c r="D85" i="27"/>
  <c r="C85" i="27"/>
  <c r="AI81" i="27"/>
  <c r="AE81" i="27"/>
  <c r="AA81" i="27"/>
  <c r="W81" i="27"/>
  <c r="S81" i="27"/>
  <c r="O81" i="27"/>
  <c r="K81" i="27"/>
  <c r="G81" i="27"/>
  <c r="C81" i="27"/>
  <c r="AJ79" i="27"/>
  <c r="AI79" i="27"/>
  <c r="AH79" i="27"/>
  <c r="AG79" i="27"/>
  <c r="AF79" i="27"/>
  <c r="AE79" i="27"/>
  <c r="AD79" i="27"/>
  <c r="AC79" i="27"/>
  <c r="AB79" i="27"/>
  <c r="AA79" i="27"/>
  <c r="X79" i="27"/>
  <c r="W79" i="27"/>
  <c r="V79" i="27"/>
  <c r="U79" i="27"/>
  <c r="T79" i="27"/>
  <c r="S79" i="27"/>
  <c r="R79" i="27"/>
  <c r="Q79" i="27"/>
  <c r="P79" i="27"/>
  <c r="O79" i="27"/>
  <c r="L79" i="27"/>
  <c r="K79" i="27"/>
  <c r="J79" i="27"/>
  <c r="I79" i="27"/>
  <c r="H79" i="27"/>
  <c r="G79" i="27"/>
  <c r="F79" i="27"/>
  <c r="E79" i="27"/>
  <c r="D79" i="27"/>
  <c r="C79" i="27"/>
  <c r="AJ78" i="27"/>
  <c r="AI78" i="27"/>
  <c r="AH78" i="27"/>
  <c r="AG78" i="27"/>
  <c r="AF78" i="27"/>
  <c r="AE78" i="27"/>
  <c r="AD78" i="27"/>
  <c r="AC78" i="27"/>
  <c r="AB78" i="27"/>
  <c r="AA78" i="27"/>
  <c r="X78" i="27"/>
  <c r="W78" i="27"/>
  <c r="V78" i="27"/>
  <c r="U78" i="27"/>
  <c r="T78" i="27"/>
  <c r="S78" i="27"/>
  <c r="R78" i="27"/>
  <c r="Q78" i="27"/>
  <c r="P78" i="27"/>
  <c r="O78" i="27"/>
  <c r="L78" i="27"/>
  <c r="K78" i="27"/>
  <c r="J78" i="27"/>
  <c r="I78" i="27"/>
  <c r="H78" i="27"/>
  <c r="G78" i="27"/>
  <c r="F78" i="27"/>
  <c r="E78" i="27"/>
  <c r="D78" i="27"/>
  <c r="C78" i="27"/>
  <c r="AJ77" i="27"/>
  <c r="AI77" i="27"/>
  <c r="AH77" i="27"/>
  <c r="AG77" i="27"/>
  <c r="AF77" i="27"/>
  <c r="AE77" i="27"/>
  <c r="AD77" i="27"/>
  <c r="AC77" i="27"/>
  <c r="AB77" i="27"/>
  <c r="AA77" i="27"/>
  <c r="X77" i="27"/>
  <c r="W77" i="27"/>
  <c r="V77" i="27"/>
  <c r="U77" i="27"/>
  <c r="T77" i="27"/>
  <c r="S77" i="27"/>
  <c r="R77" i="27"/>
  <c r="Q77" i="27"/>
  <c r="P77" i="27"/>
  <c r="O77" i="27"/>
  <c r="L77" i="27"/>
  <c r="K77" i="27"/>
  <c r="J77" i="27"/>
  <c r="I77" i="27"/>
  <c r="H77" i="27"/>
  <c r="G77" i="27"/>
  <c r="F77" i="27"/>
  <c r="E77" i="27"/>
  <c r="D77" i="27"/>
  <c r="C77" i="27"/>
  <c r="AJ76" i="27"/>
  <c r="AI76" i="27"/>
  <c r="AH76" i="27"/>
  <c r="AG76" i="27"/>
  <c r="AF76" i="27"/>
  <c r="AE76" i="27"/>
  <c r="AD76" i="27"/>
  <c r="AC76" i="27"/>
  <c r="AB76" i="27"/>
  <c r="AA76" i="27"/>
  <c r="X76" i="27"/>
  <c r="W76" i="27"/>
  <c r="V76" i="27"/>
  <c r="U76" i="27"/>
  <c r="T76" i="27"/>
  <c r="S76" i="27"/>
  <c r="R76" i="27"/>
  <c r="Q76" i="27"/>
  <c r="P76" i="27"/>
  <c r="O76" i="27"/>
  <c r="L76" i="27"/>
  <c r="K76" i="27"/>
  <c r="J76" i="27"/>
  <c r="I76" i="27"/>
  <c r="H76" i="27"/>
  <c r="G76" i="27"/>
  <c r="F76" i="27"/>
  <c r="E76" i="27"/>
  <c r="D76" i="27"/>
  <c r="C76" i="27"/>
  <c r="AJ75" i="27"/>
  <c r="AI75" i="27"/>
  <c r="AH75" i="27"/>
  <c r="AG75" i="27"/>
  <c r="AF75" i="27"/>
  <c r="AE75" i="27"/>
  <c r="AD75" i="27"/>
  <c r="AC75" i="27"/>
  <c r="AB75" i="27"/>
  <c r="AA75" i="27"/>
  <c r="X75" i="27"/>
  <c r="W75" i="27"/>
  <c r="V75" i="27"/>
  <c r="U75" i="27"/>
  <c r="T75" i="27"/>
  <c r="S75" i="27"/>
  <c r="R75" i="27"/>
  <c r="Q75" i="27"/>
  <c r="P75" i="27"/>
  <c r="O75" i="27"/>
  <c r="L75" i="27"/>
  <c r="K75" i="27"/>
  <c r="J75" i="27"/>
  <c r="I75" i="27"/>
  <c r="H75" i="27"/>
  <c r="G75" i="27"/>
  <c r="F75" i="27"/>
  <c r="E75" i="27"/>
  <c r="D75" i="27"/>
  <c r="C75" i="27"/>
  <c r="AJ74" i="27"/>
  <c r="AI74" i="27"/>
  <c r="AH74" i="27"/>
  <c r="AG74" i="27"/>
  <c r="AF74" i="27"/>
  <c r="AE74" i="27"/>
  <c r="AD74" i="27"/>
  <c r="AC74" i="27"/>
  <c r="AB74" i="27"/>
  <c r="AA74" i="27"/>
  <c r="X74" i="27"/>
  <c r="W74" i="27"/>
  <c r="V74" i="27"/>
  <c r="U74" i="27"/>
  <c r="T74" i="27"/>
  <c r="S74" i="27"/>
  <c r="R74" i="27"/>
  <c r="Q74" i="27"/>
  <c r="P74" i="27"/>
  <c r="O74" i="27"/>
  <c r="L74" i="27"/>
  <c r="K74" i="27"/>
  <c r="J74" i="27"/>
  <c r="I74" i="27"/>
  <c r="H74" i="27"/>
  <c r="G74" i="27"/>
  <c r="F74" i="27"/>
  <c r="E74" i="27"/>
  <c r="D74" i="27"/>
  <c r="C74" i="27"/>
  <c r="AJ73" i="27"/>
  <c r="AI73" i="27"/>
  <c r="AH73" i="27"/>
  <c r="AG73" i="27"/>
  <c r="AF73" i="27"/>
  <c r="AE73" i="27"/>
  <c r="AD73" i="27"/>
  <c r="AC73" i="27"/>
  <c r="AB73" i="27"/>
  <c r="AA73" i="27"/>
  <c r="X73" i="27"/>
  <c r="W73" i="27"/>
  <c r="V73" i="27"/>
  <c r="U73" i="27"/>
  <c r="T73" i="27"/>
  <c r="S73" i="27"/>
  <c r="R73" i="27"/>
  <c r="Q73" i="27"/>
  <c r="P73" i="27"/>
  <c r="O73" i="27"/>
  <c r="L73" i="27"/>
  <c r="K73" i="27"/>
  <c r="J73" i="27"/>
  <c r="I73" i="27"/>
  <c r="H73" i="27"/>
  <c r="G73" i="27"/>
  <c r="F73" i="27"/>
  <c r="E73" i="27"/>
  <c r="D73" i="27"/>
  <c r="C73" i="27"/>
  <c r="AJ72" i="27"/>
  <c r="AI72" i="27"/>
  <c r="AH72" i="27"/>
  <c r="AG72" i="27"/>
  <c r="AF72" i="27"/>
  <c r="AE72" i="27"/>
  <c r="AD72" i="27"/>
  <c r="AC72" i="27"/>
  <c r="AB72" i="27"/>
  <c r="AA72" i="27"/>
  <c r="X72" i="27"/>
  <c r="W72" i="27"/>
  <c r="V72" i="27"/>
  <c r="U72" i="27"/>
  <c r="T72" i="27"/>
  <c r="S72" i="27"/>
  <c r="R72" i="27"/>
  <c r="Q72" i="27"/>
  <c r="P72" i="27"/>
  <c r="O72" i="27"/>
  <c r="L72" i="27"/>
  <c r="K72" i="27"/>
  <c r="J72" i="27"/>
  <c r="I72" i="27"/>
  <c r="H72" i="27"/>
  <c r="G72" i="27"/>
  <c r="F72" i="27"/>
  <c r="E72" i="27"/>
  <c r="D72" i="27"/>
  <c r="C72" i="27"/>
  <c r="AJ71" i="27"/>
  <c r="AI71" i="27"/>
  <c r="AH71" i="27"/>
  <c r="AG71" i="27"/>
  <c r="AF71" i="27"/>
  <c r="AE71" i="27"/>
  <c r="AD71" i="27"/>
  <c r="AC71" i="27"/>
  <c r="AB71" i="27"/>
  <c r="AA71" i="27"/>
  <c r="X71" i="27"/>
  <c r="W71" i="27"/>
  <c r="V71" i="27"/>
  <c r="U71" i="27"/>
  <c r="T71" i="27"/>
  <c r="S71" i="27"/>
  <c r="R71" i="27"/>
  <c r="Q71" i="27"/>
  <c r="P71" i="27"/>
  <c r="O71" i="27"/>
  <c r="L71" i="27"/>
  <c r="K71" i="27"/>
  <c r="J71" i="27"/>
  <c r="I71" i="27"/>
  <c r="H71" i="27"/>
  <c r="G71" i="27"/>
  <c r="F71" i="27"/>
  <c r="E71" i="27"/>
  <c r="D71" i="27"/>
  <c r="C71" i="27"/>
  <c r="AJ70" i="27"/>
  <c r="AI70" i="27"/>
  <c r="AH70" i="27"/>
  <c r="AG70" i="27"/>
  <c r="AF70" i="27"/>
  <c r="AE70" i="27"/>
  <c r="AD70" i="27"/>
  <c r="AC70" i="27"/>
  <c r="AB70" i="27"/>
  <c r="AA70" i="27"/>
  <c r="X70" i="27"/>
  <c r="W70" i="27"/>
  <c r="V70" i="27"/>
  <c r="U70" i="27"/>
  <c r="T70" i="27"/>
  <c r="S70" i="27"/>
  <c r="R70" i="27"/>
  <c r="Q70" i="27"/>
  <c r="P70" i="27"/>
  <c r="O70" i="27"/>
  <c r="L70" i="27"/>
  <c r="K70" i="27"/>
  <c r="J70" i="27"/>
  <c r="I70" i="27"/>
  <c r="H70" i="27"/>
  <c r="G70" i="27"/>
  <c r="F70" i="27"/>
  <c r="E70" i="27"/>
  <c r="D70" i="27"/>
  <c r="C70" i="27"/>
  <c r="AJ69" i="27"/>
  <c r="AI69" i="27"/>
  <c r="AH69" i="27"/>
  <c r="AG69" i="27"/>
  <c r="AF69" i="27"/>
  <c r="AE69" i="27"/>
  <c r="AD69" i="27"/>
  <c r="AC69" i="27"/>
  <c r="AB69" i="27"/>
  <c r="AA69" i="27"/>
  <c r="X69" i="27"/>
  <c r="W69" i="27"/>
  <c r="V69" i="27"/>
  <c r="U69" i="27"/>
  <c r="T69" i="27"/>
  <c r="S69" i="27"/>
  <c r="R69" i="27"/>
  <c r="Q69" i="27"/>
  <c r="P69" i="27"/>
  <c r="O69" i="27"/>
  <c r="L69" i="27"/>
  <c r="K69" i="27"/>
  <c r="J69" i="27"/>
  <c r="I69" i="27"/>
  <c r="H69" i="27"/>
  <c r="G69" i="27"/>
  <c r="F69" i="27"/>
  <c r="E69" i="27"/>
  <c r="D69" i="27"/>
  <c r="C69" i="27"/>
  <c r="AJ68" i="27"/>
  <c r="AH68" i="27"/>
  <c r="AG68" i="27"/>
  <c r="AF68" i="27"/>
  <c r="AD68" i="27"/>
  <c r="AC68" i="27"/>
  <c r="AB68" i="27"/>
  <c r="X68" i="27"/>
  <c r="V68" i="27"/>
  <c r="U68" i="27"/>
  <c r="T68" i="27"/>
  <c r="R68" i="27"/>
  <c r="Q68" i="27"/>
  <c r="P68" i="27"/>
  <c r="L68" i="27"/>
  <c r="J68" i="27"/>
  <c r="I68" i="27"/>
  <c r="H68" i="27"/>
  <c r="F68" i="27"/>
  <c r="E68" i="27"/>
  <c r="D68" i="27"/>
  <c r="AJ67" i="27"/>
  <c r="AH67" i="27"/>
  <c r="AG67" i="27"/>
  <c r="AF67" i="27"/>
  <c r="AD67" i="27"/>
  <c r="AC67" i="27"/>
  <c r="AB67" i="27"/>
  <c r="X67" i="27"/>
  <c r="V67" i="27"/>
  <c r="U67" i="27"/>
  <c r="T67" i="27"/>
  <c r="R67" i="27"/>
  <c r="Q67" i="27"/>
  <c r="P67" i="27"/>
  <c r="L67" i="27"/>
  <c r="J67" i="27"/>
  <c r="I67" i="27"/>
  <c r="H67" i="27"/>
  <c r="F67" i="27"/>
  <c r="E67" i="27"/>
  <c r="D67" i="27"/>
  <c r="AJ66" i="27"/>
  <c r="AH66" i="27"/>
  <c r="AG66" i="27"/>
  <c r="AF66" i="27"/>
  <c r="AD66" i="27"/>
  <c r="AC66" i="27"/>
  <c r="AB66" i="27"/>
  <c r="X66" i="27"/>
  <c r="V66" i="27"/>
  <c r="U66" i="27"/>
  <c r="T66" i="27"/>
  <c r="R66" i="27"/>
  <c r="Q66" i="27"/>
  <c r="P66" i="27"/>
  <c r="L66" i="27"/>
  <c r="J66" i="27"/>
  <c r="I66" i="27"/>
  <c r="H66" i="27"/>
  <c r="F66" i="27"/>
  <c r="E66" i="27"/>
  <c r="D66" i="27"/>
  <c r="AJ65" i="27"/>
  <c r="AI65" i="27"/>
  <c r="AH65" i="27"/>
  <c r="AG65" i="27"/>
  <c r="AF65" i="27"/>
  <c r="AE65" i="27"/>
  <c r="AD65" i="27"/>
  <c r="AC65" i="27"/>
  <c r="AB65" i="27"/>
  <c r="AA65" i="27"/>
  <c r="X65" i="27"/>
  <c r="W65" i="27"/>
  <c r="V65" i="27"/>
  <c r="U65" i="27"/>
  <c r="T65" i="27"/>
  <c r="S65" i="27"/>
  <c r="R65" i="27"/>
  <c r="Q65" i="27"/>
  <c r="P65" i="27"/>
  <c r="O65" i="27"/>
  <c r="L65" i="27"/>
  <c r="K65" i="27"/>
  <c r="J65" i="27"/>
  <c r="I65" i="27"/>
  <c r="H65" i="27"/>
  <c r="G65" i="27"/>
  <c r="F65" i="27"/>
  <c r="E65" i="27"/>
  <c r="D65" i="27"/>
  <c r="C65" i="27"/>
  <c r="AJ64" i="27"/>
  <c r="AI64" i="27"/>
  <c r="AH64" i="27"/>
  <c r="AG64" i="27"/>
  <c r="AF64" i="27"/>
  <c r="AE64" i="27"/>
  <c r="AD64" i="27"/>
  <c r="AC64" i="27"/>
  <c r="AB64" i="27"/>
  <c r="AA64" i="27"/>
  <c r="X64" i="27"/>
  <c r="W64" i="27"/>
  <c r="V64" i="27"/>
  <c r="U64" i="27"/>
  <c r="T64" i="27"/>
  <c r="S64" i="27"/>
  <c r="R64" i="27"/>
  <c r="Q64" i="27"/>
  <c r="P64" i="27"/>
  <c r="O64" i="27"/>
  <c r="L64" i="27"/>
  <c r="K64" i="27"/>
  <c r="J64" i="27"/>
  <c r="I64" i="27"/>
  <c r="H64" i="27"/>
  <c r="G64" i="27"/>
  <c r="F64" i="27"/>
  <c r="E64" i="27"/>
  <c r="D64" i="27"/>
  <c r="C64" i="27"/>
  <c r="AJ63" i="27"/>
  <c r="AI63" i="27"/>
  <c r="AH63" i="27"/>
  <c r="AG63" i="27"/>
  <c r="AF63" i="27"/>
  <c r="AE63" i="27"/>
  <c r="AD63" i="27"/>
  <c r="AC63" i="27"/>
  <c r="AB63" i="27"/>
  <c r="AA63" i="27"/>
  <c r="X63" i="27"/>
  <c r="W63" i="27"/>
  <c r="V63" i="27"/>
  <c r="U63" i="27"/>
  <c r="T63" i="27"/>
  <c r="S63" i="27"/>
  <c r="R63" i="27"/>
  <c r="Q63" i="27"/>
  <c r="P63" i="27"/>
  <c r="O63" i="27"/>
  <c r="L63" i="27"/>
  <c r="K63" i="27"/>
  <c r="J63" i="27"/>
  <c r="I63" i="27"/>
  <c r="H63" i="27"/>
  <c r="G63" i="27"/>
  <c r="F63" i="27"/>
  <c r="E63" i="27"/>
  <c r="D63" i="27"/>
  <c r="C63" i="27"/>
  <c r="AJ62" i="27"/>
  <c r="AI62" i="27"/>
  <c r="AH62" i="27"/>
  <c r="AG62" i="27"/>
  <c r="AF62" i="27"/>
  <c r="AE62" i="27"/>
  <c r="AD62" i="27"/>
  <c r="AC62" i="27"/>
  <c r="AB62" i="27"/>
  <c r="AA62" i="27"/>
  <c r="X62" i="27"/>
  <c r="W62" i="27"/>
  <c r="V62" i="27"/>
  <c r="U62" i="27"/>
  <c r="T62" i="27"/>
  <c r="S62" i="27"/>
  <c r="R62" i="27"/>
  <c r="Q62" i="27"/>
  <c r="P62" i="27"/>
  <c r="O62" i="27"/>
  <c r="L62" i="27"/>
  <c r="K62" i="27"/>
  <c r="J62" i="27"/>
  <c r="I62" i="27"/>
  <c r="H62" i="27"/>
  <c r="G62" i="27"/>
  <c r="F62" i="27"/>
  <c r="E62" i="27"/>
  <c r="D62" i="27"/>
  <c r="C62" i="27"/>
  <c r="AJ61" i="27"/>
  <c r="AI61" i="27"/>
  <c r="AH61" i="27"/>
  <c r="AG61" i="27"/>
  <c r="AF61" i="27"/>
  <c r="AE61" i="27"/>
  <c r="AD61" i="27"/>
  <c r="AC61" i="27"/>
  <c r="AB61" i="27"/>
  <c r="AA61" i="27"/>
  <c r="X61" i="27"/>
  <c r="W61" i="27"/>
  <c r="V61" i="27"/>
  <c r="U61" i="27"/>
  <c r="T61" i="27"/>
  <c r="S61" i="27"/>
  <c r="R61" i="27"/>
  <c r="Q61" i="27"/>
  <c r="P61" i="27"/>
  <c r="O61" i="27"/>
  <c r="L61" i="27"/>
  <c r="K61" i="27"/>
  <c r="J61" i="27"/>
  <c r="I61" i="27"/>
  <c r="H61" i="27"/>
  <c r="G61" i="27"/>
  <c r="F61" i="27"/>
  <c r="E61" i="27"/>
  <c r="D61" i="27"/>
  <c r="C61" i="27"/>
  <c r="AJ60" i="27"/>
  <c r="AI60" i="27"/>
  <c r="AH60" i="27"/>
  <c r="AG60" i="27"/>
  <c r="AF60" i="27"/>
  <c r="AE60" i="27"/>
  <c r="AD60" i="27"/>
  <c r="AC60" i="27"/>
  <c r="AB60" i="27"/>
  <c r="AA60" i="27"/>
  <c r="X60" i="27"/>
  <c r="W60" i="27"/>
  <c r="V60" i="27"/>
  <c r="U60" i="27"/>
  <c r="T60" i="27"/>
  <c r="S60" i="27"/>
  <c r="R60" i="27"/>
  <c r="Q60" i="27"/>
  <c r="P60" i="27"/>
  <c r="O60" i="27"/>
  <c r="L60" i="27"/>
  <c r="K60" i="27"/>
  <c r="J60" i="27"/>
  <c r="I60" i="27"/>
  <c r="H60" i="27"/>
  <c r="G60" i="27"/>
  <c r="F60" i="27"/>
  <c r="E60" i="27"/>
  <c r="D60" i="27"/>
  <c r="C60" i="27"/>
  <c r="AJ59" i="27"/>
  <c r="AI59" i="27"/>
  <c r="AH59" i="27"/>
  <c r="AG59" i="27"/>
  <c r="AF59" i="27"/>
  <c r="AE59" i="27"/>
  <c r="AD59" i="27"/>
  <c r="AC59" i="27"/>
  <c r="AB59" i="27"/>
  <c r="AA59" i="27"/>
  <c r="X59" i="27"/>
  <c r="W59" i="27"/>
  <c r="V59" i="27"/>
  <c r="U59" i="27"/>
  <c r="T59" i="27"/>
  <c r="S59" i="27"/>
  <c r="R59" i="27"/>
  <c r="Q59" i="27"/>
  <c r="P59" i="27"/>
  <c r="O59" i="27"/>
  <c r="L59" i="27"/>
  <c r="K59" i="27"/>
  <c r="J59" i="27"/>
  <c r="I59" i="27"/>
  <c r="H59" i="27"/>
  <c r="G59" i="27"/>
  <c r="F59" i="27"/>
  <c r="E59" i="27"/>
  <c r="D59" i="27"/>
  <c r="C59" i="27"/>
  <c r="AJ58" i="27"/>
  <c r="AI58" i="27"/>
  <c r="AH58" i="27"/>
  <c r="AG58" i="27"/>
  <c r="AF58" i="27"/>
  <c r="AE58" i="27"/>
  <c r="AD58" i="27"/>
  <c r="AC58" i="27"/>
  <c r="AB58" i="27"/>
  <c r="AA58" i="27"/>
  <c r="X58" i="27"/>
  <c r="W58" i="27"/>
  <c r="V58" i="27"/>
  <c r="U58" i="27"/>
  <c r="T58" i="27"/>
  <c r="S58" i="27"/>
  <c r="R58" i="27"/>
  <c r="Q58" i="27"/>
  <c r="P58" i="27"/>
  <c r="O58" i="27"/>
  <c r="L58" i="27"/>
  <c r="K58" i="27"/>
  <c r="J58" i="27"/>
  <c r="I58" i="27"/>
  <c r="H58" i="27"/>
  <c r="G58" i="27"/>
  <c r="F58" i="27"/>
  <c r="E58" i="27"/>
  <c r="D58" i="27"/>
  <c r="C58" i="27"/>
  <c r="AJ57" i="27"/>
  <c r="AI57" i="27"/>
  <c r="AH57" i="27"/>
  <c r="AG57" i="27"/>
  <c r="AF57" i="27"/>
  <c r="AE57" i="27"/>
  <c r="AD57" i="27"/>
  <c r="AC57" i="27"/>
  <c r="AB57" i="27"/>
  <c r="AA57" i="27"/>
  <c r="X57" i="27"/>
  <c r="W57" i="27"/>
  <c r="V57" i="27"/>
  <c r="U57" i="27"/>
  <c r="T57" i="27"/>
  <c r="S57" i="27"/>
  <c r="R57" i="27"/>
  <c r="Q57" i="27"/>
  <c r="P57" i="27"/>
  <c r="O57" i="27"/>
  <c r="L57" i="27"/>
  <c r="K57" i="27"/>
  <c r="J57" i="27"/>
  <c r="I57" i="27"/>
  <c r="H57" i="27"/>
  <c r="G57" i="27"/>
  <c r="F57" i="27"/>
  <c r="E57" i="27"/>
  <c r="D57" i="27"/>
  <c r="C57" i="27"/>
  <c r="AJ56" i="27"/>
  <c r="AI56" i="27"/>
  <c r="AH56" i="27"/>
  <c r="AG56" i="27"/>
  <c r="AF56" i="27"/>
  <c r="AE56" i="27"/>
  <c r="AD56" i="27"/>
  <c r="AC56" i="27"/>
  <c r="AB56" i="27"/>
  <c r="AA56" i="27"/>
  <c r="X56" i="27"/>
  <c r="W56" i="27"/>
  <c r="V56" i="27"/>
  <c r="U56" i="27"/>
  <c r="T56" i="27"/>
  <c r="S56" i="27"/>
  <c r="R56" i="27"/>
  <c r="Q56" i="27"/>
  <c r="P56" i="27"/>
  <c r="O56" i="27"/>
  <c r="L56" i="27"/>
  <c r="K56" i="27"/>
  <c r="J56" i="27"/>
  <c r="I56" i="27"/>
  <c r="H56" i="27"/>
  <c r="G56" i="27"/>
  <c r="F56" i="27"/>
  <c r="E56" i="27"/>
  <c r="D56" i="27"/>
  <c r="C56" i="27"/>
  <c r="AJ55" i="27"/>
  <c r="AI55" i="27"/>
  <c r="AH55" i="27"/>
  <c r="AG55" i="27"/>
  <c r="AF55" i="27"/>
  <c r="AE55" i="27"/>
  <c r="AD55" i="27"/>
  <c r="AC55" i="27"/>
  <c r="AB55" i="27"/>
  <c r="AA55" i="27"/>
  <c r="X55" i="27"/>
  <c r="W55" i="27"/>
  <c r="V55" i="27"/>
  <c r="U55" i="27"/>
  <c r="T55" i="27"/>
  <c r="S55" i="27"/>
  <c r="R55" i="27"/>
  <c r="Q55" i="27"/>
  <c r="P55" i="27"/>
  <c r="O55" i="27"/>
  <c r="L55" i="27"/>
  <c r="K55" i="27"/>
  <c r="J55" i="27"/>
  <c r="I55" i="27"/>
  <c r="H55" i="27"/>
  <c r="G55" i="27"/>
  <c r="F55" i="27"/>
  <c r="E55" i="27"/>
  <c r="D55" i="27"/>
  <c r="C55" i="27"/>
  <c r="AJ54" i="27"/>
  <c r="AI54" i="27"/>
  <c r="AH54" i="27"/>
  <c r="AG54" i="27"/>
  <c r="AF54" i="27"/>
  <c r="AE54" i="27"/>
  <c r="AD54" i="27"/>
  <c r="AC54" i="27"/>
  <c r="AB54" i="27"/>
  <c r="AA54" i="27"/>
  <c r="X54" i="27"/>
  <c r="W54" i="27"/>
  <c r="V54" i="27"/>
  <c r="U54" i="27"/>
  <c r="T54" i="27"/>
  <c r="S54" i="27"/>
  <c r="R54" i="27"/>
  <c r="Q54" i="27"/>
  <c r="P54" i="27"/>
  <c r="O54" i="27"/>
  <c r="L54" i="27"/>
  <c r="K54" i="27"/>
  <c r="J54" i="27"/>
  <c r="I54" i="27"/>
  <c r="H54" i="27"/>
  <c r="G54" i="27"/>
  <c r="F54" i="27"/>
  <c r="E54" i="27"/>
  <c r="D54" i="27"/>
  <c r="C54" i="27"/>
  <c r="AJ53" i="27"/>
  <c r="AI53" i="27"/>
  <c r="AH53" i="27"/>
  <c r="AG53" i="27"/>
  <c r="AF53" i="27"/>
  <c r="AE53" i="27"/>
  <c r="AD53" i="27"/>
  <c r="AC53" i="27"/>
  <c r="AB53" i="27"/>
  <c r="AA53" i="27"/>
  <c r="X53" i="27"/>
  <c r="W53" i="27"/>
  <c r="V53" i="27"/>
  <c r="U53" i="27"/>
  <c r="T53" i="27"/>
  <c r="S53" i="27"/>
  <c r="R53" i="27"/>
  <c r="Q53" i="27"/>
  <c r="P53" i="27"/>
  <c r="O53" i="27"/>
  <c r="L53" i="27"/>
  <c r="K53" i="27"/>
  <c r="J53" i="27"/>
  <c r="I53" i="27"/>
  <c r="H53" i="27"/>
  <c r="G53" i="27"/>
  <c r="F53" i="27"/>
  <c r="E53" i="27"/>
  <c r="D53" i="27"/>
  <c r="C53" i="27"/>
  <c r="AJ52" i="27"/>
  <c r="AI52" i="27"/>
  <c r="AH52" i="27"/>
  <c r="AG52" i="27"/>
  <c r="AF52" i="27"/>
  <c r="AE52" i="27"/>
  <c r="AD52" i="27"/>
  <c r="AC52" i="27"/>
  <c r="AB52" i="27"/>
  <c r="AA52" i="27"/>
  <c r="X52" i="27"/>
  <c r="W52" i="27"/>
  <c r="V52" i="27"/>
  <c r="U52" i="27"/>
  <c r="T52" i="27"/>
  <c r="S52" i="27"/>
  <c r="R52" i="27"/>
  <c r="Q52" i="27"/>
  <c r="P52" i="27"/>
  <c r="O52" i="27"/>
  <c r="L52" i="27"/>
  <c r="K52" i="27"/>
  <c r="J52" i="27"/>
  <c r="I52" i="27"/>
  <c r="H52" i="27"/>
  <c r="G52" i="27"/>
  <c r="F52" i="27"/>
  <c r="E52" i="27"/>
  <c r="D52" i="27"/>
  <c r="C52" i="27"/>
  <c r="AJ51" i="27"/>
  <c r="AI51" i="27"/>
  <c r="AH51" i="27"/>
  <c r="AG51" i="27"/>
  <c r="AF51" i="27"/>
  <c r="AE51" i="27"/>
  <c r="AD51" i="27"/>
  <c r="AC51" i="27"/>
  <c r="AB51" i="27"/>
  <c r="AA51" i="27"/>
  <c r="X51" i="27"/>
  <c r="W51" i="27"/>
  <c r="V51" i="27"/>
  <c r="U51" i="27"/>
  <c r="T51" i="27"/>
  <c r="S51" i="27"/>
  <c r="R51" i="27"/>
  <c r="Q51" i="27"/>
  <c r="P51" i="27"/>
  <c r="O51" i="27"/>
  <c r="L51" i="27"/>
  <c r="K51" i="27"/>
  <c r="J51" i="27"/>
  <c r="I51" i="27"/>
  <c r="H51" i="27"/>
  <c r="G51" i="27"/>
  <c r="F51" i="27"/>
  <c r="E51" i="27"/>
  <c r="D51" i="27"/>
  <c r="C51" i="27"/>
  <c r="AJ50" i="27"/>
  <c r="AI50" i="27"/>
  <c r="AH50" i="27"/>
  <c r="AG50" i="27"/>
  <c r="AF50" i="27"/>
  <c r="AE50" i="27"/>
  <c r="AD50" i="27"/>
  <c r="AC50" i="27"/>
  <c r="AB50" i="27"/>
  <c r="AA50" i="27"/>
  <c r="X50" i="27"/>
  <c r="W50" i="27"/>
  <c r="V50" i="27"/>
  <c r="U50" i="27"/>
  <c r="T50" i="27"/>
  <c r="S50" i="27"/>
  <c r="R50" i="27"/>
  <c r="Q50" i="27"/>
  <c r="P50" i="27"/>
  <c r="O50" i="27"/>
  <c r="L50" i="27"/>
  <c r="K50" i="27"/>
  <c r="J50" i="27"/>
  <c r="I50" i="27"/>
  <c r="H50" i="27"/>
  <c r="G50" i="27"/>
  <c r="F50" i="27"/>
  <c r="E50" i="27"/>
  <c r="D50" i="27"/>
  <c r="C50" i="27"/>
  <c r="AJ49" i="27"/>
  <c r="AI49" i="27"/>
  <c r="AH49" i="27"/>
  <c r="AG49" i="27"/>
  <c r="AF49" i="27"/>
  <c r="AE49" i="27"/>
  <c r="AD49" i="27"/>
  <c r="AC49" i="27"/>
  <c r="AB49" i="27"/>
  <c r="AA49" i="27"/>
  <c r="X49" i="27"/>
  <c r="W49" i="27"/>
  <c r="V49" i="27"/>
  <c r="U49" i="27"/>
  <c r="T49" i="27"/>
  <c r="S49" i="27"/>
  <c r="R49" i="27"/>
  <c r="Q49" i="27"/>
  <c r="P49" i="27"/>
  <c r="O49" i="27"/>
  <c r="L49" i="27"/>
  <c r="K49" i="27"/>
  <c r="J49" i="27"/>
  <c r="I49" i="27"/>
  <c r="H49" i="27"/>
  <c r="G49" i="27"/>
  <c r="F49" i="27"/>
  <c r="E49" i="27"/>
  <c r="D49" i="27"/>
  <c r="C49" i="27"/>
  <c r="AJ48" i="27"/>
  <c r="AI48" i="27"/>
  <c r="AH48" i="27"/>
  <c r="AG48" i="27"/>
  <c r="AF48" i="27"/>
  <c r="AE48" i="27"/>
  <c r="AD48" i="27"/>
  <c r="AC48" i="27"/>
  <c r="AB48" i="27"/>
  <c r="AA48" i="27"/>
  <c r="X48" i="27"/>
  <c r="W48" i="27"/>
  <c r="V48" i="27"/>
  <c r="U48" i="27"/>
  <c r="T48" i="27"/>
  <c r="S48" i="27"/>
  <c r="R48" i="27"/>
  <c r="Q48" i="27"/>
  <c r="P48" i="27"/>
  <c r="O48" i="27"/>
  <c r="L48" i="27"/>
  <c r="K48" i="27"/>
  <c r="J48" i="27"/>
  <c r="I48" i="27"/>
  <c r="H48" i="27"/>
  <c r="G48" i="27"/>
  <c r="F48" i="27"/>
  <c r="E48" i="27"/>
  <c r="D48" i="27"/>
  <c r="C48" i="27"/>
  <c r="AJ47" i="27"/>
  <c r="AI47" i="27"/>
  <c r="AH47" i="27"/>
  <c r="AG47" i="27"/>
  <c r="AF47" i="27"/>
  <c r="AE47" i="27"/>
  <c r="AD47" i="27"/>
  <c r="AC47" i="27"/>
  <c r="AB47" i="27"/>
  <c r="AA47" i="27"/>
  <c r="X47" i="27"/>
  <c r="W47" i="27"/>
  <c r="V47" i="27"/>
  <c r="U47" i="27"/>
  <c r="T47" i="27"/>
  <c r="S47" i="27"/>
  <c r="R47" i="27"/>
  <c r="Q47" i="27"/>
  <c r="P47" i="27"/>
  <c r="O47" i="27"/>
  <c r="L47" i="27"/>
  <c r="K47" i="27"/>
  <c r="J47" i="27"/>
  <c r="I47" i="27"/>
  <c r="H47" i="27"/>
  <c r="G47" i="27"/>
  <c r="F47" i="27"/>
  <c r="E47" i="27"/>
  <c r="D47" i="27"/>
  <c r="C47" i="27"/>
  <c r="AJ46" i="27"/>
  <c r="AI46" i="27"/>
  <c r="AH46" i="27"/>
  <c r="AG46" i="27"/>
  <c r="AF46" i="27"/>
  <c r="AE46" i="27"/>
  <c r="AD46" i="27"/>
  <c r="AC46" i="27"/>
  <c r="AB46" i="27"/>
  <c r="AA46" i="27"/>
  <c r="X46" i="27"/>
  <c r="W46" i="27"/>
  <c r="V46" i="27"/>
  <c r="U46" i="27"/>
  <c r="T46" i="27"/>
  <c r="S46" i="27"/>
  <c r="R46" i="27"/>
  <c r="Q46" i="27"/>
  <c r="P46" i="27"/>
  <c r="O46" i="27"/>
  <c r="L46" i="27"/>
  <c r="K46" i="27"/>
  <c r="J46" i="27"/>
  <c r="I46" i="27"/>
  <c r="H46" i="27"/>
  <c r="G46" i="27"/>
  <c r="F46" i="27"/>
  <c r="E46" i="27"/>
  <c r="D46" i="27"/>
  <c r="C46" i="27"/>
  <c r="AJ45" i="27"/>
  <c r="AI45" i="27"/>
  <c r="AH45" i="27"/>
  <c r="AG45" i="27"/>
  <c r="AF45" i="27"/>
  <c r="AE45" i="27"/>
  <c r="AD45" i="27"/>
  <c r="AC45" i="27"/>
  <c r="AB45" i="27"/>
  <c r="AA45" i="27"/>
  <c r="X45" i="27"/>
  <c r="W45" i="27"/>
  <c r="V45" i="27"/>
  <c r="U45" i="27"/>
  <c r="T45" i="27"/>
  <c r="S45" i="27"/>
  <c r="R45" i="27"/>
  <c r="Q45" i="27"/>
  <c r="P45" i="27"/>
  <c r="O45" i="27"/>
  <c r="L45" i="27"/>
  <c r="K45" i="27"/>
  <c r="J45" i="27"/>
  <c r="I45" i="27"/>
  <c r="H45" i="27"/>
  <c r="G45" i="27"/>
  <c r="F45" i="27"/>
  <c r="E45" i="27"/>
  <c r="D45" i="27"/>
  <c r="C45" i="27"/>
  <c r="AJ44" i="27"/>
  <c r="AI44" i="27"/>
  <c r="AH44" i="27"/>
  <c r="AG44" i="27"/>
  <c r="AF44" i="27"/>
  <c r="AE44" i="27"/>
  <c r="AD44" i="27"/>
  <c r="AC44" i="27"/>
  <c r="AB44" i="27"/>
  <c r="AA44" i="27"/>
  <c r="X44" i="27"/>
  <c r="W44" i="27"/>
  <c r="V44" i="27"/>
  <c r="U44" i="27"/>
  <c r="T44" i="27"/>
  <c r="S44" i="27"/>
  <c r="R44" i="27"/>
  <c r="Q44" i="27"/>
  <c r="P44" i="27"/>
  <c r="O44" i="27"/>
  <c r="L44" i="27"/>
  <c r="K44" i="27"/>
  <c r="J44" i="27"/>
  <c r="I44" i="27"/>
  <c r="H44" i="27"/>
  <c r="G44" i="27"/>
  <c r="F44" i="27"/>
  <c r="E44" i="27"/>
  <c r="D44" i="27"/>
  <c r="C44" i="27"/>
  <c r="AJ43" i="27"/>
  <c r="AI43" i="27"/>
  <c r="AH43" i="27"/>
  <c r="AG43" i="27"/>
  <c r="AF43" i="27"/>
  <c r="AE43" i="27"/>
  <c r="AD43" i="27"/>
  <c r="AC43" i="27"/>
  <c r="AB43" i="27"/>
  <c r="AA43" i="27"/>
  <c r="X43" i="27"/>
  <c r="W43" i="27"/>
  <c r="V43" i="27"/>
  <c r="U43" i="27"/>
  <c r="T43" i="27"/>
  <c r="S43" i="27"/>
  <c r="R43" i="27"/>
  <c r="Q43" i="27"/>
  <c r="P43" i="27"/>
  <c r="O43" i="27"/>
  <c r="L43" i="27"/>
  <c r="K43" i="27"/>
  <c r="J43" i="27"/>
  <c r="I43" i="27"/>
  <c r="H43" i="27"/>
  <c r="G43" i="27"/>
  <c r="F43" i="27"/>
  <c r="E43" i="27"/>
  <c r="D43" i="27"/>
  <c r="C43" i="27"/>
  <c r="AJ42" i="27"/>
  <c r="AI42" i="27"/>
  <c r="AH42" i="27"/>
  <c r="AG42" i="27"/>
  <c r="AF42" i="27"/>
  <c r="AE42" i="27"/>
  <c r="AD42" i="27"/>
  <c r="AC42" i="27"/>
  <c r="AB42" i="27"/>
  <c r="AA42" i="27"/>
  <c r="X42" i="27"/>
  <c r="W42" i="27"/>
  <c r="V42" i="27"/>
  <c r="U42" i="27"/>
  <c r="T42" i="27"/>
  <c r="S42" i="27"/>
  <c r="R42" i="27"/>
  <c r="Q42" i="27"/>
  <c r="P42" i="27"/>
  <c r="O42" i="27"/>
  <c r="L42" i="27"/>
  <c r="K42" i="27"/>
  <c r="J42" i="27"/>
  <c r="I42" i="27"/>
  <c r="H42" i="27"/>
  <c r="G42" i="27"/>
  <c r="F42" i="27"/>
  <c r="E42" i="27"/>
  <c r="D42" i="27"/>
  <c r="C42" i="27"/>
  <c r="AJ41" i="27"/>
  <c r="AH41" i="27"/>
  <c r="AG41" i="27"/>
  <c r="AF41" i="27"/>
  <c r="AD41" i="27"/>
  <c r="AC41" i="27"/>
  <c r="AB41" i="27"/>
  <c r="X41" i="27"/>
  <c r="V41" i="27"/>
  <c r="U41" i="27"/>
  <c r="T41" i="27"/>
  <c r="R41" i="27"/>
  <c r="Q41" i="27"/>
  <c r="P41" i="27"/>
  <c r="L41" i="27"/>
  <c r="J41" i="27"/>
  <c r="I41" i="27"/>
  <c r="F41" i="27"/>
  <c r="E41" i="27"/>
  <c r="D41" i="27"/>
  <c r="AJ40" i="27"/>
  <c r="AI40" i="27"/>
  <c r="AH40" i="27"/>
  <c r="AG40" i="27"/>
  <c r="AF40" i="27"/>
  <c r="AE40" i="27"/>
  <c r="AD40" i="27"/>
  <c r="AC40" i="27"/>
  <c r="AB40" i="27"/>
  <c r="AA40" i="27"/>
  <c r="X40" i="27"/>
  <c r="W40" i="27"/>
  <c r="V40" i="27"/>
  <c r="U40" i="27"/>
  <c r="T40" i="27"/>
  <c r="S40" i="27"/>
  <c r="R40" i="27"/>
  <c r="Q40" i="27"/>
  <c r="P40" i="27"/>
  <c r="O40" i="27"/>
  <c r="L40" i="27"/>
  <c r="K40" i="27"/>
  <c r="J40" i="27"/>
  <c r="I40" i="27"/>
  <c r="H40" i="27"/>
  <c r="G40" i="27"/>
  <c r="F40" i="27"/>
  <c r="E40" i="27"/>
  <c r="D40" i="27"/>
  <c r="C40" i="27"/>
  <c r="AJ39" i="27"/>
  <c r="AI39" i="27"/>
  <c r="AH39" i="27"/>
  <c r="AG39" i="27"/>
  <c r="AF39" i="27"/>
  <c r="AE39" i="27"/>
  <c r="AD39" i="27"/>
  <c r="AC39" i="27"/>
  <c r="AB39" i="27"/>
  <c r="AA39" i="27"/>
  <c r="X39" i="27"/>
  <c r="W39" i="27"/>
  <c r="V39" i="27"/>
  <c r="U39" i="27"/>
  <c r="T39" i="27"/>
  <c r="S39" i="27"/>
  <c r="R39" i="27"/>
  <c r="Q39" i="27"/>
  <c r="P39" i="27"/>
  <c r="O39" i="27"/>
  <c r="L39" i="27"/>
  <c r="K39" i="27"/>
  <c r="J39" i="27"/>
  <c r="I39" i="27"/>
  <c r="H39" i="27"/>
  <c r="G39" i="27"/>
  <c r="F39" i="27"/>
  <c r="E39" i="27"/>
  <c r="D39" i="27"/>
  <c r="C39" i="27"/>
  <c r="AH38" i="27"/>
  <c r="AG38" i="27"/>
  <c r="AD38" i="27"/>
  <c r="AC38" i="27"/>
  <c r="V38" i="27"/>
  <c r="U38" i="27"/>
  <c r="R38" i="27"/>
  <c r="Q38" i="27"/>
  <c r="J38" i="27"/>
  <c r="I38" i="27"/>
  <c r="F38" i="27"/>
  <c r="E38" i="27"/>
  <c r="AJ37" i="27"/>
  <c r="AI37" i="27"/>
  <c r="AH37" i="27"/>
  <c r="AG37" i="27"/>
  <c r="AF37" i="27"/>
  <c r="AE37" i="27"/>
  <c r="AD37" i="27"/>
  <c r="AC37" i="27"/>
  <c r="AB37" i="27"/>
  <c r="AA37" i="27"/>
  <c r="X37" i="27"/>
  <c r="W37" i="27"/>
  <c r="V37" i="27"/>
  <c r="U37" i="27"/>
  <c r="T37" i="27"/>
  <c r="S37" i="27"/>
  <c r="R37" i="27"/>
  <c r="Q37" i="27"/>
  <c r="P37" i="27"/>
  <c r="O37" i="27"/>
  <c r="L37" i="27"/>
  <c r="K37" i="27"/>
  <c r="J37" i="27"/>
  <c r="I37" i="27"/>
  <c r="H37" i="27"/>
  <c r="G37" i="27"/>
  <c r="F37" i="27"/>
  <c r="E37" i="27"/>
  <c r="D37" i="27"/>
  <c r="C37" i="27"/>
  <c r="AJ36" i="27"/>
  <c r="AI36" i="27"/>
  <c r="AH36" i="27"/>
  <c r="AG36" i="27"/>
  <c r="AF36" i="27"/>
  <c r="AE36" i="27"/>
  <c r="AD36" i="27"/>
  <c r="AC36" i="27"/>
  <c r="AB36" i="27"/>
  <c r="AA36" i="27"/>
  <c r="X36" i="27"/>
  <c r="W36" i="27"/>
  <c r="V36" i="27"/>
  <c r="U36" i="27"/>
  <c r="T36" i="27"/>
  <c r="S36" i="27"/>
  <c r="R36" i="27"/>
  <c r="Q36" i="27"/>
  <c r="P36" i="27"/>
  <c r="O36" i="27"/>
  <c r="L36" i="27"/>
  <c r="K36" i="27"/>
  <c r="J36" i="27"/>
  <c r="I36" i="27"/>
  <c r="H36" i="27"/>
  <c r="G36" i="27"/>
  <c r="F36" i="27"/>
  <c r="E36" i="27"/>
  <c r="D36" i="27"/>
  <c r="C36" i="27"/>
  <c r="AJ35" i="27"/>
  <c r="AI35" i="27"/>
  <c r="AH35" i="27"/>
  <c r="AG35" i="27"/>
  <c r="AF35" i="27"/>
  <c r="AE35" i="27"/>
  <c r="AD35" i="27"/>
  <c r="AC35" i="27"/>
  <c r="AB35" i="27"/>
  <c r="AA35" i="27"/>
  <c r="X35" i="27"/>
  <c r="W35" i="27"/>
  <c r="V35" i="27"/>
  <c r="U35" i="27"/>
  <c r="T35" i="27"/>
  <c r="S35" i="27"/>
  <c r="R35" i="27"/>
  <c r="Q35" i="27"/>
  <c r="P35" i="27"/>
  <c r="O35" i="27"/>
  <c r="L35" i="27"/>
  <c r="K35" i="27"/>
  <c r="J35" i="27"/>
  <c r="I35" i="27"/>
  <c r="H35" i="27"/>
  <c r="G35" i="27"/>
  <c r="F35" i="27"/>
  <c r="E35" i="27"/>
  <c r="D35" i="27"/>
  <c r="C35" i="27"/>
  <c r="AH34" i="27"/>
  <c r="AG34" i="27"/>
  <c r="AD34" i="27"/>
  <c r="AC34" i="27"/>
  <c r="V34" i="27"/>
  <c r="U34" i="27"/>
  <c r="R34" i="27"/>
  <c r="Q34" i="27"/>
  <c r="J34" i="27"/>
  <c r="I34" i="27"/>
  <c r="F34" i="27"/>
  <c r="E34" i="27"/>
  <c r="AH33" i="27"/>
  <c r="AG33" i="27"/>
  <c r="AD33" i="27"/>
  <c r="AC33" i="27"/>
  <c r="V33" i="27"/>
  <c r="U33" i="27"/>
  <c r="R33" i="27"/>
  <c r="Q33" i="27"/>
  <c r="J33" i="27"/>
  <c r="I33" i="27"/>
  <c r="F33" i="27"/>
  <c r="E33" i="27"/>
  <c r="AH32" i="27"/>
  <c r="AG32" i="27"/>
  <c r="AD32" i="27"/>
  <c r="AC32" i="27"/>
  <c r="V32" i="27"/>
  <c r="U32" i="27"/>
  <c r="R32" i="27"/>
  <c r="Q32" i="27"/>
  <c r="J32" i="27"/>
  <c r="I32" i="27"/>
  <c r="F32" i="27"/>
  <c r="E32" i="27"/>
  <c r="AH31" i="27"/>
  <c r="AG31" i="27"/>
  <c r="AD31" i="27"/>
  <c r="AC31" i="27"/>
  <c r="V31" i="27"/>
  <c r="U31" i="27"/>
  <c r="R31" i="27"/>
  <c r="Q31" i="27"/>
  <c r="J31" i="27"/>
  <c r="I31" i="27"/>
  <c r="F31" i="27"/>
  <c r="E31" i="27"/>
  <c r="AJ30" i="27"/>
  <c r="AI30" i="27"/>
  <c r="AH30" i="27"/>
  <c r="AG30" i="27"/>
  <c r="AF30" i="27"/>
  <c r="AE30" i="27"/>
  <c r="AD30" i="27"/>
  <c r="AC30" i="27"/>
  <c r="AB30" i="27"/>
  <c r="AA30" i="27"/>
  <c r="X30" i="27"/>
  <c r="W30" i="27"/>
  <c r="V30" i="27"/>
  <c r="U30" i="27"/>
  <c r="T30" i="27"/>
  <c r="S30" i="27"/>
  <c r="R30" i="27"/>
  <c r="Q30" i="27"/>
  <c r="P30" i="27"/>
  <c r="O30" i="27"/>
  <c r="L30" i="27"/>
  <c r="K30" i="27"/>
  <c r="J30" i="27"/>
  <c r="I30" i="27"/>
  <c r="H30" i="27"/>
  <c r="G30" i="27"/>
  <c r="F30" i="27"/>
  <c r="E30" i="27"/>
  <c r="D30" i="27"/>
  <c r="C30" i="27"/>
  <c r="AJ29" i="27"/>
  <c r="AI29" i="27"/>
  <c r="AH29" i="27"/>
  <c r="AG29" i="27"/>
  <c r="AF29" i="27"/>
  <c r="AE29" i="27"/>
  <c r="AD29" i="27"/>
  <c r="AC29" i="27"/>
  <c r="AB29" i="27"/>
  <c r="AA29" i="27"/>
  <c r="X29" i="27"/>
  <c r="W29" i="27"/>
  <c r="V29" i="27"/>
  <c r="U29" i="27"/>
  <c r="T29" i="27"/>
  <c r="S29" i="27"/>
  <c r="R29" i="27"/>
  <c r="Q29" i="27"/>
  <c r="P29" i="27"/>
  <c r="O29" i="27"/>
  <c r="L29" i="27"/>
  <c r="K29" i="27"/>
  <c r="J29" i="27"/>
  <c r="I29" i="27"/>
  <c r="H29" i="27"/>
  <c r="G29" i="27"/>
  <c r="F29" i="27"/>
  <c r="E29" i="27"/>
  <c r="D29" i="27"/>
  <c r="C29" i="27"/>
  <c r="AJ28" i="27"/>
  <c r="AI28" i="27"/>
  <c r="AH28" i="27"/>
  <c r="AG28" i="27"/>
  <c r="AF28" i="27"/>
  <c r="AE28" i="27"/>
  <c r="AD28" i="27"/>
  <c r="AC28" i="27"/>
  <c r="AB28" i="27"/>
  <c r="AA28" i="27"/>
  <c r="X28" i="27"/>
  <c r="W28" i="27"/>
  <c r="V28" i="27"/>
  <c r="U28" i="27"/>
  <c r="T28" i="27"/>
  <c r="S28" i="27"/>
  <c r="R28" i="27"/>
  <c r="Q28" i="27"/>
  <c r="P28" i="27"/>
  <c r="O28" i="27"/>
  <c r="L28" i="27"/>
  <c r="K28" i="27"/>
  <c r="J28" i="27"/>
  <c r="I28" i="27"/>
  <c r="H28" i="27"/>
  <c r="G28" i="27"/>
  <c r="F28" i="27"/>
  <c r="E28" i="27"/>
  <c r="D28" i="27"/>
  <c r="C28" i="27"/>
  <c r="AJ27" i="27"/>
  <c r="AI27" i="27"/>
  <c r="AH27" i="27"/>
  <c r="AG27" i="27"/>
  <c r="AF27" i="27"/>
  <c r="AE27" i="27"/>
  <c r="AD27" i="27"/>
  <c r="AC27" i="27"/>
  <c r="AB27" i="27"/>
  <c r="AA27" i="27"/>
  <c r="X27" i="27"/>
  <c r="W27" i="27"/>
  <c r="V27" i="27"/>
  <c r="U27" i="27"/>
  <c r="T27" i="27"/>
  <c r="S27" i="27"/>
  <c r="R27" i="27"/>
  <c r="Q27" i="27"/>
  <c r="P27" i="27"/>
  <c r="O27" i="27"/>
  <c r="L27" i="27"/>
  <c r="K27" i="27"/>
  <c r="J27" i="27"/>
  <c r="I27" i="27"/>
  <c r="H27" i="27"/>
  <c r="G27" i="27"/>
  <c r="F27" i="27"/>
  <c r="E27" i="27"/>
  <c r="D27" i="27"/>
  <c r="C27" i="27"/>
  <c r="AJ26" i="27"/>
  <c r="AI26" i="27"/>
  <c r="AH26" i="27"/>
  <c r="AG26" i="27"/>
  <c r="AF26" i="27"/>
  <c r="AE26" i="27"/>
  <c r="AD26" i="27"/>
  <c r="AC26" i="27"/>
  <c r="AB26" i="27"/>
  <c r="AA26" i="27"/>
  <c r="X26" i="27"/>
  <c r="W26" i="27"/>
  <c r="V26" i="27"/>
  <c r="U26" i="27"/>
  <c r="T26" i="27"/>
  <c r="S26" i="27"/>
  <c r="R26" i="27"/>
  <c r="Q26" i="27"/>
  <c r="P26" i="27"/>
  <c r="O26" i="27"/>
  <c r="L26" i="27"/>
  <c r="K26" i="27"/>
  <c r="J26" i="27"/>
  <c r="I26" i="27"/>
  <c r="H26" i="27"/>
  <c r="G26" i="27"/>
  <c r="F26" i="27"/>
  <c r="E26" i="27"/>
  <c r="D26" i="27"/>
  <c r="C26" i="27"/>
  <c r="AJ25" i="27"/>
  <c r="AI25" i="27"/>
  <c r="AH25" i="27"/>
  <c r="AG25" i="27"/>
  <c r="AF25" i="27"/>
  <c r="AE25" i="27"/>
  <c r="AD25" i="27"/>
  <c r="AC25" i="27"/>
  <c r="AB25" i="27"/>
  <c r="AA25" i="27"/>
  <c r="X25" i="27"/>
  <c r="W25" i="27"/>
  <c r="V25" i="27"/>
  <c r="U25" i="27"/>
  <c r="T25" i="27"/>
  <c r="S25" i="27"/>
  <c r="R25" i="27"/>
  <c r="Q25" i="27"/>
  <c r="P25" i="27"/>
  <c r="O25" i="27"/>
  <c r="L25" i="27"/>
  <c r="K25" i="27"/>
  <c r="J25" i="27"/>
  <c r="I25" i="27"/>
  <c r="H25" i="27"/>
  <c r="G25" i="27"/>
  <c r="F25" i="27"/>
  <c r="E25" i="27"/>
  <c r="D25" i="27"/>
  <c r="C25" i="27"/>
  <c r="AJ24" i="27"/>
  <c r="AI24" i="27"/>
  <c r="AH24" i="27"/>
  <c r="AG24" i="27"/>
  <c r="AF24" i="27"/>
  <c r="AE24" i="27"/>
  <c r="AD24" i="27"/>
  <c r="AC24" i="27"/>
  <c r="AB24" i="27"/>
  <c r="AA24" i="27"/>
  <c r="X24" i="27"/>
  <c r="W24" i="27"/>
  <c r="V24" i="27"/>
  <c r="U24" i="27"/>
  <c r="T24" i="27"/>
  <c r="S24" i="27"/>
  <c r="R24" i="27"/>
  <c r="Q24" i="27"/>
  <c r="P24" i="27"/>
  <c r="O24" i="27"/>
  <c r="L24" i="27"/>
  <c r="K24" i="27"/>
  <c r="J24" i="27"/>
  <c r="I24" i="27"/>
  <c r="H24" i="27"/>
  <c r="G24" i="27"/>
  <c r="F24" i="27"/>
  <c r="E24" i="27"/>
  <c r="D24" i="27"/>
  <c r="C24" i="27"/>
  <c r="AJ23" i="27"/>
  <c r="AI23" i="27"/>
  <c r="AH23" i="27"/>
  <c r="AG23" i="27"/>
  <c r="AF23" i="27"/>
  <c r="AE23" i="27"/>
  <c r="AD23" i="27"/>
  <c r="AC23" i="27"/>
  <c r="AB23" i="27"/>
  <c r="AA23" i="27"/>
  <c r="X23" i="27"/>
  <c r="W23" i="27"/>
  <c r="V23" i="27"/>
  <c r="U23" i="27"/>
  <c r="T23" i="27"/>
  <c r="S23" i="27"/>
  <c r="R23" i="27"/>
  <c r="Q23" i="27"/>
  <c r="P23" i="27"/>
  <c r="O23" i="27"/>
  <c r="L23" i="27"/>
  <c r="K23" i="27"/>
  <c r="J23" i="27"/>
  <c r="I23" i="27"/>
  <c r="H23" i="27"/>
  <c r="G23" i="27"/>
  <c r="F23" i="27"/>
  <c r="E23" i="27"/>
  <c r="D23" i="27"/>
  <c r="C23" i="27"/>
  <c r="AJ22" i="27"/>
  <c r="AI22" i="27"/>
  <c r="AH22" i="27"/>
  <c r="AG22" i="27"/>
  <c r="AF22" i="27"/>
  <c r="AE22" i="27"/>
  <c r="AD22" i="27"/>
  <c r="AC22" i="27"/>
  <c r="AB22" i="27"/>
  <c r="AA22" i="27"/>
  <c r="X22" i="27"/>
  <c r="W22" i="27"/>
  <c r="V22" i="27"/>
  <c r="U22" i="27"/>
  <c r="T22" i="27"/>
  <c r="S22" i="27"/>
  <c r="R22" i="27"/>
  <c r="Q22" i="27"/>
  <c r="P22" i="27"/>
  <c r="O22" i="27"/>
  <c r="L22" i="27"/>
  <c r="K22" i="27"/>
  <c r="J22" i="27"/>
  <c r="I22" i="27"/>
  <c r="H22" i="27"/>
  <c r="G22" i="27"/>
  <c r="F22" i="27"/>
  <c r="E22" i="27"/>
  <c r="D22" i="27"/>
  <c r="C22" i="27"/>
  <c r="AJ21" i="27"/>
  <c r="AI21" i="27"/>
  <c r="AH21" i="27"/>
  <c r="AG21" i="27"/>
  <c r="AF21" i="27"/>
  <c r="AE21" i="27"/>
  <c r="AD21" i="27"/>
  <c r="AC21" i="27"/>
  <c r="AB21" i="27"/>
  <c r="AA21" i="27"/>
  <c r="X21" i="27"/>
  <c r="W21" i="27"/>
  <c r="V21" i="27"/>
  <c r="U21" i="27"/>
  <c r="T21" i="27"/>
  <c r="S21" i="27"/>
  <c r="R21" i="27"/>
  <c r="Q21" i="27"/>
  <c r="P21" i="27"/>
  <c r="O21" i="27"/>
  <c r="L21" i="27"/>
  <c r="K21" i="27"/>
  <c r="J21" i="27"/>
  <c r="I21" i="27"/>
  <c r="H21" i="27"/>
  <c r="G21" i="27"/>
  <c r="F21" i="27"/>
  <c r="E21" i="27"/>
  <c r="D21" i="27"/>
  <c r="C21" i="27"/>
  <c r="AJ20" i="27"/>
  <c r="AI20" i="27"/>
  <c r="AH20" i="27"/>
  <c r="AG20" i="27"/>
  <c r="AF20" i="27"/>
  <c r="AE20" i="27"/>
  <c r="AD20" i="27"/>
  <c r="AC20" i="27"/>
  <c r="AB20" i="27"/>
  <c r="AA20" i="27"/>
  <c r="X20" i="27"/>
  <c r="W20" i="27"/>
  <c r="V20" i="27"/>
  <c r="U20" i="27"/>
  <c r="T20" i="27"/>
  <c r="S20" i="27"/>
  <c r="R20" i="27"/>
  <c r="Q20" i="27"/>
  <c r="P20" i="27"/>
  <c r="O20" i="27"/>
  <c r="L20" i="27"/>
  <c r="K20" i="27"/>
  <c r="J20" i="27"/>
  <c r="I20" i="27"/>
  <c r="H20" i="27"/>
  <c r="G20" i="27"/>
  <c r="F20" i="27"/>
  <c r="E20" i="27"/>
  <c r="D20" i="27"/>
  <c r="C20" i="27"/>
  <c r="AJ19" i="27"/>
  <c r="AI19" i="27"/>
  <c r="AH19" i="27"/>
  <c r="AG19" i="27"/>
  <c r="AF19" i="27"/>
  <c r="AE19" i="27"/>
  <c r="AD19" i="27"/>
  <c r="AC19" i="27"/>
  <c r="AB19" i="27"/>
  <c r="AA19" i="27"/>
  <c r="X19" i="27"/>
  <c r="W19" i="27"/>
  <c r="V19" i="27"/>
  <c r="U19" i="27"/>
  <c r="T19" i="27"/>
  <c r="S19" i="27"/>
  <c r="R19" i="27"/>
  <c r="Q19" i="27"/>
  <c r="P19" i="27"/>
  <c r="O19" i="27"/>
  <c r="L19" i="27"/>
  <c r="K19" i="27"/>
  <c r="J19" i="27"/>
  <c r="I19" i="27"/>
  <c r="H19" i="27"/>
  <c r="G19" i="27"/>
  <c r="F19" i="27"/>
  <c r="E19" i="27"/>
  <c r="D19" i="27"/>
  <c r="C19" i="27"/>
  <c r="AJ18" i="27"/>
  <c r="AI18" i="27"/>
  <c r="AH18" i="27"/>
  <c r="AG18" i="27"/>
  <c r="AF18" i="27"/>
  <c r="AE18" i="27"/>
  <c r="AD18" i="27"/>
  <c r="AC18" i="27"/>
  <c r="AB18" i="27"/>
  <c r="AA18" i="27"/>
  <c r="X18" i="27"/>
  <c r="W18" i="27"/>
  <c r="V18" i="27"/>
  <c r="U18" i="27"/>
  <c r="T18" i="27"/>
  <c r="S18" i="27"/>
  <c r="R18" i="27"/>
  <c r="Q18" i="27"/>
  <c r="P18" i="27"/>
  <c r="O18" i="27"/>
  <c r="L18" i="27"/>
  <c r="K18" i="27"/>
  <c r="J18" i="27"/>
  <c r="I18" i="27"/>
  <c r="H18" i="27"/>
  <c r="G18" i="27"/>
  <c r="F18" i="27"/>
  <c r="E18" i="27"/>
  <c r="D18" i="27"/>
  <c r="C18" i="27"/>
  <c r="AJ17" i="27"/>
  <c r="AI17" i="27"/>
  <c r="AH17" i="27"/>
  <c r="AG17" i="27"/>
  <c r="AF17" i="27"/>
  <c r="AE17" i="27"/>
  <c r="AD17" i="27"/>
  <c r="AC17" i="27"/>
  <c r="AB17" i="27"/>
  <c r="AA17" i="27"/>
  <c r="X17" i="27"/>
  <c r="W17" i="27"/>
  <c r="V17" i="27"/>
  <c r="U17" i="27"/>
  <c r="T17" i="27"/>
  <c r="S17" i="27"/>
  <c r="R17" i="27"/>
  <c r="Q17" i="27"/>
  <c r="P17" i="27"/>
  <c r="O17" i="27"/>
  <c r="L17" i="27"/>
  <c r="K17" i="27"/>
  <c r="J17" i="27"/>
  <c r="I17" i="27"/>
  <c r="H17" i="27"/>
  <c r="G17" i="27"/>
  <c r="F17" i="27"/>
  <c r="E17" i="27"/>
  <c r="D17" i="27"/>
  <c r="C17" i="27"/>
  <c r="AJ16" i="27"/>
  <c r="AI16" i="27"/>
  <c r="AH16" i="27"/>
  <c r="AG16" i="27"/>
  <c r="AF16" i="27"/>
  <c r="AE16" i="27"/>
  <c r="AD16" i="27"/>
  <c r="AC16" i="27"/>
  <c r="AB16" i="27"/>
  <c r="AA16" i="27"/>
  <c r="X16" i="27"/>
  <c r="W16" i="27"/>
  <c r="V16" i="27"/>
  <c r="U16" i="27"/>
  <c r="T16" i="27"/>
  <c r="S16" i="27"/>
  <c r="R16" i="27"/>
  <c r="Q16" i="27"/>
  <c r="P16" i="27"/>
  <c r="O16" i="27"/>
  <c r="L16" i="27"/>
  <c r="K16" i="27"/>
  <c r="J16" i="27"/>
  <c r="I16" i="27"/>
  <c r="H16" i="27"/>
  <c r="G16" i="27"/>
  <c r="F16" i="27"/>
  <c r="E16" i="27"/>
  <c r="D16" i="27"/>
  <c r="C16" i="27"/>
  <c r="AJ15" i="27"/>
  <c r="AI15" i="27"/>
  <c r="AH15" i="27"/>
  <c r="AG15" i="27"/>
  <c r="AF15" i="27"/>
  <c r="AE15" i="27"/>
  <c r="AD15" i="27"/>
  <c r="AC15" i="27"/>
  <c r="AB15" i="27"/>
  <c r="AA15" i="27"/>
  <c r="X15" i="27"/>
  <c r="W15" i="27"/>
  <c r="V15" i="27"/>
  <c r="U15" i="27"/>
  <c r="T15" i="27"/>
  <c r="S15" i="27"/>
  <c r="R15" i="27"/>
  <c r="Q15" i="27"/>
  <c r="P15" i="27"/>
  <c r="O15" i="27"/>
  <c r="L15" i="27"/>
  <c r="K15" i="27"/>
  <c r="J15" i="27"/>
  <c r="I15" i="27"/>
  <c r="H15" i="27"/>
  <c r="G15" i="27"/>
  <c r="F15" i="27"/>
  <c r="E15" i="27"/>
  <c r="D15" i="27"/>
  <c r="C15" i="27"/>
  <c r="AJ14" i="27"/>
  <c r="AI14" i="27"/>
  <c r="AH14" i="27"/>
  <c r="AG14" i="27"/>
  <c r="AF14" i="27"/>
  <c r="AE14" i="27"/>
  <c r="AD14" i="27"/>
  <c r="AC14" i="27"/>
  <c r="AB14" i="27"/>
  <c r="AA14" i="27"/>
  <c r="X14" i="27"/>
  <c r="W14" i="27"/>
  <c r="V14" i="27"/>
  <c r="U14" i="27"/>
  <c r="T14" i="27"/>
  <c r="S14" i="27"/>
  <c r="R14" i="27"/>
  <c r="Q14" i="27"/>
  <c r="P14" i="27"/>
  <c r="O14" i="27"/>
  <c r="L14" i="27"/>
  <c r="K14" i="27"/>
  <c r="J14" i="27"/>
  <c r="I14" i="27"/>
  <c r="H14" i="27"/>
  <c r="G14" i="27"/>
  <c r="F14" i="27"/>
  <c r="E14" i="27"/>
  <c r="D14" i="27"/>
  <c r="C14" i="27"/>
  <c r="AJ13" i="27"/>
  <c r="AI13" i="27"/>
  <c r="AH13" i="27"/>
  <c r="AG13" i="27"/>
  <c r="AF13" i="27"/>
  <c r="AE13" i="27"/>
  <c r="AD13" i="27"/>
  <c r="AC13" i="27"/>
  <c r="AB13" i="27"/>
  <c r="AA13" i="27"/>
  <c r="X13" i="27"/>
  <c r="W13" i="27"/>
  <c r="V13" i="27"/>
  <c r="U13" i="27"/>
  <c r="T13" i="27"/>
  <c r="S13" i="27"/>
  <c r="R13" i="27"/>
  <c r="Q13" i="27"/>
  <c r="P13" i="27"/>
  <c r="O13" i="27"/>
  <c r="L13" i="27"/>
  <c r="K13" i="27"/>
  <c r="J13" i="27"/>
  <c r="I13" i="27"/>
  <c r="H13" i="27"/>
  <c r="G13" i="27"/>
  <c r="F13" i="27"/>
  <c r="E13" i="27"/>
  <c r="D13" i="27"/>
  <c r="C13" i="27"/>
  <c r="AJ12" i="27"/>
  <c r="AI12" i="27"/>
  <c r="AH12" i="27"/>
  <c r="AG12" i="27"/>
  <c r="AF12" i="27"/>
  <c r="AE12" i="27"/>
  <c r="AD12" i="27"/>
  <c r="AC12" i="27"/>
  <c r="AB12" i="27"/>
  <c r="AA12" i="27"/>
  <c r="X12" i="27"/>
  <c r="W12" i="27"/>
  <c r="V12" i="27"/>
  <c r="U12" i="27"/>
  <c r="T12" i="27"/>
  <c r="S12" i="27"/>
  <c r="R12" i="27"/>
  <c r="Q12" i="27"/>
  <c r="P12" i="27"/>
  <c r="O12" i="27"/>
  <c r="L12" i="27"/>
  <c r="K12" i="27"/>
  <c r="J12" i="27"/>
  <c r="I12" i="27"/>
  <c r="H12" i="27"/>
  <c r="G12" i="27"/>
  <c r="F12" i="27"/>
  <c r="E12" i="27"/>
  <c r="D12" i="27"/>
  <c r="C12" i="27"/>
  <c r="AJ11" i="27"/>
  <c r="AI11" i="27"/>
  <c r="AH11" i="27"/>
  <c r="AG11" i="27"/>
  <c r="AF11" i="27"/>
  <c r="AE11" i="27"/>
  <c r="AD11" i="27"/>
  <c r="AC11" i="27"/>
  <c r="AB11" i="27"/>
  <c r="AA11" i="27"/>
  <c r="X11" i="27"/>
  <c r="W11" i="27"/>
  <c r="V11" i="27"/>
  <c r="U11" i="27"/>
  <c r="T11" i="27"/>
  <c r="S11" i="27"/>
  <c r="R11" i="27"/>
  <c r="Q11" i="27"/>
  <c r="P11" i="27"/>
  <c r="O11" i="27"/>
  <c r="L11" i="27"/>
  <c r="K11" i="27"/>
  <c r="J11" i="27"/>
  <c r="I11" i="27"/>
  <c r="H11" i="27"/>
  <c r="G11" i="27"/>
  <c r="F11" i="27"/>
  <c r="E11" i="27"/>
  <c r="D11" i="27"/>
  <c r="C11" i="27"/>
  <c r="AJ10" i="27"/>
  <c r="AI10" i="27"/>
  <c r="AH10" i="27"/>
  <c r="AG10" i="27"/>
  <c r="AF10" i="27"/>
  <c r="AE10" i="27"/>
  <c r="AD10" i="27"/>
  <c r="AC10" i="27"/>
  <c r="AB10" i="27"/>
  <c r="AA10" i="27"/>
  <c r="X10" i="27"/>
  <c r="W10" i="27"/>
  <c r="V10" i="27"/>
  <c r="U10" i="27"/>
  <c r="T10" i="27"/>
  <c r="S10" i="27"/>
  <c r="R10" i="27"/>
  <c r="Q10" i="27"/>
  <c r="P10" i="27"/>
  <c r="O10" i="27"/>
  <c r="L10" i="27"/>
  <c r="K10" i="27"/>
  <c r="J10" i="27"/>
  <c r="I10" i="27"/>
  <c r="H10" i="27"/>
  <c r="G10" i="27"/>
  <c r="F10" i="27"/>
  <c r="E10" i="27"/>
  <c r="D10" i="27"/>
  <c r="C10" i="27"/>
  <c r="AJ9" i="27"/>
  <c r="AI9" i="27"/>
  <c r="AH9" i="27"/>
  <c r="AG9" i="27"/>
  <c r="AF9" i="27"/>
  <c r="AE9" i="27"/>
  <c r="AD9" i="27"/>
  <c r="AC9" i="27"/>
  <c r="AB9" i="27"/>
  <c r="AA9" i="27"/>
  <c r="X9" i="27"/>
  <c r="W9" i="27"/>
  <c r="V9" i="27"/>
  <c r="U9" i="27"/>
  <c r="T9" i="27"/>
  <c r="S9" i="27"/>
  <c r="R9" i="27"/>
  <c r="Q9" i="27"/>
  <c r="P9" i="27"/>
  <c r="O9" i="27"/>
  <c r="L9" i="27"/>
  <c r="K9" i="27"/>
  <c r="J9" i="27"/>
  <c r="I9" i="27"/>
  <c r="H9" i="27"/>
  <c r="G9" i="27"/>
  <c r="F9" i="27"/>
  <c r="E9" i="27"/>
  <c r="D9" i="27"/>
  <c r="C9" i="27"/>
  <c r="AJ8" i="27"/>
  <c r="AI8" i="27"/>
  <c r="AH8" i="27"/>
  <c r="AG8" i="27"/>
  <c r="AF8" i="27"/>
  <c r="AE8" i="27"/>
  <c r="AD8" i="27"/>
  <c r="AC8" i="27"/>
  <c r="AB8" i="27"/>
  <c r="AA8" i="27"/>
  <c r="X8" i="27"/>
  <c r="W8" i="27"/>
  <c r="V8" i="27"/>
  <c r="U8" i="27"/>
  <c r="T8" i="27"/>
  <c r="S8" i="27"/>
  <c r="R8" i="27"/>
  <c r="Q8" i="27"/>
  <c r="P8" i="27"/>
  <c r="O8" i="27"/>
  <c r="L8" i="27"/>
  <c r="K8" i="27"/>
  <c r="J8" i="27"/>
  <c r="I8" i="27"/>
  <c r="H8" i="27"/>
  <c r="G8" i="27"/>
  <c r="F8" i="27"/>
  <c r="E8" i="27"/>
  <c r="D8" i="27"/>
  <c r="C8" i="27"/>
  <c r="AJ7" i="27"/>
  <c r="AI7" i="27"/>
  <c r="AH7" i="27"/>
  <c r="AG7" i="27"/>
  <c r="AF7" i="27"/>
  <c r="AE7" i="27"/>
  <c r="AD7" i="27"/>
  <c r="AC7" i="27"/>
  <c r="AB7" i="27"/>
  <c r="AA7" i="27"/>
  <c r="X7" i="27"/>
  <c r="W7" i="27"/>
  <c r="V7" i="27"/>
  <c r="U7" i="27"/>
  <c r="T7" i="27"/>
  <c r="S7" i="27"/>
  <c r="R7" i="27"/>
  <c r="Q7" i="27"/>
  <c r="P7" i="27"/>
  <c r="O7" i="27"/>
  <c r="L7" i="27"/>
  <c r="K7" i="27"/>
  <c r="J7" i="27"/>
  <c r="I7" i="27"/>
  <c r="H7" i="27"/>
  <c r="G7" i="27"/>
  <c r="F7" i="27"/>
  <c r="E7" i="27"/>
  <c r="D7" i="27"/>
  <c r="C7" i="27"/>
  <c r="AL92" i="27"/>
  <c r="AK92" i="27"/>
  <c r="Z92" i="27"/>
  <c r="Y92" i="27"/>
  <c r="N92" i="27"/>
  <c r="M92" i="27"/>
  <c r="AL91" i="27"/>
  <c r="AK91" i="27"/>
  <c r="Z91" i="27"/>
  <c r="Y91" i="27"/>
  <c r="N91" i="27"/>
  <c r="M91" i="27"/>
  <c r="AL90" i="27"/>
  <c r="AK90" i="27"/>
  <c r="Z90" i="27"/>
  <c r="Y90" i="27"/>
  <c r="N90" i="27"/>
  <c r="M90" i="27"/>
  <c r="AL89" i="27"/>
  <c r="AK89" i="27"/>
  <c r="Z89" i="27"/>
  <c r="Y89" i="27"/>
  <c r="N89" i="27"/>
  <c r="M89" i="27"/>
  <c r="AL88" i="27"/>
  <c r="AK88" i="27"/>
  <c r="Z88" i="27"/>
  <c r="Y88" i="27"/>
  <c r="N88" i="27"/>
  <c r="M88" i="27"/>
  <c r="AL87" i="27"/>
  <c r="AK87" i="27"/>
  <c r="Z87" i="27"/>
  <c r="Y87" i="27"/>
  <c r="N87" i="27"/>
  <c r="M87" i="27"/>
  <c r="AL86" i="27"/>
  <c r="AK86" i="27"/>
  <c r="Z86" i="27"/>
  <c r="Y86" i="27"/>
  <c r="N86" i="27"/>
  <c r="M86" i="27"/>
  <c r="AL85" i="27"/>
  <c r="AK85" i="27"/>
  <c r="Z85" i="27"/>
  <c r="Y85" i="27"/>
  <c r="N85" i="27"/>
  <c r="M85" i="27"/>
  <c r="AL79" i="27"/>
  <c r="AK79" i="27"/>
  <c r="Z79" i="27"/>
  <c r="Y79" i="27"/>
  <c r="N79" i="27"/>
  <c r="M79" i="27"/>
  <c r="AL78" i="27"/>
  <c r="AK78" i="27"/>
  <c r="Z78" i="27"/>
  <c r="Y78" i="27"/>
  <c r="N78" i="27"/>
  <c r="M78" i="27"/>
  <c r="AL77" i="27"/>
  <c r="AK77" i="27"/>
  <c r="Z77" i="27"/>
  <c r="Y77" i="27"/>
  <c r="N77" i="27"/>
  <c r="M77" i="27"/>
  <c r="AL76" i="27"/>
  <c r="AK76" i="27"/>
  <c r="Z76" i="27"/>
  <c r="Y76" i="27"/>
  <c r="N76" i="27"/>
  <c r="M76" i="27"/>
  <c r="AL75" i="27"/>
  <c r="AK75" i="27"/>
  <c r="Z75" i="27"/>
  <c r="Y75" i="27"/>
  <c r="N75" i="27"/>
  <c r="M75" i="27"/>
  <c r="AL74" i="27"/>
  <c r="AK74" i="27"/>
  <c r="Z74" i="27"/>
  <c r="Y74" i="27"/>
  <c r="N74" i="27"/>
  <c r="M74" i="27"/>
  <c r="AL73" i="27"/>
  <c r="AK73" i="27"/>
  <c r="Z73" i="27"/>
  <c r="Y73" i="27"/>
  <c r="N73" i="27"/>
  <c r="M73" i="27"/>
  <c r="AL72" i="27"/>
  <c r="AK72" i="27"/>
  <c r="Z72" i="27"/>
  <c r="Y72" i="27"/>
  <c r="N72" i="27"/>
  <c r="M72" i="27"/>
  <c r="AL71" i="27"/>
  <c r="AK71" i="27"/>
  <c r="Z71" i="27"/>
  <c r="Y71" i="27"/>
  <c r="N71" i="27"/>
  <c r="M71" i="27"/>
  <c r="AL70" i="27"/>
  <c r="AK70" i="27"/>
  <c r="Z70" i="27"/>
  <c r="Y70" i="27"/>
  <c r="N70" i="27"/>
  <c r="M70" i="27"/>
  <c r="AL69" i="27"/>
  <c r="AK69" i="27"/>
  <c r="Z69" i="27"/>
  <c r="Y69" i="27"/>
  <c r="N69" i="27"/>
  <c r="M69" i="27"/>
  <c r="AL68" i="27"/>
  <c r="AK68" i="27"/>
  <c r="Z68" i="27"/>
  <c r="Y68" i="27"/>
  <c r="N68" i="27"/>
  <c r="M68" i="27"/>
  <c r="AL67" i="27"/>
  <c r="AK67" i="27"/>
  <c r="Z67" i="27"/>
  <c r="Y67" i="27"/>
  <c r="N67" i="27"/>
  <c r="M67" i="27"/>
  <c r="AL66" i="27"/>
  <c r="AK66" i="27"/>
  <c r="Z66" i="27"/>
  <c r="Y66" i="27"/>
  <c r="N66" i="27"/>
  <c r="M66" i="27"/>
  <c r="AL65" i="27"/>
  <c r="AK65" i="27"/>
  <c r="Z65" i="27"/>
  <c r="Y65" i="27"/>
  <c r="N65" i="27"/>
  <c r="M65" i="27"/>
  <c r="AL64" i="27"/>
  <c r="AK64" i="27"/>
  <c r="Z64" i="27"/>
  <c r="Y64" i="27"/>
  <c r="N64" i="27"/>
  <c r="M64" i="27"/>
  <c r="AL63" i="27"/>
  <c r="AK63" i="27"/>
  <c r="Z63" i="27"/>
  <c r="Y63" i="27"/>
  <c r="N63" i="27"/>
  <c r="M63" i="27"/>
  <c r="AL62" i="27"/>
  <c r="AK62" i="27"/>
  <c r="Z62" i="27"/>
  <c r="Y62" i="27"/>
  <c r="N62" i="27"/>
  <c r="M62" i="27"/>
  <c r="AL61" i="27"/>
  <c r="AK61" i="27"/>
  <c r="Z61" i="27"/>
  <c r="Y61" i="27"/>
  <c r="N61" i="27"/>
  <c r="M61" i="27"/>
  <c r="AL60" i="27"/>
  <c r="AK60" i="27"/>
  <c r="Z60" i="27"/>
  <c r="Y60" i="27"/>
  <c r="N60" i="27"/>
  <c r="M60" i="27"/>
  <c r="AL59" i="27"/>
  <c r="AK59" i="27"/>
  <c r="Z59" i="27"/>
  <c r="Y59" i="27"/>
  <c r="N59" i="27"/>
  <c r="M59" i="27"/>
  <c r="AL58" i="27"/>
  <c r="AK58" i="27"/>
  <c r="Z58" i="27"/>
  <c r="Y58" i="27"/>
  <c r="N58" i="27"/>
  <c r="M58" i="27"/>
  <c r="AL57" i="27"/>
  <c r="AK57" i="27"/>
  <c r="Z57" i="27"/>
  <c r="Y57" i="27"/>
  <c r="N57" i="27"/>
  <c r="M57" i="27"/>
  <c r="AL56" i="27"/>
  <c r="AK56" i="27"/>
  <c r="Z56" i="27"/>
  <c r="Y56" i="27"/>
  <c r="N56" i="27"/>
  <c r="M56" i="27"/>
  <c r="AL55" i="27"/>
  <c r="AK55" i="27"/>
  <c r="Z55" i="27"/>
  <c r="Y55" i="27"/>
  <c r="N55" i="27"/>
  <c r="M55" i="27"/>
  <c r="AL54" i="27"/>
  <c r="AK54" i="27"/>
  <c r="Z54" i="27"/>
  <c r="Y54" i="27"/>
  <c r="N54" i="27"/>
  <c r="M54" i="27"/>
  <c r="AL53" i="27"/>
  <c r="AK53" i="27"/>
  <c r="Z53" i="27"/>
  <c r="Y53" i="27"/>
  <c r="N53" i="27"/>
  <c r="M53" i="27"/>
  <c r="AL52" i="27"/>
  <c r="AK52" i="27"/>
  <c r="Z52" i="27"/>
  <c r="Y52" i="27"/>
  <c r="N52" i="27"/>
  <c r="M52" i="27"/>
  <c r="AL51" i="27"/>
  <c r="AK51" i="27"/>
  <c r="Z51" i="27"/>
  <c r="Y51" i="27"/>
  <c r="N51" i="27"/>
  <c r="M51" i="27"/>
  <c r="AL50" i="27"/>
  <c r="AK50" i="27"/>
  <c r="Z50" i="27"/>
  <c r="Y50" i="27"/>
  <c r="N50" i="27"/>
  <c r="M50" i="27"/>
  <c r="AL49" i="27"/>
  <c r="AK49" i="27"/>
  <c r="Z49" i="27"/>
  <c r="Y49" i="27"/>
  <c r="N49" i="27"/>
  <c r="M49" i="27"/>
  <c r="AL48" i="27"/>
  <c r="AK48" i="27"/>
  <c r="Z48" i="27"/>
  <c r="Y48" i="27"/>
  <c r="N48" i="27"/>
  <c r="M48" i="27"/>
  <c r="AL47" i="27"/>
  <c r="AK47" i="27"/>
  <c r="Z47" i="27"/>
  <c r="Y47" i="27"/>
  <c r="N47" i="27"/>
  <c r="M47" i="27"/>
  <c r="AL46" i="27"/>
  <c r="AK46" i="27"/>
  <c r="Z46" i="27"/>
  <c r="Y46" i="27"/>
  <c r="N46" i="27"/>
  <c r="M46" i="27"/>
  <c r="AL45" i="27"/>
  <c r="AK45" i="27"/>
  <c r="Z45" i="27"/>
  <c r="Y45" i="27"/>
  <c r="N45" i="27"/>
  <c r="M45" i="27"/>
  <c r="AL44" i="27"/>
  <c r="AK44" i="27"/>
  <c r="Z44" i="27"/>
  <c r="Y44" i="27"/>
  <c r="N44" i="27"/>
  <c r="M44" i="27"/>
  <c r="AL43" i="27"/>
  <c r="AK43" i="27"/>
  <c r="Z43" i="27"/>
  <c r="Y43" i="27"/>
  <c r="N43" i="27"/>
  <c r="M43" i="27"/>
  <c r="AL42" i="27"/>
  <c r="AK42" i="27"/>
  <c r="Z42" i="27"/>
  <c r="Y42" i="27"/>
  <c r="N42" i="27"/>
  <c r="M42" i="27"/>
  <c r="AL41" i="27"/>
  <c r="AK41" i="27"/>
  <c r="Z41" i="27"/>
  <c r="Y41" i="27"/>
  <c r="N41" i="27"/>
  <c r="M41" i="27"/>
  <c r="AL40" i="27"/>
  <c r="AK40" i="27"/>
  <c r="Z40" i="27"/>
  <c r="Y40" i="27"/>
  <c r="N40" i="27"/>
  <c r="M40" i="27"/>
  <c r="AL39" i="27"/>
  <c r="AK39" i="27"/>
  <c r="Z39" i="27"/>
  <c r="Y39" i="27"/>
  <c r="N39" i="27"/>
  <c r="M39" i="27"/>
  <c r="AL38" i="27"/>
  <c r="AK38" i="27"/>
  <c r="Z38" i="27"/>
  <c r="Y38" i="27"/>
  <c r="N38" i="27"/>
  <c r="M38" i="27"/>
  <c r="AL37" i="27"/>
  <c r="AK37" i="27"/>
  <c r="Z37" i="27"/>
  <c r="Y37" i="27"/>
  <c r="N37" i="27"/>
  <c r="M37" i="27"/>
  <c r="AL36" i="27"/>
  <c r="AK36" i="27"/>
  <c r="Z36" i="27"/>
  <c r="Y36" i="27"/>
  <c r="N36" i="27"/>
  <c r="M36" i="27"/>
  <c r="AL35" i="27"/>
  <c r="AK35" i="27"/>
  <c r="Z35" i="27"/>
  <c r="Y35" i="27"/>
  <c r="N35" i="27"/>
  <c r="M35" i="27"/>
  <c r="AL34" i="27"/>
  <c r="AK34" i="27"/>
  <c r="Z34" i="27"/>
  <c r="Y34" i="27"/>
  <c r="N34" i="27"/>
  <c r="M34" i="27"/>
  <c r="AL33" i="27"/>
  <c r="AK33" i="27"/>
  <c r="Z33" i="27"/>
  <c r="Y33" i="27"/>
  <c r="N33" i="27"/>
  <c r="M33" i="27"/>
  <c r="AL32" i="27"/>
  <c r="AK32" i="27"/>
  <c r="Z32" i="27"/>
  <c r="Y32" i="27"/>
  <c r="N32" i="27"/>
  <c r="M32" i="27"/>
  <c r="AL31" i="27"/>
  <c r="AK31" i="27"/>
  <c r="Z31" i="27"/>
  <c r="Y31" i="27"/>
  <c r="N31" i="27"/>
  <c r="M31" i="27"/>
  <c r="AL30" i="27"/>
  <c r="AK30" i="27"/>
  <c r="Z30" i="27"/>
  <c r="Y30" i="27"/>
  <c r="N30" i="27"/>
  <c r="M30" i="27"/>
  <c r="AL29" i="27"/>
  <c r="AK29" i="27"/>
  <c r="Z29" i="27"/>
  <c r="Y29" i="27"/>
  <c r="N29" i="27"/>
  <c r="M29" i="27"/>
  <c r="AL28" i="27"/>
  <c r="AK28" i="27"/>
  <c r="Z28" i="27"/>
  <c r="Y28" i="27"/>
  <c r="N28" i="27"/>
  <c r="M28" i="27"/>
  <c r="AL27" i="27"/>
  <c r="AK27" i="27"/>
  <c r="Z27" i="27"/>
  <c r="Y27" i="27"/>
  <c r="N27" i="27"/>
  <c r="M27" i="27"/>
  <c r="AL26" i="27"/>
  <c r="AK26" i="27"/>
  <c r="Z26" i="27"/>
  <c r="Y26" i="27"/>
  <c r="N26" i="27"/>
  <c r="M26" i="27"/>
  <c r="AL25" i="27"/>
  <c r="AK25" i="27"/>
  <c r="Z25" i="27"/>
  <c r="Y25" i="27"/>
  <c r="N25" i="27"/>
  <c r="M25" i="27"/>
  <c r="AL24" i="27"/>
  <c r="AK24" i="27"/>
  <c r="Z24" i="27"/>
  <c r="Y24" i="27"/>
  <c r="N24" i="27"/>
  <c r="M24" i="27"/>
  <c r="AL23" i="27"/>
  <c r="AK23" i="27"/>
  <c r="Z23" i="27"/>
  <c r="Y23" i="27"/>
  <c r="N23" i="27"/>
  <c r="M23" i="27"/>
  <c r="AL22" i="27"/>
  <c r="AK22" i="27"/>
  <c r="Z22" i="27"/>
  <c r="Y22" i="27"/>
  <c r="N22" i="27"/>
  <c r="M22" i="27"/>
  <c r="AL21" i="27"/>
  <c r="AK21" i="27"/>
  <c r="Z21" i="27"/>
  <c r="Y21" i="27"/>
  <c r="N21" i="27"/>
  <c r="M21" i="27"/>
  <c r="AL20" i="27"/>
  <c r="AK20" i="27"/>
  <c r="Z20" i="27"/>
  <c r="Y20" i="27"/>
  <c r="N20" i="27"/>
  <c r="M20" i="27"/>
  <c r="AL19" i="27"/>
  <c r="AK19" i="27"/>
  <c r="Z19" i="27"/>
  <c r="Y19" i="27"/>
  <c r="N19" i="27"/>
  <c r="M19" i="27"/>
  <c r="AL18" i="27"/>
  <c r="AK18" i="27"/>
  <c r="Z18" i="27"/>
  <c r="Y18" i="27"/>
  <c r="N18" i="27"/>
  <c r="M18" i="27"/>
  <c r="AL17" i="27"/>
  <c r="AK17" i="27"/>
  <c r="Z17" i="27"/>
  <c r="Y17" i="27"/>
  <c r="N17" i="27"/>
  <c r="M17" i="27"/>
  <c r="AL16" i="27"/>
  <c r="AK16" i="27"/>
  <c r="Z16" i="27"/>
  <c r="Y16" i="27"/>
  <c r="N16" i="27"/>
  <c r="M16" i="27"/>
  <c r="AL15" i="27"/>
  <c r="AK15" i="27"/>
  <c r="Z15" i="27"/>
  <c r="Y15" i="27"/>
  <c r="N15" i="27"/>
  <c r="M15" i="27"/>
  <c r="AL14" i="27"/>
  <c r="AK14" i="27"/>
  <c r="Z14" i="27"/>
  <c r="Y14" i="27"/>
  <c r="N14" i="27"/>
  <c r="M14" i="27"/>
  <c r="AL13" i="27"/>
  <c r="AK13" i="27"/>
  <c r="Z13" i="27"/>
  <c r="Y13" i="27"/>
  <c r="N13" i="27"/>
  <c r="M13" i="27"/>
  <c r="AL12" i="27"/>
  <c r="AK12" i="27"/>
  <c r="Z12" i="27"/>
  <c r="Y12" i="27"/>
  <c r="N12" i="27"/>
  <c r="M12" i="27"/>
  <c r="AL11" i="27"/>
  <c r="AK11" i="27"/>
  <c r="Z11" i="27"/>
  <c r="Y11" i="27"/>
  <c r="N11" i="27"/>
  <c r="M11" i="27"/>
  <c r="AL10" i="27"/>
  <c r="AK10" i="27"/>
  <c r="Z10" i="27"/>
  <c r="Y10" i="27"/>
  <c r="N10" i="27"/>
  <c r="M10" i="27"/>
  <c r="N9" i="27"/>
  <c r="M9" i="27"/>
  <c r="AN8" i="27"/>
  <c r="AL8" i="27"/>
  <c r="AK8" i="27"/>
  <c r="Z8" i="27"/>
  <c r="Y8" i="27"/>
  <c r="N8" i="27"/>
  <c r="M8" i="27"/>
  <c r="AL7" i="27"/>
  <c r="AK7" i="27"/>
  <c r="Z7" i="27"/>
  <c r="Y7" i="27"/>
  <c r="N7" i="27"/>
  <c r="M7" i="27"/>
  <c r="AJ92" i="26"/>
  <c r="AI92" i="26"/>
  <c r="AH92" i="26"/>
  <c r="AG92" i="26"/>
  <c r="AF92" i="26"/>
  <c r="AE92" i="26"/>
  <c r="AD92" i="26"/>
  <c r="AC92" i="26"/>
  <c r="AB92" i="26"/>
  <c r="AA92" i="26"/>
  <c r="AJ91" i="26"/>
  <c r="AI91" i="26"/>
  <c r="AH91" i="26"/>
  <c r="AG91" i="26"/>
  <c r="AF91" i="26"/>
  <c r="AE91" i="26"/>
  <c r="AD91" i="26"/>
  <c r="AC91" i="26"/>
  <c r="AB91" i="26"/>
  <c r="AA91" i="26"/>
  <c r="AJ90" i="26"/>
  <c r="AI90" i="26"/>
  <c r="AH90" i="26"/>
  <c r="AG90" i="26"/>
  <c r="AF90" i="26"/>
  <c r="AE90" i="26"/>
  <c r="AD90" i="26"/>
  <c r="AC90" i="26"/>
  <c r="AB90" i="26"/>
  <c r="AA90" i="26"/>
  <c r="AJ89" i="26"/>
  <c r="AI89" i="26"/>
  <c r="AH89" i="26"/>
  <c r="AG89" i="26"/>
  <c r="AF89" i="26"/>
  <c r="AE89" i="26"/>
  <c r="AD89" i="26"/>
  <c r="AC89" i="26"/>
  <c r="AB89" i="26"/>
  <c r="AA89" i="26"/>
  <c r="AJ88" i="26"/>
  <c r="AI88" i="26"/>
  <c r="AH88" i="26"/>
  <c r="AG88" i="26"/>
  <c r="AF88" i="26"/>
  <c r="AE88" i="26"/>
  <c r="AD88" i="26"/>
  <c r="AC88" i="26"/>
  <c r="AB88" i="26"/>
  <c r="AA88" i="26"/>
  <c r="AJ87" i="26"/>
  <c r="AI87" i="26"/>
  <c r="AH87" i="26"/>
  <c r="AG87" i="26"/>
  <c r="AF87" i="26"/>
  <c r="AE87" i="26"/>
  <c r="AD87" i="26"/>
  <c r="AC87" i="26"/>
  <c r="AB87" i="26"/>
  <c r="AA87" i="26"/>
  <c r="AJ86" i="26"/>
  <c r="AI86" i="26"/>
  <c r="AH86" i="26"/>
  <c r="AG86" i="26"/>
  <c r="AF86" i="26"/>
  <c r="AE86" i="26"/>
  <c r="AD86" i="26"/>
  <c r="AC86" i="26"/>
  <c r="AB86" i="26"/>
  <c r="AA86" i="26"/>
  <c r="AJ85" i="26"/>
  <c r="AI85" i="26"/>
  <c r="AH85" i="26"/>
  <c r="AG85" i="26"/>
  <c r="AF85" i="26"/>
  <c r="AE85" i="26"/>
  <c r="AD85" i="26"/>
  <c r="AC85" i="26"/>
  <c r="AB85" i="26"/>
  <c r="AA85" i="26"/>
  <c r="AI81" i="26"/>
  <c r="AE81" i="26"/>
  <c r="AA81" i="26"/>
  <c r="AJ79" i="26"/>
  <c r="AI79" i="26"/>
  <c r="AH79" i="26"/>
  <c r="AG79" i="26"/>
  <c r="AF79" i="26"/>
  <c r="AE79" i="26"/>
  <c r="AD79" i="26"/>
  <c r="AC79" i="26"/>
  <c r="AB79" i="26"/>
  <c r="AA79" i="26"/>
  <c r="AJ78" i="26"/>
  <c r="AI78" i="26"/>
  <c r="AH78" i="26"/>
  <c r="AG78" i="26"/>
  <c r="AF78" i="26"/>
  <c r="AE78" i="26"/>
  <c r="AD78" i="26"/>
  <c r="AC78" i="26"/>
  <c r="AB78" i="26"/>
  <c r="AA78" i="26"/>
  <c r="AJ77" i="26"/>
  <c r="AI77" i="26"/>
  <c r="AH77" i="26"/>
  <c r="AG77" i="26"/>
  <c r="AF77" i="26"/>
  <c r="AE77" i="26"/>
  <c r="AD77" i="26"/>
  <c r="AC77" i="26"/>
  <c r="AB77" i="26"/>
  <c r="AA77" i="26"/>
  <c r="AJ76" i="26"/>
  <c r="AI76" i="26"/>
  <c r="AH76" i="26"/>
  <c r="AG76" i="26"/>
  <c r="AF76" i="26"/>
  <c r="AE76" i="26"/>
  <c r="AD76" i="26"/>
  <c r="AC76" i="26"/>
  <c r="AB76" i="26"/>
  <c r="AA76" i="26"/>
  <c r="AJ75" i="26"/>
  <c r="AI75" i="26"/>
  <c r="AH75" i="26"/>
  <c r="AG75" i="26"/>
  <c r="AF75" i="26"/>
  <c r="AE75" i="26"/>
  <c r="AD75" i="26"/>
  <c r="AC75" i="26"/>
  <c r="AB75" i="26"/>
  <c r="AA75" i="26"/>
  <c r="AJ74" i="26"/>
  <c r="AI74" i="26"/>
  <c r="AH74" i="26"/>
  <c r="AG74" i="26"/>
  <c r="AF74" i="26"/>
  <c r="AE74" i="26"/>
  <c r="AD74" i="26"/>
  <c r="AC74" i="26"/>
  <c r="AB74" i="26"/>
  <c r="AA74" i="26"/>
  <c r="AJ73" i="26"/>
  <c r="AI73" i="26"/>
  <c r="AH73" i="26"/>
  <c r="AG73" i="26"/>
  <c r="AF73" i="26"/>
  <c r="AE73" i="26"/>
  <c r="AD73" i="26"/>
  <c r="AC73" i="26"/>
  <c r="AB73" i="26"/>
  <c r="AA73" i="26"/>
  <c r="AJ72" i="26"/>
  <c r="AI72" i="26"/>
  <c r="AH72" i="26"/>
  <c r="AG72" i="26"/>
  <c r="AF72" i="26"/>
  <c r="AE72" i="26"/>
  <c r="AD72" i="26"/>
  <c r="AC72" i="26"/>
  <c r="AB72" i="26"/>
  <c r="AA72" i="26"/>
  <c r="AJ71" i="26"/>
  <c r="AI71" i="26"/>
  <c r="AH71" i="26"/>
  <c r="AG71" i="26"/>
  <c r="AF71" i="26"/>
  <c r="AE71" i="26"/>
  <c r="AD71" i="26"/>
  <c r="AC71" i="26"/>
  <c r="AB71" i="26"/>
  <c r="AA71" i="26"/>
  <c r="AJ70" i="26"/>
  <c r="AI70" i="26"/>
  <c r="AH70" i="26"/>
  <c r="AG70" i="26"/>
  <c r="AF70" i="26"/>
  <c r="AE70" i="26"/>
  <c r="AD70" i="26"/>
  <c r="AC70" i="26"/>
  <c r="AB70" i="26"/>
  <c r="AA70" i="26"/>
  <c r="AJ69" i="26"/>
  <c r="AI69" i="26"/>
  <c r="AH69" i="26"/>
  <c r="AG69" i="26"/>
  <c r="AF69" i="26"/>
  <c r="AE69" i="26"/>
  <c r="AD69" i="26"/>
  <c r="AC69" i="26"/>
  <c r="AB69" i="26"/>
  <c r="AA69" i="26"/>
  <c r="AJ68" i="26"/>
  <c r="AI68" i="26"/>
  <c r="AH68" i="26"/>
  <c r="AG68" i="26"/>
  <c r="AF68" i="26"/>
  <c r="AE68" i="26"/>
  <c r="AD68" i="26"/>
  <c r="AC68" i="26"/>
  <c r="AB68" i="26"/>
  <c r="AA68" i="26"/>
  <c r="AJ67" i="26"/>
  <c r="AI67" i="26"/>
  <c r="AH67" i="26"/>
  <c r="AG67" i="26"/>
  <c r="AF67" i="26"/>
  <c r="AE67" i="26"/>
  <c r="AD67" i="26"/>
  <c r="AC67" i="26"/>
  <c r="AB67" i="26"/>
  <c r="AA67" i="26"/>
  <c r="AJ66" i="26"/>
  <c r="AI66" i="26"/>
  <c r="AH66" i="26"/>
  <c r="AG66" i="26"/>
  <c r="AF66" i="26"/>
  <c r="AE66" i="26"/>
  <c r="AD66" i="26"/>
  <c r="AC66" i="26"/>
  <c r="AB66" i="26"/>
  <c r="AA66" i="26"/>
  <c r="AJ65" i="26"/>
  <c r="AI65" i="26"/>
  <c r="AH65" i="26"/>
  <c r="AG65" i="26"/>
  <c r="AF65" i="26"/>
  <c r="AE65" i="26"/>
  <c r="AD65" i="26"/>
  <c r="AC65" i="26"/>
  <c r="AB65" i="26"/>
  <c r="AA65" i="26"/>
  <c r="AJ64" i="26"/>
  <c r="AI64" i="26"/>
  <c r="AH64" i="26"/>
  <c r="AG64" i="26"/>
  <c r="AF64" i="26"/>
  <c r="AE64" i="26"/>
  <c r="AD64" i="26"/>
  <c r="AC64" i="26"/>
  <c r="AB64" i="26"/>
  <c r="AA64" i="26"/>
  <c r="AJ63" i="26"/>
  <c r="AI63" i="26"/>
  <c r="AH63" i="26"/>
  <c r="AG63" i="26"/>
  <c r="AF63" i="26"/>
  <c r="AE63" i="26"/>
  <c r="AD63" i="26"/>
  <c r="AC63" i="26"/>
  <c r="AB63" i="26"/>
  <c r="AA63" i="26"/>
  <c r="AJ62" i="26"/>
  <c r="AI62" i="26"/>
  <c r="AH62" i="26"/>
  <c r="AG62" i="26"/>
  <c r="AF62" i="26"/>
  <c r="AE62" i="26"/>
  <c r="AD62" i="26"/>
  <c r="AC62" i="26"/>
  <c r="AB62" i="26"/>
  <c r="AA62" i="26"/>
  <c r="AJ61" i="26"/>
  <c r="AI61" i="26"/>
  <c r="AH61" i="26"/>
  <c r="AG61" i="26"/>
  <c r="AF61" i="26"/>
  <c r="AE61" i="26"/>
  <c r="AD61" i="26"/>
  <c r="AC61" i="26"/>
  <c r="AB61" i="26"/>
  <c r="AA61" i="26"/>
  <c r="AJ60" i="26"/>
  <c r="AI60" i="26"/>
  <c r="AH60" i="26"/>
  <c r="AG60" i="26"/>
  <c r="AF60" i="26"/>
  <c r="AE60" i="26"/>
  <c r="AD60" i="26"/>
  <c r="AC60" i="26"/>
  <c r="AB60" i="26"/>
  <c r="AA60" i="26"/>
  <c r="AJ59" i="26"/>
  <c r="AI59" i="26"/>
  <c r="AH59" i="26"/>
  <c r="AG59" i="26"/>
  <c r="AF59" i="26"/>
  <c r="AE59" i="26"/>
  <c r="AD59" i="26"/>
  <c r="AC59" i="26"/>
  <c r="AB59" i="26"/>
  <c r="AA59" i="26"/>
  <c r="AJ58" i="26"/>
  <c r="AI58" i="26"/>
  <c r="AH58" i="26"/>
  <c r="AG58" i="26"/>
  <c r="AF58" i="26"/>
  <c r="AE58" i="26"/>
  <c r="AD58" i="26"/>
  <c r="AC58" i="26"/>
  <c r="AB58" i="26"/>
  <c r="AA58" i="26"/>
  <c r="AJ57" i="26"/>
  <c r="AI57" i="26"/>
  <c r="AH57" i="26"/>
  <c r="AG57" i="26"/>
  <c r="AF57" i="26"/>
  <c r="AE57" i="26"/>
  <c r="AD57" i="26"/>
  <c r="AC57" i="26"/>
  <c r="AB57" i="26"/>
  <c r="AA57" i="26"/>
  <c r="AJ56" i="26"/>
  <c r="AI56" i="26"/>
  <c r="AH56" i="26"/>
  <c r="AG56" i="26"/>
  <c r="AF56" i="26"/>
  <c r="AE56" i="26"/>
  <c r="AD56" i="26"/>
  <c r="AC56" i="26"/>
  <c r="AB56" i="26"/>
  <c r="AA56" i="26"/>
  <c r="AJ55" i="26"/>
  <c r="AI55" i="26"/>
  <c r="AH55" i="26"/>
  <c r="AG55" i="26"/>
  <c r="AF55" i="26"/>
  <c r="AE55" i="26"/>
  <c r="AD55" i="26"/>
  <c r="AC55" i="26"/>
  <c r="AB55" i="26"/>
  <c r="AA55" i="26"/>
  <c r="AJ54" i="26"/>
  <c r="AI54" i="26"/>
  <c r="AH54" i="26"/>
  <c r="AG54" i="26"/>
  <c r="AF54" i="26"/>
  <c r="AE54" i="26"/>
  <c r="AD54" i="26"/>
  <c r="AC54" i="26"/>
  <c r="AB54" i="26"/>
  <c r="AA54" i="26"/>
  <c r="AJ53" i="26"/>
  <c r="AI53" i="26"/>
  <c r="AH53" i="26"/>
  <c r="AG53" i="26"/>
  <c r="AF53" i="26"/>
  <c r="AE53" i="26"/>
  <c r="AD53" i="26"/>
  <c r="AC53" i="26"/>
  <c r="AB53" i="26"/>
  <c r="AA53" i="26"/>
  <c r="AJ52" i="26"/>
  <c r="AI52" i="26"/>
  <c r="AH52" i="26"/>
  <c r="AG52" i="26"/>
  <c r="AF52" i="26"/>
  <c r="AE52" i="26"/>
  <c r="AD52" i="26"/>
  <c r="AC52" i="26"/>
  <c r="AB52" i="26"/>
  <c r="AA52" i="26"/>
  <c r="AJ51" i="26"/>
  <c r="AI51" i="26"/>
  <c r="AH51" i="26"/>
  <c r="AG51" i="26"/>
  <c r="AF51" i="26"/>
  <c r="AE51" i="26"/>
  <c r="AD51" i="26"/>
  <c r="AC51" i="26"/>
  <c r="AB51" i="26"/>
  <c r="AA51" i="26"/>
  <c r="AJ50" i="26"/>
  <c r="AI50" i="26"/>
  <c r="AH50" i="26"/>
  <c r="AG50" i="26"/>
  <c r="AF50" i="26"/>
  <c r="AE50" i="26"/>
  <c r="AD50" i="26"/>
  <c r="AC50" i="26"/>
  <c r="AB50" i="26"/>
  <c r="AA50" i="26"/>
  <c r="AJ49" i="26"/>
  <c r="AI49" i="26"/>
  <c r="AH49" i="26"/>
  <c r="AG49" i="26"/>
  <c r="AF49" i="26"/>
  <c r="AE49" i="26"/>
  <c r="AD49" i="26"/>
  <c r="AC49" i="26"/>
  <c r="AB49" i="26"/>
  <c r="AA49" i="26"/>
  <c r="AJ48" i="26"/>
  <c r="AI48" i="26"/>
  <c r="AH48" i="26"/>
  <c r="AG48" i="26"/>
  <c r="AF48" i="26"/>
  <c r="AE48" i="26"/>
  <c r="AD48" i="26"/>
  <c r="AC48" i="26"/>
  <c r="AB48" i="26"/>
  <c r="AA48" i="26"/>
  <c r="AJ47" i="26"/>
  <c r="AI47" i="26"/>
  <c r="AH47" i="26"/>
  <c r="AG47" i="26"/>
  <c r="AF47" i="26"/>
  <c r="AE47" i="26"/>
  <c r="AD47" i="26"/>
  <c r="AC47" i="26"/>
  <c r="AB47" i="26"/>
  <c r="AA47" i="26"/>
  <c r="AJ46" i="26"/>
  <c r="AI46" i="26"/>
  <c r="AH46" i="26"/>
  <c r="AG46" i="26"/>
  <c r="AF46" i="26"/>
  <c r="AE46" i="26"/>
  <c r="AD46" i="26"/>
  <c r="AC46" i="26"/>
  <c r="AB46" i="26"/>
  <c r="AA46" i="26"/>
  <c r="AJ45" i="26"/>
  <c r="AI45" i="26"/>
  <c r="AH45" i="26"/>
  <c r="AG45" i="26"/>
  <c r="AF45" i="26"/>
  <c r="AE45" i="26"/>
  <c r="AD45" i="26"/>
  <c r="AC45" i="26"/>
  <c r="AB45" i="26"/>
  <c r="AA45" i="26"/>
  <c r="AJ44" i="26"/>
  <c r="AI44" i="26"/>
  <c r="AH44" i="26"/>
  <c r="AG44" i="26"/>
  <c r="AF44" i="26"/>
  <c r="AE44" i="26"/>
  <c r="AD44" i="26"/>
  <c r="AC44" i="26"/>
  <c r="AB44" i="26"/>
  <c r="AA44" i="26"/>
  <c r="AJ43" i="26"/>
  <c r="AI43" i="26"/>
  <c r="AH43" i="26"/>
  <c r="AG43" i="26"/>
  <c r="AF43" i="26"/>
  <c r="AE43" i="26"/>
  <c r="AD43" i="26"/>
  <c r="AC43" i="26"/>
  <c r="AB43" i="26"/>
  <c r="AA43" i="26"/>
  <c r="AJ42" i="26"/>
  <c r="AI42" i="26"/>
  <c r="AH42" i="26"/>
  <c r="AG42" i="26"/>
  <c r="AF42" i="26"/>
  <c r="AE42" i="26"/>
  <c r="AD42" i="26"/>
  <c r="AC42" i="26"/>
  <c r="AB42" i="26"/>
  <c r="AA42" i="26"/>
  <c r="AJ41" i="26"/>
  <c r="AI41" i="26"/>
  <c r="AH41" i="26"/>
  <c r="AG41" i="26"/>
  <c r="AF41" i="26"/>
  <c r="AE41" i="26"/>
  <c r="AD41" i="26"/>
  <c r="AC41" i="26"/>
  <c r="AB41" i="26"/>
  <c r="AA41" i="26"/>
  <c r="AJ40" i="26"/>
  <c r="AI40" i="26"/>
  <c r="AH40" i="26"/>
  <c r="AG40" i="26"/>
  <c r="AF40" i="26"/>
  <c r="AE40" i="26"/>
  <c r="AD40" i="26"/>
  <c r="AC40" i="26"/>
  <c r="AB40" i="26"/>
  <c r="AA40" i="26"/>
  <c r="AJ39" i="26"/>
  <c r="AI39" i="26"/>
  <c r="AH39" i="26"/>
  <c r="AG39" i="26"/>
  <c r="AF39" i="26"/>
  <c r="AE39" i="26"/>
  <c r="AD39" i="26"/>
  <c r="AC39" i="26"/>
  <c r="AB39" i="26"/>
  <c r="AA39" i="26"/>
  <c r="AJ38" i="26"/>
  <c r="AI38" i="26"/>
  <c r="AH38" i="26"/>
  <c r="AG38" i="26"/>
  <c r="AF38" i="26"/>
  <c r="AE38" i="26"/>
  <c r="AD38" i="26"/>
  <c r="AC38" i="26"/>
  <c r="AB38" i="26"/>
  <c r="AA38" i="26"/>
  <c r="AJ37" i="26"/>
  <c r="AI37" i="26"/>
  <c r="AH37" i="26"/>
  <c r="AG37" i="26"/>
  <c r="AF37" i="26"/>
  <c r="AE37" i="26"/>
  <c r="AD37" i="26"/>
  <c r="AC37" i="26"/>
  <c r="AB37" i="26"/>
  <c r="AA37" i="26"/>
  <c r="AJ36" i="26"/>
  <c r="AI36" i="26"/>
  <c r="AH36" i="26"/>
  <c r="AG36" i="26"/>
  <c r="AF36" i="26"/>
  <c r="AE36" i="26"/>
  <c r="AD36" i="26"/>
  <c r="AC36" i="26"/>
  <c r="AB36" i="26"/>
  <c r="AA36" i="26"/>
  <c r="AJ35" i="26"/>
  <c r="AI35" i="26"/>
  <c r="AH35" i="26"/>
  <c r="AG35" i="26"/>
  <c r="AF35" i="26"/>
  <c r="AE35" i="26"/>
  <c r="AD35" i="26"/>
  <c r="AC35" i="26"/>
  <c r="AB35" i="26"/>
  <c r="AA35" i="26"/>
  <c r="AJ34" i="26"/>
  <c r="AI34" i="26"/>
  <c r="AH34" i="26"/>
  <c r="AG34" i="26"/>
  <c r="AF34" i="26"/>
  <c r="AE34" i="26"/>
  <c r="AD34" i="26"/>
  <c r="AC34" i="26"/>
  <c r="AB34" i="26"/>
  <c r="AA34" i="26"/>
  <c r="AJ33" i="26"/>
  <c r="AI33" i="26"/>
  <c r="AH33" i="26"/>
  <c r="AG33" i="26"/>
  <c r="AF33" i="26"/>
  <c r="AE33" i="26"/>
  <c r="AD33" i="26"/>
  <c r="AC33" i="26"/>
  <c r="AB33" i="26"/>
  <c r="AA33" i="26"/>
  <c r="AJ32" i="26"/>
  <c r="AI32" i="26"/>
  <c r="AH32" i="26"/>
  <c r="AG32" i="26"/>
  <c r="AF32" i="26"/>
  <c r="AE32" i="26"/>
  <c r="AD32" i="26"/>
  <c r="AC32" i="26"/>
  <c r="AB32" i="26"/>
  <c r="AA32" i="26"/>
  <c r="AJ31" i="26"/>
  <c r="AI31" i="26"/>
  <c r="AH31" i="26"/>
  <c r="AG31" i="26"/>
  <c r="AF31" i="26"/>
  <c r="AE31" i="26"/>
  <c r="AD31" i="26"/>
  <c r="AC31" i="26"/>
  <c r="AB31" i="26"/>
  <c r="AA31" i="26"/>
  <c r="AJ30" i="26"/>
  <c r="AI30" i="26"/>
  <c r="AH30" i="26"/>
  <c r="AG30" i="26"/>
  <c r="AF30" i="26"/>
  <c r="AE30" i="26"/>
  <c r="AD30" i="26"/>
  <c r="AC30" i="26"/>
  <c r="AB30" i="26"/>
  <c r="AA30" i="26"/>
  <c r="AJ29" i="26"/>
  <c r="AI29" i="26"/>
  <c r="AH29" i="26"/>
  <c r="AG29" i="26"/>
  <c r="AF29" i="26"/>
  <c r="AE29" i="26"/>
  <c r="AD29" i="26"/>
  <c r="AC29" i="26"/>
  <c r="AB29" i="26"/>
  <c r="AA29" i="26"/>
  <c r="AJ28" i="26"/>
  <c r="AI28" i="26"/>
  <c r="AH28" i="26"/>
  <c r="AG28" i="26"/>
  <c r="AF28" i="26"/>
  <c r="AE28" i="26"/>
  <c r="AD28" i="26"/>
  <c r="AC28" i="26"/>
  <c r="AB28" i="26"/>
  <c r="AA28" i="26"/>
  <c r="AJ27" i="26"/>
  <c r="AI27" i="26"/>
  <c r="AH27" i="26"/>
  <c r="AG27" i="26"/>
  <c r="AF27" i="26"/>
  <c r="AE27" i="26"/>
  <c r="AD27" i="26"/>
  <c r="AC27" i="26"/>
  <c r="AB27" i="26"/>
  <c r="AA27" i="26"/>
  <c r="AJ26" i="26"/>
  <c r="AI26" i="26"/>
  <c r="AH26" i="26"/>
  <c r="AG26" i="26"/>
  <c r="AF26" i="26"/>
  <c r="AE26" i="26"/>
  <c r="AD26" i="26"/>
  <c r="AC26" i="26"/>
  <c r="AB26" i="26"/>
  <c r="AA26" i="26"/>
  <c r="AJ25" i="26"/>
  <c r="AI25" i="26"/>
  <c r="AH25" i="26"/>
  <c r="AG25" i="26"/>
  <c r="AF25" i="26"/>
  <c r="AE25" i="26"/>
  <c r="AD25" i="26"/>
  <c r="AC25" i="26"/>
  <c r="AB25" i="26"/>
  <c r="AA25" i="26"/>
  <c r="AJ24" i="26"/>
  <c r="AI24" i="26"/>
  <c r="AH24" i="26"/>
  <c r="AG24" i="26"/>
  <c r="AF24" i="26"/>
  <c r="AE24" i="26"/>
  <c r="AD24" i="26"/>
  <c r="AC24" i="26"/>
  <c r="AB24" i="26"/>
  <c r="AA24" i="26"/>
  <c r="AJ23" i="26"/>
  <c r="AI23" i="26"/>
  <c r="AH23" i="26"/>
  <c r="AG23" i="26"/>
  <c r="AF23" i="26"/>
  <c r="AE23" i="26"/>
  <c r="AD23" i="26"/>
  <c r="AC23" i="26"/>
  <c r="AB23" i="26"/>
  <c r="AA23" i="26"/>
  <c r="AJ22" i="26"/>
  <c r="AI22" i="26"/>
  <c r="AH22" i="26"/>
  <c r="AG22" i="26"/>
  <c r="AF22" i="26"/>
  <c r="AE22" i="26"/>
  <c r="AD22" i="26"/>
  <c r="AC22" i="26"/>
  <c r="AB22" i="26"/>
  <c r="AA22" i="26"/>
  <c r="AJ21" i="26"/>
  <c r="AI21" i="26"/>
  <c r="AH21" i="26"/>
  <c r="AG21" i="26"/>
  <c r="AF21" i="26"/>
  <c r="AE21" i="26"/>
  <c r="AD21" i="26"/>
  <c r="AC21" i="26"/>
  <c r="AB21" i="26"/>
  <c r="AA21" i="26"/>
  <c r="AJ20" i="26"/>
  <c r="AI20" i="26"/>
  <c r="AH20" i="26"/>
  <c r="AG20" i="26"/>
  <c r="AF20" i="26"/>
  <c r="AE20" i="26"/>
  <c r="AD20" i="26"/>
  <c r="AC20" i="26"/>
  <c r="AB20" i="26"/>
  <c r="AA20" i="26"/>
  <c r="AJ19" i="26"/>
  <c r="AI19" i="26"/>
  <c r="AH19" i="26"/>
  <c r="AG19" i="26"/>
  <c r="AF19" i="26"/>
  <c r="AE19" i="26"/>
  <c r="AD19" i="26"/>
  <c r="AC19" i="26"/>
  <c r="AB19" i="26"/>
  <c r="AA19" i="26"/>
  <c r="AJ18" i="26"/>
  <c r="AI18" i="26"/>
  <c r="AH18" i="26"/>
  <c r="AG18" i="26"/>
  <c r="AF18" i="26"/>
  <c r="AE18" i="26"/>
  <c r="AD18" i="26"/>
  <c r="AC18" i="26"/>
  <c r="AB18" i="26"/>
  <c r="AA18" i="26"/>
  <c r="AJ17" i="26"/>
  <c r="AI17" i="26"/>
  <c r="AH17" i="26"/>
  <c r="AG17" i="26"/>
  <c r="AF17" i="26"/>
  <c r="AE17" i="26"/>
  <c r="AD17" i="26"/>
  <c r="AC17" i="26"/>
  <c r="AB17" i="26"/>
  <c r="AA17" i="26"/>
  <c r="AJ16" i="26"/>
  <c r="AI16" i="26"/>
  <c r="AH16" i="26"/>
  <c r="AG16" i="26"/>
  <c r="AF16" i="26"/>
  <c r="AE16" i="26"/>
  <c r="AD16" i="26"/>
  <c r="AC16" i="26"/>
  <c r="AB16" i="26"/>
  <c r="AA16" i="26"/>
  <c r="AJ15" i="26"/>
  <c r="AI15" i="26"/>
  <c r="AH15" i="26"/>
  <c r="AG15" i="26"/>
  <c r="AF15" i="26"/>
  <c r="AE15" i="26"/>
  <c r="AD15" i="26"/>
  <c r="AC15" i="26"/>
  <c r="AB15" i="26"/>
  <c r="AA15" i="26"/>
  <c r="AJ14" i="26"/>
  <c r="AI14" i="26"/>
  <c r="AH14" i="26"/>
  <c r="AG14" i="26"/>
  <c r="AF14" i="26"/>
  <c r="AE14" i="26"/>
  <c r="AD14" i="26"/>
  <c r="AC14" i="26"/>
  <c r="AB14" i="26"/>
  <c r="AA14" i="26"/>
  <c r="AJ13" i="26"/>
  <c r="AI13" i="26"/>
  <c r="AH13" i="26"/>
  <c r="AG13" i="26"/>
  <c r="AF13" i="26"/>
  <c r="AE13" i="26"/>
  <c r="AD13" i="26"/>
  <c r="AC13" i="26"/>
  <c r="AB13" i="26"/>
  <c r="AA13" i="26"/>
  <c r="AJ12" i="26"/>
  <c r="AI12" i="26"/>
  <c r="AH12" i="26"/>
  <c r="AG12" i="26"/>
  <c r="AF12" i="26"/>
  <c r="AE12" i="26"/>
  <c r="AD12" i="26"/>
  <c r="AC12" i="26"/>
  <c r="AB12" i="26"/>
  <c r="AA12" i="26"/>
  <c r="AJ11" i="26"/>
  <c r="AI11" i="26"/>
  <c r="AH11" i="26"/>
  <c r="AG11" i="26"/>
  <c r="AF11" i="26"/>
  <c r="AE11" i="26"/>
  <c r="AD11" i="26"/>
  <c r="AC11" i="26"/>
  <c r="AB11" i="26"/>
  <c r="AA11" i="26"/>
  <c r="AJ10" i="26"/>
  <c r="AI10" i="26"/>
  <c r="AH10" i="26"/>
  <c r="AG10" i="26"/>
  <c r="AF10" i="26"/>
  <c r="AE10" i="26"/>
  <c r="AD10" i="26"/>
  <c r="AC10" i="26"/>
  <c r="AB10" i="26"/>
  <c r="AA10" i="26"/>
  <c r="AJ9" i="26"/>
  <c r="AI9" i="26"/>
  <c r="AH9" i="26"/>
  <c r="AG9" i="26"/>
  <c r="AF9" i="26"/>
  <c r="AE9" i="26"/>
  <c r="AD9" i="26"/>
  <c r="AC9" i="26"/>
  <c r="AB9" i="26"/>
  <c r="AA9" i="26"/>
  <c r="AJ8" i="26"/>
  <c r="AI8" i="26"/>
  <c r="AH8" i="26"/>
  <c r="AG8" i="26"/>
  <c r="AF8" i="26"/>
  <c r="AE8" i="26"/>
  <c r="AD8" i="26"/>
  <c r="AC8" i="26"/>
  <c r="AB8" i="26"/>
  <c r="AA8" i="26"/>
  <c r="AJ7" i="26"/>
  <c r="AI7" i="26"/>
  <c r="AH7" i="26"/>
  <c r="AG7" i="26"/>
  <c r="AF7" i="26"/>
  <c r="AE7" i="26"/>
  <c r="AD7" i="26"/>
  <c r="AC7" i="26"/>
  <c r="AB7" i="26"/>
  <c r="AA7" i="26"/>
  <c r="X92" i="26"/>
  <c r="W92" i="26"/>
  <c r="V92" i="26"/>
  <c r="U92" i="26"/>
  <c r="T92" i="26"/>
  <c r="S92" i="26"/>
  <c r="R92" i="26"/>
  <c r="Q92" i="26"/>
  <c r="P92" i="26"/>
  <c r="O92" i="26"/>
  <c r="X91" i="26"/>
  <c r="W91" i="26"/>
  <c r="V91" i="26"/>
  <c r="U91" i="26"/>
  <c r="T91" i="26"/>
  <c r="S91" i="26"/>
  <c r="R91" i="26"/>
  <c r="Q91" i="26"/>
  <c r="P91" i="26"/>
  <c r="O91" i="26"/>
  <c r="X90" i="26"/>
  <c r="W90" i="26"/>
  <c r="V90" i="26"/>
  <c r="U90" i="26"/>
  <c r="T90" i="26"/>
  <c r="S90" i="26"/>
  <c r="R90" i="26"/>
  <c r="Q90" i="26"/>
  <c r="P90" i="26"/>
  <c r="O90" i="26"/>
  <c r="X89" i="26"/>
  <c r="W89" i="26"/>
  <c r="V89" i="26"/>
  <c r="U89" i="26"/>
  <c r="T89" i="26"/>
  <c r="S89" i="26"/>
  <c r="R89" i="26"/>
  <c r="Q89" i="26"/>
  <c r="P89" i="26"/>
  <c r="O89" i="26"/>
  <c r="X88" i="26"/>
  <c r="W88" i="26"/>
  <c r="V88" i="26"/>
  <c r="U88" i="26"/>
  <c r="T88" i="26"/>
  <c r="S88" i="26"/>
  <c r="R88" i="26"/>
  <c r="Q88" i="26"/>
  <c r="P88" i="26"/>
  <c r="O88" i="26"/>
  <c r="X87" i="26"/>
  <c r="W87" i="26"/>
  <c r="V87" i="26"/>
  <c r="U87" i="26"/>
  <c r="T87" i="26"/>
  <c r="S87" i="26"/>
  <c r="R87" i="26"/>
  <c r="Q87" i="26"/>
  <c r="P87" i="26"/>
  <c r="O87" i="26"/>
  <c r="X86" i="26"/>
  <c r="W86" i="26"/>
  <c r="V86" i="26"/>
  <c r="U86" i="26"/>
  <c r="T86" i="26"/>
  <c r="S86" i="26"/>
  <c r="R86" i="26"/>
  <c r="Q86" i="26"/>
  <c r="P86" i="26"/>
  <c r="O86" i="26"/>
  <c r="X85" i="26"/>
  <c r="W85" i="26"/>
  <c r="V85" i="26"/>
  <c r="U85" i="26"/>
  <c r="T85" i="26"/>
  <c r="S85" i="26"/>
  <c r="R85" i="26"/>
  <c r="Q85" i="26"/>
  <c r="P85" i="26"/>
  <c r="O85" i="26"/>
  <c r="W81" i="26"/>
  <c r="S81" i="26"/>
  <c r="O81" i="26"/>
  <c r="X79" i="26"/>
  <c r="W79" i="26"/>
  <c r="V79" i="26"/>
  <c r="U79" i="26"/>
  <c r="T79" i="26"/>
  <c r="S79" i="26"/>
  <c r="R79" i="26"/>
  <c r="Q79" i="26"/>
  <c r="P79" i="26"/>
  <c r="O79" i="26"/>
  <c r="X78" i="26"/>
  <c r="W78" i="26"/>
  <c r="V78" i="26"/>
  <c r="U78" i="26"/>
  <c r="T78" i="26"/>
  <c r="S78" i="26"/>
  <c r="R78" i="26"/>
  <c r="Q78" i="26"/>
  <c r="P78" i="26"/>
  <c r="O78" i="26"/>
  <c r="X77" i="26"/>
  <c r="W77" i="26"/>
  <c r="V77" i="26"/>
  <c r="U77" i="26"/>
  <c r="T77" i="26"/>
  <c r="S77" i="26"/>
  <c r="R77" i="26"/>
  <c r="Q77" i="26"/>
  <c r="P77" i="26"/>
  <c r="O77" i="26"/>
  <c r="X76" i="26"/>
  <c r="W76" i="26"/>
  <c r="V76" i="26"/>
  <c r="U76" i="26"/>
  <c r="T76" i="26"/>
  <c r="S76" i="26"/>
  <c r="R76" i="26"/>
  <c r="Q76" i="26"/>
  <c r="P76" i="26"/>
  <c r="O76" i="26"/>
  <c r="X75" i="26"/>
  <c r="W75" i="26"/>
  <c r="V75" i="26"/>
  <c r="U75" i="26"/>
  <c r="T75" i="26"/>
  <c r="S75" i="26"/>
  <c r="R75" i="26"/>
  <c r="Q75" i="26"/>
  <c r="P75" i="26"/>
  <c r="O75" i="26"/>
  <c r="X74" i="26"/>
  <c r="W74" i="26"/>
  <c r="V74" i="26"/>
  <c r="U74" i="26"/>
  <c r="T74" i="26"/>
  <c r="S74" i="26"/>
  <c r="R74" i="26"/>
  <c r="Q74" i="26"/>
  <c r="P74" i="26"/>
  <c r="O74" i="26"/>
  <c r="X73" i="26"/>
  <c r="W73" i="26"/>
  <c r="V73" i="26"/>
  <c r="U73" i="26"/>
  <c r="T73" i="26"/>
  <c r="S73" i="26"/>
  <c r="R73" i="26"/>
  <c r="Q73" i="26"/>
  <c r="P73" i="26"/>
  <c r="O73" i="26"/>
  <c r="X72" i="26"/>
  <c r="W72" i="26"/>
  <c r="V72" i="26"/>
  <c r="U72" i="26"/>
  <c r="T72" i="26"/>
  <c r="S72" i="26"/>
  <c r="R72" i="26"/>
  <c r="Q72" i="26"/>
  <c r="P72" i="26"/>
  <c r="O72" i="26"/>
  <c r="X71" i="26"/>
  <c r="W71" i="26"/>
  <c r="V71" i="26"/>
  <c r="U71" i="26"/>
  <c r="T71" i="26"/>
  <c r="S71" i="26"/>
  <c r="R71" i="26"/>
  <c r="Q71" i="26"/>
  <c r="P71" i="26"/>
  <c r="O71" i="26"/>
  <c r="X70" i="26"/>
  <c r="W70" i="26"/>
  <c r="V70" i="26"/>
  <c r="U70" i="26"/>
  <c r="T70" i="26"/>
  <c r="S70" i="26"/>
  <c r="R70" i="26"/>
  <c r="Q70" i="26"/>
  <c r="P70" i="26"/>
  <c r="O70" i="26"/>
  <c r="X69" i="26"/>
  <c r="W69" i="26"/>
  <c r="V69" i="26"/>
  <c r="U69" i="26"/>
  <c r="T69" i="26"/>
  <c r="S69" i="26"/>
  <c r="R69" i="26"/>
  <c r="Q69" i="26"/>
  <c r="P69" i="26"/>
  <c r="O69" i="26"/>
  <c r="X68" i="26"/>
  <c r="W68" i="26"/>
  <c r="V68" i="26"/>
  <c r="U68" i="26"/>
  <c r="T68" i="26"/>
  <c r="S68" i="26"/>
  <c r="R68" i="26"/>
  <c r="Q68" i="26"/>
  <c r="P68" i="26"/>
  <c r="O68" i="26"/>
  <c r="X67" i="26"/>
  <c r="W67" i="26"/>
  <c r="V67" i="26"/>
  <c r="U67" i="26"/>
  <c r="T67" i="26"/>
  <c r="S67" i="26"/>
  <c r="R67" i="26"/>
  <c r="Q67" i="26"/>
  <c r="P67" i="26"/>
  <c r="O67" i="26"/>
  <c r="X66" i="26"/>
  <c r="W66" i="26"/>
  <c r="V66" i="26"/>
  <c r="U66" i="26"/>
  <c r="T66" i="26"/>
  <c r="S66" i="26"/>
  <c r="R66" i="26"/>
  <c r="Q66" i="26"/>
  <c r="P66" i="26"/>
  <c r="O66" i="26"/>
  <c r="X65" i="26"/>
  <c r="W65" i="26"/>
  <c r="V65" i="26"/>
  <c r="U65" i="26"/>
  <c r="T65" i="26"/>
  <c r="S65" i="26"/>
  <c r="R65" i="26"/>
  <c r="Q65" i="26"/>
  <c r="P65" i="26"/>
  <c r="O65" i="26"/>
  <c r="X64" i="26"/>
  <c r="W64" i="26"/>
  <c r="V64" i="26"/>
  <c r="U64" i="26"/>
  <c r="T64" i="26"/>
  <c r="S64" i="26"/>
  <c r="R64" i="26"/>
  <c r="Q64" i="26"/>
  <c r="P64" i="26"/>
  <c r="O64" i="26"/>
  <c r="X63" i="26"/>
  <c r="W63" i="26"/>
  <c r="V63" i="26"/>
  <c r="U63" i="26"/>
  <c r="T63" i="26"/>
  <c r="S63" i="26"/>
  <c r="R63" i="26"/>
  <c r="Q63" i="26"/>
  <c r="P63" i="26"/>
  <c r="O63" i="26"/>
  <c r="X62" i="26"/>
  <c r="W62" i="26"/>
  <c r="V62" i="26"/>
  <c r="U62" i="26"/>
  <c r="T62" i="26"/>
  <c r="S62" i="26"/>
  <c r="R62" i="26"/>
  <c r="Q62" i="26"/>
  <c r="P62" i="26"/>
  <c r="O62" i="26"/>
  <c r="X61" i="26"/>
  <c r="W61" i="26"/>
  <c r="V61" i="26"/>
  <c r="U61" i="26"/>
  <c r="T61" i="26"/>
  <c r="S61" i="26"/>
  <c r="R61" i="26"/>
  <c r="Q61" i="26"/>
  <c r="P61" i="26"/>
  <c r="O61" i="26"/>
  <c r="X60" i="26"/>
  <c r="W60" i="26"/>
  <c r="V60" i="26"/>
  <c r="U60" i="26"/>
  <c r="T60" i="26"/>
  <c r="S60" i="26"/>
  <c r="R60" i="26"/>
  <c r="Q60" i="26"/>
  <c r="P60" i="26"/>
  <c r="O60" i="26"/>
  <c r="X59" i="26"/>
  <c r="W59" i="26"/>
  <c r="V59" i="26"/>
  <c r="U59" i="26"/>
  <c r="T59" i="26"/>
  <c r="S59" i="26"/>
  <c r="R59" i="26"/>
  <c r="Q59" i="26"/>
  <c r="P59" i="26"/>
  <c r="O59" i="26"/>
  <c r="X58" i="26"/>
  <c r="W58" i="26"/>
  <c r="V58" i="26"/>
  <c r="U58" i="26"/>
  <c r="T58" i="26"/>
  <c r="S58" i="26"/>
  <c r="R58" i="26"/>
  <c r="Q58" i="26"/>
  <c r="P58" i="26"/>
  <c r="O58" i="26"/>
  <c r="X57" i="26"/>
  <c r="W57" i="26"/>
  <c r="V57" i="26"/>
  <c r="U57" i="26"/>
  <c r="T57" i="26"/>
  <c r="S57" i="26"/>
  <c r="R57" i="26"/>
  <c r="Q57" i="26"/>
  <c r="P57" i="26"/>
  <c r="O57" i="26"/>
  <c r="X56" i="26"/>
  <c r="W56" i="26"/>
  <c r="V56" i="26"/>
  <c r="U56" i="26"/>
  <c r="T56" i="26"/>
  <c r="S56" i="26"/>
  <c r="R56" i="26"/>
  <c r="Q56" i="26"/>
  <c r="P56" i="26"/>
  <c r="O56" i="26"/>
  <c r="X55" i="26"/>
  <c r="W55" i="26"/>
  <c r="V55" i="26"/>
  <c r="U55" i="26"/>
  <c r="T55" i="26"/>
  <c r="S55" i="26"/>
  <c r="R55" i="26"/>
  <c r="Q55" i="26"/>
  <c r="P55" i="26"/>
  <c r="O55" i="26"/>
  <c r="X54" i="26"/>
  <c r="W54" i="26"/>
  <c r="V54" i="26"/>
  <c r="U54" i="26"/>
  <c r="T54" i="26"/>
  <c r="S54" i="26"/>
  <c r="R54" i="26"/>
  <c r="Q54" i="26"/>
  <c r="P54" i="26"/>
  <c r="O54" i="26"/>
  <c r="X53" i="26"/>
  <c r="W53" i="26"/>
  <c r="V53" i="26"/>
  <c r="U53" i="26"/>
  <c r="T53" i="26"/>
  <c r="S53" i="26"/>
  <c r="R53" i="26"/>
  <c r="Q53" i="26"/>
  <c r="P53" i="26"/>
  <c r="O53" i="26"/>
  <c r="X52" i="26"/>
  <c r="W52" i="26"/>
  <c r="V52" i="26"/>
  <c r="U52" i="26"/>
  <c r="T52" i="26"/>
  <c r="S52" i="26"/>
  <c r="R52" i="26"/>
  <c r="Q52" i="26"/>
  <c r="P52" i="26"/>
  <c r="O52" i="26"/>
  <c r="X51" i="26"/>
  <c r="W51" i="26"/>
  <c r="V51" i="26"/>
  <c r="U51" i="26"/>
  <c r="T51" i="26"/>
  <c r="S51" i="26"/>
  <c r="R51" i="26"/>
  <c r="Q51" i="26"/>
  <c r="P51" i="26"/>
  <c r="O51" i="26"/>
  <c r="X50" i="26"/>
  <c r="W50" i="26"/>
  <c r="V50" i="26"/>
  <c r="U50" i="26"/>
  <c r="T50" i="26"/>
  <c r="S50" i="26"/>
  <c r="R50" i="26"/>
  <c r="Q50" i="26"/>
  <c r="P50" i="26"/>
  <c r="O50" i="26"/>
  <c r="X49" i="26"/>
  <c r="W49" i="26"/>
  <c r="V49" i="26"/>
  <c r="U49" i="26"/>
  <c r="T49" i="26"/>
  <c r="S49" i="26"/>
  <c r="R49" i="26"/>
  <c r="Q49" i="26"/>
  <c r="P49" i="26"/>
  <c r="O49" i="26"/>
  <c r="X48" i="26"/>
  <c r="W48" i="26"/>
  <c r="V48" i="26"/>
  <c r="U48" i="26"/>
  <c r="T48" i="26"/>
  <c r="S48" i="26"/>
  <c r="R48" i="26"/>
  <c r="Q48" i="26"/>
  <c r="P48" i="26"/>
  <c r="O48" i="26"/>
  <c r="X47" i="26"/>
  <c r="W47" i="26"/>
  <c r="V47" i="26"/>
  <c r="U47" i="26"/>
  <c r="T47" i="26"/>
  <c r="S47" i="26"/>
  <c r="R47" i="26"/>
  <c r="Q47" i="26"/>
  <c r="P47" i="26"/>
  <c r="O47" i="26"/>
  <c r="X46" i="26"/>
  <c r="W46" i="26"/>
  <c r="V46" i="26"/>
  <c r="U46" i="26"/>
  <c r="T46" i="26"/>
  <c r="S46" i="26"/>
  <c r="R46" i="26"/>
  <c r="Q46" i="26"/>
  <c r="P46" i="26"/>
  <c r="O46" i="26"/>
  <c r="X45" i="26"/>
  <c r="W45" i="26"/>
  <c r="V45" i="26"/>
  <c r="U45" i="26"/>
  <c r="T45" i="26"/>
  <c r="S45" i="26"/>
  <c r="R45" i="26"/>
  <c r="Q45" i="26"/>
  <c r="P45" i="26"/>
  <c r="O45" i="26"/>
  <c r="X44" i="26"/>
  <c r="W44" i="26"/>
  <c r="V44" i="26"/>
  <c r="U44" i="26"/>
  <c r="T44" i="26"/>
  <c r="S44" i="26"/>
  <c r="R44" i="26"/>
  <c r="Q44" i="26"/>
  <c r="P44" i="26"/>
  <c r="O44" i="26"/>
  <c r="X43" i="26"/>
  <c r="W43" i="26"/>
  <c r="V43" i="26"/>
  <c r="U43" i="26"/>
  <c r="T43" i="26"/>
  <c r="S43" i="26"/>
  <c r="R43" i="26"/>
  <c r="Q43" i="26"/>
  <c r="P43" i="26"/>
  <c r="O43" i="26"/>
  <c r="X42" i="26"/>
  <c r="W42" i="26"/>
  <c r="V42" i="26"/>
  <c r="U42" i="26"/>
  <c r="T42" i="26"/>
  <c r="S42" i="26"/>
  <c r="R42" i="26"/>
  <c r="Q42" i="26"/>
  <c r="P42" i="26"/>
  <c r="O42" i="26"/>
  <c r="X41" i="26"/>
  <c r="W41" i="26"/>
  <c r="V41" i="26"/>
  <c r="U41" i="26"/>
  <c r="T41" i="26"/>
  <c r="S41" i="26"/>
  <c r="R41" i="26"/>
  <c r="Q41" i="26"/>
  <c r="P41" i="26"/>
  <c r="O41" i="26"/>
  <c r="X40" i="26"/>
  <c r="W40" i="26"/>
  <c r="V40" i="26"/>
  <c r="U40" i="26"/>
  <c r="T40" i="26"/>
  <c r="S40" i="26"/>
  <c r="R40" i="26"/>
  <c r="Q40" i="26"/>
  <c r="P40" i="26"/>
  <c r="O40" i="26"/>
  <c r="X39" i="26"/>
  <c r="W39" i="26"/>
  <c r="V39" i="26"/>
  <c r="U39" i="26"/>
  <c r="T39" i="26"/>
  <c r="S39" i="26"/>
  <c r="R39" i="26"/>
  <c r="Q39" i="26"/>
  <c r="P39" i="26"/>
  <c r="O39" i="26"/>
  <c r="X38" i="26"/>
  <c r="W38" i="26"/>
  <c r="V38" i="26"/>
  <c r="U38" i="26"/>
  <c r="T38" i="26"/>
  <c r="S38" i="26"/>
  <c r="R38" i="26"/>
  <c r="Q38" i="26"/>
  <c r="P38" i="26"/>
  <c r="O38" i="26"/>
  <c r="X37" i="26"/>
  <c r="W37" i="26"/>
  <c r="V37" i="26"/>
  <c r="U37" i="26"/>
  <c r="T37" i="26"/>
  <c r="S37" i="26"/>
  <c r="R37" i="26"/>
  <c r="Q37" i="26"/>
  <c r="P37" i="26"/>
  <c r="O37" i="26"/>
  <c r="X36" i="26"/>
  <c r="W36" i="26"/>
  <c r="V36" i="26"/>
  <c r="U36" i="26"/>
  <c r="T36" i="26"/>
  <c r="S36" i="26"/>
  <c r="R36" i="26"/>
  <c r="Q36" i="26"/>
  <c r="P36" i="26"/>
  <c r="O36" i="26"/>
  <c r="X35" i="26"/>
  <c r="W35" i="26"/>
  <c r="V35" i="26"/>
  <c r="U35" i="26"/>
  <c r="T35" i="26"/>
  <c r="S35" i="26"/>
  <c r="R35" i="26"/>
  <c r="Q35" i="26"/>
  <c r="P35" i="26"/>
  <c r="O35" i="26"/>
  <c r="X34" i="26"/>
  <c r="W34" i="26"/>
  <c r="V34" i="26"/>
  <c r="U34" i="26"/>
  <c r="T34" i="26"/>
  <c r="S34" i="26"/>
  <c r="R34" i="26"/>
  <c r="Q34" i="26"/>
  <c r="P34" i="26"/>
  <c r="O34" i="26"/>
  <c r="X33" i="26"/>
  <c r="W33" i="26"/>
  <c r="V33" i="26"/>
  <c r="U33" i="26"/>
  <c r="T33" i="26"/>
  <c r="S33" i="26"/>
  <c r="R33" i="26"/>
  <c r="Q33" i="26"/>
  <c r="P33" i="26"/>
  <c r="O33" i="26"/>
  <c r="X32" i="26"/>
  <c r="W32" i="26"/>
  <c r="V32" i="26"/>
  <c r="U32" i="26"/>
  <c r="T32" i="26"/>
  <c r="S32" i="26"/>
  <c r="R32" i="26"/>
  <c r="Q32" i="26"/>
  <c r="P32" i="26"/>
  <c r="O32" i="26"/>
  <c r="X31" i="26"/>
  <c r="W31" i="26"/>
  <c r="V31" i="26"/>
  <c r="U31" i="26"/>
  <c r="T31" i="26"/>
  <c r="S31" i="26"/>
  <c r="R31" i="26"/>
  <c r="Q31" i="26"/>
  <c r="P31" i="26"/>
  <c r="O31" i="26"/>
  <c r="X30" i="26"/>
  <c r="W30" i="26"/>
  <c r="V30" i="26"/>
  <c r="U30" i="26"/>
  <c r="T30" i="26"/>
  <c r="S30" i="26"/>
  <c r="R30" i="26"/>
  <c r="Q30" i="26"/>
  <c r="P30" i="26"/>
  <c r="O30" i="26"/>
  <c r="X29" i="26"/>
  <c r="W29" i="26"/>
  <c r="V29" i="26"/>
  <c r="U29" i="26"/>
  <c r="T29" i="26"/>
  <c r="S29" i="26"/>
  <c r="R29" i="26"/>
  <c r="Q29" i="26"/>
  <c r="P29" i="26"/>
  <c r="O29" i="26"/>
  <c r="X28" i="26"/>
  <c r="W28" i="26"/>
  <c r="V28" i="26"/>
  <c r="U28" i="26"/>
  <c r="T28" i="26"/>
  <c r="S28" i="26"/>
  <c r="R28" i="26"/>
  <c r="Q28" i="26"/>
  <c r="P28" i="26"/>
  <c r="O28" i="26"/>
  <c r="X27" i="26"/>
  <c r="W27" i="26"/>
  <c r="V27" i="26"/>
  <c r="U27" i="26"/>
  <c r="T27" i="26"/>
  <c r="S27" i="26"/>
  <c r="R27" i="26"/>
  <c r="Q27" i="26"/>
  <c r="P27" i="26"/>
  <c r="O27" i="26"/>
  <c r="X26" i="26"/>
  <c r="W26" i="26"/>
  <c r="V26" i="26"/>
  <c r="U26" i="26"/>
  <c r="T26" i="26"/>
  <c r="S26" i="26"/>
  <c r="R26" i="26"/>
  <c r="Q26" i="26"/>
  <c r="P26" i="26"/>
  <c r="O26" i="26"/>
  <c r="X25" i="26"/>
  <c r="W25" i="26"/>
  <c r="V25" i="26"/>
  <c r="U25" i="26"/>
  <c r="T25" i="26"/>
  <c r="S25" i="26"/>
  <c r="R25" i="26"/>
  <c r="Q25" i="26"/>
  <c r="P25" i="26"/>
  <c r="O25" i="26"/>
  <c r="X24" i="26"/>
  <c r="W24" i="26"/>
  <c r="V24" i="26"/>
  <c r="U24" i="26"/>
  <c r="T24" i="26"/>
  <c r="S24" i="26"/>
  <c r="R24" i="26"/>
  <c r="Q24" i="26"/>
  <c r="P24" i="26"/>
  <c r="O24" i="26"/>
  <c r="X23" i="26"/>
  <c r="W23" i="26"/>
  <c r="V23" i="26"/>
  <c r="U23" i="26"/>
  <c r="T23" i="26"/>
  <c r="S23" i="26"/>
  <c r="R23" i="26"/>
  <c r="Q23" i="26"/>
  <c r="P23" i="26"/>
  <c r="O23" i="26"/>
  <c r="X22" i="26"/>
  <c r="W22" i="26"/>
  <c r="V22" i="26"/>
  <c r="U22" i="26"/>
  <c r="T22" i="26"/>
  <c r="S22" i="26"/>
  <c r="R22" i="26"/>
  <c r="Q22" i="26"/>
  <c r="P22" i="26"/>
  <c r="O22" i="26"/>
  <c r="X21" i="26"/>
  <c r="W21" i="26"/>
  <c r="V21" i="26"/>
  <c r="U21" i="26"/>
  <c r="T21" i="26"/>
  <c r="S21" i="26"/>
  <c r="R21" i="26"/>
  <c r="Q21" i="26"/>
  <c r="P21" i="26"/>
  <c r="O21" i="26"/>
  <c r="X20" i="26"/>
  <c r="W20" i="26"/>
  <c r="V20" i="26"/>
  <c r="U20" i="26"/>
  <c r="T20" i="26"/>
  <c r="S20" i="26"/>
  <c r="R20" i="26"/>
  <c r="Q20" i="26"/>
  <c r="P20" i="26"/>
  <c r="O20" i="26"/>
  <c r="X19" i="26"/>
  <c r="W19" i="26"/>
  <c r="V19" i="26"/>
  <c r="U19" i="26"/>
  <c r="T19" i="26"/>
  <c r="S19" i="26"/>
  <c r="R19" i="26"/>
  <c r="Q19" i="26"/>
  <c r="P19" i="26"/>
  <c r="O19" i="26"/>
  <c r="X18" i="26"/>
  <c r="W18" i="26"/>
  <c r="V18" i="26"/>
  <c r="U18" i="26"/>
  <c r="T18" i="26"/>
  <c r="S18" i="26"/>
  <c r="R18" i="26"/>
  <c r="Q18" i="26"/>
  <c r="P18" i="26"/>
  <c r="O18" i="26"/>
  <c r="X17" i="26"/>
  <c r="W17" i="26"/>
  <c r="V17" i="26"/>
  <c r="U17" i="26"/>
  <c r="T17" i="26"/>
  <c r="S17" i="26"/>
  <c r="R17" i="26"/>
  <c r="Q17" i="26"/>
  <c r="P17" i="26"/>
  <c r="O17" i="26"/>
  <c r="X16" i="26"/>
  <c r="W16" i="26"/>
  <c r="V16" i="26"/>
  <c r="U16" i="26"/>
  <c r="T16" i="26"/>
  <c r="S16" i="26"/>
  <c r="R16" i="26"/>
  <c r="Q16" i="26"/>
  <c r="P16" i="26"/>
  <c r="O16" i="26"/>
  <c r="X15" i="26"/>
  <c r="W15" i="26"/>
  <c r="V15" i="26"/>
  <c r="U15" i="26"/>
  <c r="T15" i="26"/>
  <c r="S15" i="26"/>
  <c r="R15" i="26"/>
  <c r="Q15" i="26"/>
  <c r="P15" i="26"/>
  <c r="O15" i="26"/>
  <c r="X14" i="26"/>
  <c r="W14" i="26"/>
  <c r="V14" i="26"/>
  <c r="U14" i="26"/>
  <c r="T14" i="26"/>
  <c r="S14" i="26"/>
  <c r="R14" i="26"/>
  <c r="Q14" i="26"/>
  <c r="P14" i="26"/>
  <c r="O14" i="26"/>
  <c r="X13" i="26"/>
  <c r="W13" i="26"/>
  <c r="V13" i="26"/>
  <c r="U13" i="26"/>
  <c r="T13" i="26"/>
  <c r="S13" i="26"/>
  <c r="R13" i="26"/>
  <c r="Q13" i="26"/>
  <c r="P13" i="26"/>
  <c r="O13" i="26"/>
  <c r="X12" i="26"/>
  <c r="W12" i="26"/>
  <c r="V12" i="26"/>
  <c r="U12" i="26"/>
  <c r="T12" i="26"/>
  <c r="S12" i="26"/>
  <c r="R12" i="26"/>
  <c r="Q12" i="26"/>
  <c r="P12" i="26"/>
  <c r="O12" i="26"/>
  <c r="X11" i="26"/>
  <c r="W11" i="26"/>
  <c r="V11" i="26"/>
  <c r="U11" i="26"/>
  <c r="T11" i="26"/>
  <c r="S11" i="26"/>
  <c r="R11" i="26"/>
  <c r="Q11" i="26"/>
  <c r="P11" i="26"/>
  <c r="O11" i="26"/>
  <c r="X10" i="26"/>
  <c r="W10" i="26"/>
  <c r="V10" i="26"/>
  <c r="U10" i="26"/>
  <c r="T10" i="26"/>
  <c r="S10" i="26"/>
  <c r="R10" i="26"/>
  <c r="Q10" i="26"/>
  <c r="P10" i="26"/>
  <c r="O10" i="26"/>
  <c r="X9" i="26"/>
  <c r="W9" i="26"/>
  <c r="V9" i="26"/>
  <c r="U9" i="26"/>
  <c r="T9" i="26"/>
  <c r="S9" i="26"/>
  <c r="R9" i="26"/>
  <c r="Q9" i="26"/>
  <c r="P9" i="26"/>
  <c r="O9" i="26"/>
  <c r="X8" i="26"/>
  <c r="W8" i="26"/>
  <c r="V8" i="26"/>
  <c r="U8" i="26"/>
  <c r="T8" i="26"/>
  <c r="S8" i="26"/>
  <c r="R8" i="26"/>
  <c r="Q8" i="26"/>
  <c r="P8" i="26"/>
  <c r="O8" i="26"/>
  <c r="X7" i="26"/>
  <c r="W7" i="26"/>
  <c r="V7" i="26"/>
  <c r="U7" i="26"/>
  <c r="T7" i="26"/>
  <c r="S7" i="26"/>
  <c r="R7" i="26"/>
  <c r="Q7" i="26"/>
  <c r="P7" i="26"/>
  <c r="O7" i="26"/>
  <c r="L92" i="26"/>
  <c r="K92" i="26"/>
  <c r="J92" i="26"/>
  <c r="I92" i="26"/>
  <c r="H92" i="26"/>
  <c r="G92" i="26"/>
  <c r="F92" i="26"/>
  <c r="E92" i="26"/>
  <c r="D92" i="26"/>
  <c r="C92" i="26"/>
  <c r="L91" i="26"/>
  <c r="K91" i="26"/>
  <c r="J91" i="26"/>
  <c r="I91" i="26"/>
  <c r="H91" i="26"/>
  <c r="G91" i="26"/>
  <c r="F91" i="26"/>
  <c r="E91" i="26"/>
  <c r="D91" i="26"/>
  <c r="C91" i="26"/>
  <c r="L90" i="26"/>
  <c r="K90" i="26"/>
  <c r="J90" i="26"/>
  <c r="I90" i="26"/>
  <c r="H90" i="26"/>
  <c r="G90" i="26"/>
  <c r="F90" i="26"/>
  <c r="E90" i="26"/>
  <c r="D90" i="26"/>
  <c r="C90" i="26"/>
  <c r="L89" i="26"/>
  <c r="K89" i="26"/>
  <c r="J89" i="26"/>
  <c r="I89" i="26"/>
  <c r="H89" i="26"/>
  <c r="G89" i="26"/>
  <c r="F89" i="26"/>
  <c r="E89" i="26"/>
  <c r="D89" i="26"/>
  <c r="C89" i="26"/>
  <c r="L88" i="26"/>
  <c r="K88" i="26"/>
  <c r="J88" i="26"/>
  <c r="I88" i="26"/>
  <c r="H88" i="26"/>
  <c r="G88" i="26"/>
  <c r="F88" i="26"/>
  <c r="E88" i="26"/>
  <c r="D88" i="26"/>
  <c r="C88" i="26"/>
  <c r="L87" i="26"/>
  <c r="K87" i="26"/>
  <c r="J87" i="26"/>
  <c r="I87" i="26"/>
  <c r="H87" i="26"/>
  <c r="G87" i="26"/>
  <c r="F87" i="26"/>
  <c r="E87" i="26"/>
  <c r="D87" i="26"/>
  <c r="C87" i="26"/>
  <c r="L86" i="26"/>
  <c r="K86" i="26"/>
  <c r="J86" i="26"/>
  <c r="I86" i="26"/>
  <c r="H86" i="26"/>
  <c r="G86" i="26"/>
  <c r="F86" i="26"/>
  <c r="E86" i="26"/>
  <c r="D86" i="26"/>
  <c r="C86" i="26"/>
  <c r="L85" i="26"/>
  <c r="K85" i="26"/>
  <c r="J85" i="26"/>
  <c r="I85" i="26"/>
  <c r="H85" i="26"/>
  <c r="G85" i="26"/>
  <c r="F85" i="26"/>
  <c r="E85" i="26"/>
  <c r="D85" i="26"/>
  <c r="C85" i="26"/>
  <c r="K81" i="26"/>
  <c r="G81" i="26"/>
  <c r="C81" i="26"/>
  <c r="L79" i="26"/>
  <c r="K79" i="26"/>
  <c r="J79" i="26"/>
  <c r="I79" i="26"/>
  <c r="H79" i="26"/>
  <c r="G79" i="26"/>
  <c r="F79" i="26"/>
  <c r="E79" i="26"/>
  <c r="D79" i="26"/>
  <c r="C79" i="26"/>
  <c r="L78" i="26"/>
  <c r="K78" i="26"/>
  <c r="J78" i="26"/>
  <c r="I78" i="26"/>
  <c r="H78" i="26"/>
  <c r="G78" i="26"/>
  <c r="F78" i="26"/>
  <c r="E78" i="26"/>
  <c r="D78" i="26"/>
  <c r="C78" i="26"/>
  <c r="L77" i="26"/>
  <c r="K77" i="26"/>
  <c r="J77" i="26"/>
  <c r="I77" i="26"/>
  <c r="H77" i="26"/>
  <c r="G77" i="26"/>
  <c r="F77" i="26"/>
  <c r="E77" i="26"/>
  <c r="D77" i="26"/>
  <c r="C77" i="26"/>
  <c r="L76" i="26"/>
  <c r="K76" i="26"/>
  <c r="J76" i="26"/>
  <c r="I76" i="26"/>
  <c r="H76" i="26"/>
  <c r="G76" i="26"/>
  <c r="F76" i="26"/>
  <c r="E76" i="26"/>
  <c r="D76" i="26"/>
  <c r="C76" i="26"/>
  <c r="L75" i="26"/>
  <c r="K75" i="26"/>
  <c r="J75" i="26"/>
  <c r="I75" i="26"/>
  <c r="H75" i="26"/>
  <c r="G75" i="26"/>
  <c r="F75" i="26"/>
  <c r="E75" i="26"/>
  <c r="D75" i="26"/>
  <c r="C75" i="26"/>
  <c r="L74" i="26"/>
  <c r="K74" i="26"/>
  <c r="J74" i="26"/>
  <c r="I74" i="26"/>
  <c r="H74" i="26"/>
  <c r="G74" i="26"/>
  <c r="F74" i="26"/>
  <c r="E74" i="26"/>
  <c r="D74" i="26"/>
  <c r="C74" i="26"/>
  <c r="L73" i="26"/>
  <c r="K73" i="26"/>
  <c r="J73" i="26"/>
  <c r="I73" i="26"/>
  <c r="H73" i="26"/>
  <c r="G73" i="26"/>
  <c r="F73" i="26"/>
  <c r="E73" i="26"/>
  <c r="D73" i="26"/>
  <c r="C73" i="26"/>
  <c r="L72" i="26"/>
  <c r="K72" i="26"/>
  <c r="J72" i="26"/>
  <c r="I72" i="26"/>
  <c r="H72" i="26"/>
  <c r="G72" i="26"/>
  <c r="F72" i="26"/>
  <c r="E72" i="26"/>
  <c r="D72" i="26"/>
  <c r="C72" i="26"/>
  <c r="L71" i="26"/>
  <c r="K71" i="26"/>
  <c r="J71" i="26"/>
  <c r="I71" i="26"/>
  <c r="H71" i="26"/>
  <c r="G71" i="26"/>
  <c r="F71" i="26"/>
  <c r="E71" i="26"/>
  <c r="D71" i="26"/>
  <c r="C71" i="26"/>
  <c r="L70" i="26"/>
  <c r="K70" i="26"/>
  <c r="J70" i="26"/>
  <c r="I70" i="26"/>
  <c r="H70" i="26"/>
  <c r="G70" i="26"/>
  <c r="F70" i="26"/>
  <c r="E70" i="26"/>
  <c r="D70" i="26"/>
  <c r="C70" i="26"/>
  <c r="L69" i="26"/>
  <c r="K69" i="26"/>
  <c r="J69" i="26"/>
  <c r="I69" i="26"/>
  <c r="H69" i="26"/>
  <c r="G69" i="26"/>
  <c r="F69" i="26"/>
  <c r="E69" i="26"/>
  <c r="D69" i="26"/>
  <c r="C69" i="26"/>
  <c r="L68" i="26"/>
  <c r="K68" i="26"/>
  <c r="J68" i="26"/>
  <c r="I68" i="26"/>
  <c r="H68" i="26"/>
  <c r="G68" i="26"/>
  <c r="F68" i="26"/>
  <c r="E68" i="26"/>
  <c r="D68" i="26"/>
  <c r="C68" i="26"/>
  <c r="L67" i="26"/>
  <c r="K67" i="26"/>
  <c r="J67" i="26"/>
  <c r="I67" i="26"/>
  <c r="H67" i="26"/>
  <c r="G67" i="26"/>
  <c r="F67" i="26"/>
  <c r="E67" i="26"/>
  <c r="D67" i="26"/>
  <c r="C67" i="26"/>
  <c r="L66" i="26"/>
  <c r="K66" i="26"/>
  <c r="J66" i="26"/>
  <c r="I66" i="26"/>
  <c r="H66" i="26"/>
  <c r="G66" i="26"/>
  <c r="F66" i="26"/>
  <c r="E66" i="26"/>
  <c r="D66" i="26"/>
  <c r="C66" i="26"/>
  <c r="L65" i="26"/>
  <c r="K65" i="26"/>
  <c r="J65" i="26"/>
  <c r="I65" i="26"/>
  <c r="H65" i="26"/>
  <c r="G65" i="26"/>
  <c r="F65" i="26"/>
  <c r="E65" i="26"/>
  <c r="D65" i="26"/>
  <c r="C65" i="26"/>
  <c r="L64" i="26"/>
  <c r="K64" i="26"/>
  <c r="J64" i="26"/>
  <c r="I64" i="26"/>
  <c r="H64" i="26"/>
  <c r="G64" i="26"/>
  <c r="F64" i="26"/>
  <c r="E64" i="26"/>
  <c r="D64" i="26"/>
  <c r="C64" i="26"/>
  <c r="L63" i="26"/>
  <c r="K63" i="26"/>
  <c r="J63" i="26"/>
  <c r="I63" i="26"/>
  <c r="H63" i="26"/>
  <c r="G63" i="26"/>
  <c r="F63" i="26"/>
  <c r="E63" i="26"/>
  <c r="D63" i="26"/>
  <c r="C63" i="26"/>
  <c r="L62" i="26"/>
  <c r="K62" i="26"/>
  <c r="J62" i="26"/>
  <c r="I62" i="26"/>
  <c r="H62" i="26"/>
  <c r="G62" i="26"/>
  <c r="F62" i="26"/>
  <c r="E62" i="26"/>
  <c r="D62" i="26"/>
  <c r="C62" i="26"/>
  <c r="L61" i="26"/>
  <c r="K61" i="26"/>
  <c r="J61" i="26"/>
  <c r="I61" i="26"/>
  <c r="H61" i="26"/>
  <c r="G61" i="26"/>
  <c r="F61" i="26"/>
  <c r="E61" i="26"/>
  <c r="D61" i="26"/>
  <c r="C61" i="26"/>
  <c r="L60" i="26"/>
  <c r="K60" i="26"/>
  <c r="J60" i="26"/>
  <c r="I60" i="26"/>
  <c r="H60" i="26"/>
  <c r="G60" i="26"/>
  <c r="F60" i="26"/>
  <c r="E60" i="26"/>
  <c r="D60" i="26"/>
  <c r="C60" i="26"/>
  <c r="L59" i="26"/>
  <c r="K59" i="26"/>
  <c r="J59" i="26"/>
  <c r="I59" i="26"/>
  <c r="H59" i="26"/>
  <c r="G59" i="26"/>
  <c r="F59" i="26"/>
  <c r="E59" i="26"/>
  <c r="D59" i="26"/>
  <c r="C59" i="26"/>
  <c r="L58" i="26"/>
  <c r="K58" i="26"/>
  <c r="J58" i="26"/>
  <c r="I58" i="26"/>
  <c r="H58" i="26"/>
  <c r="G58" i="26"/>
  <c r="F58" i="26"/>
  <c r="E58" i="26"/>
  <c r="D58" i="26"/>
  <c r="C58" i="26"/>
  <c r="L57" i="26"/>
  <c r="K57" i="26"/>
  <c r="J57" i="26"/>
  <c r="I57" i="26"/>
  <c r="H57" i="26"/>
  <c r="G57" i="26"/>
  <c r="F57" i="26"/>
  <c r="E57" i="26"/>
  <c r="D57" i="26"/>
  <c r="C57" i="26"/>
  <c r="L56" i="26"/>
  <c r="K56" i="26"/>
  <c r="J56" i="26"/>
  <c r="I56" i="26"/>
  <c r="H56" i="26"/>
  <c r="G56" i="26"/>
  <c r="F56" i="26"/>
  <c r="E56" i="26"/>
  <c r="D56" i="26"/>
  <c r="C56" i="26"/>
  <c r="L55" i="26"/>
  <c r="K55" i="26"/>
  <c r="J55" i="26"/>
  <c r="I55" i="26"/>
  <c r="H55" i="26"/>
  <c r="G55" i="26"/>
  <c r="F55" i="26"/>
  <c r="E55" i="26"/>
  <c r="D55" i="26"/>
  <c r="C55" i="26"/>
  <c r="L54" i="26"/>
  <c r="K54" i="26"/>
  <c r="J54" i="26"/>
  <c r="I54" i="26"/>
  <c r="H54" i="26"/>
  <c r="G54" i="26"/>
  <c r="F54" i="26"/>
  <c r="E54" i="26"/>
  <c r="D54" i="26"/>
  <c r="C54" i="26"/>
  <c r="L53" i="26"/>
  <c r="K53" i="26"/>
  <c r="J53" i="26"/>
  <c r="I53" i="26"/>
  <c r="H53" i="26"/>
  <c r="G53" i="26"/>
  <c r="F53" i="26"/>
  <c r="E53" i="26"/>
  <c r="D53" i="26"/>
  <c r="C53" i="26"/>
  <c r="L52" i="26"/>
  <c r="K52" i="26"/>
  <c r="J52" i="26"/>
  <c r="I52" i="26"/>
  <c r="H52" i="26"/>
  <c r="G52" i="26"/>
  <c r="F52" i="26"/>
  <c r="E52" i="26"/>
  <c r="D52" i="26"/>
  <c r="C52" i="26"/>
  <c r="L51" i="26"/>
  <c r="K51" i="26"/>
  <c r="J51" i="26"/>
  <c r="I51" i="26"/>
  <c r="H51" i="26"/>
  <c r="G51" i="26"/>
  <c r="F51" i="26"/>
  <c r="E51" i="26"/>
  <c r="D51" i="26"/>
  <c r="C51" i="26"/>
  <c r="L50" i="26"/>
  <c r="K50" i="26"/>
  <c r="J50" i="26"/>
  <c r="I50" i="26"/>
  <c r="H50" i="26"/>
  <c r="G50" i="26"/>
  <c r="F50" i="26"/>
  <c r="E50" i="26"/>
  <c r="D50" i="26"/>
  <c r="C50" i="26"/>
  <c r="L49" i="26"/>
  <c r="K49" i="26"/>
  <c r="J49" i="26"/>
  <c r="I49" i="26"/>
  <c r="H49" i="26"/>
  <c r="G49" i="26"/>
  <c r="F49" i="26"/>
  <c r="E49" i="26"/>
  <c r="D49" i="26"/>
  <c r="C49" i="26"/>
  <c r="L48" i="26"/>
  <c r="K48" i="26"/>
  <c r="J48" i="26"/>
  <c r="I48" i="26"/>
  <c r="H48" i="26"/>
  <c r="G48" i="26"/>
  <c r="F48" i="26"/>
  <c r="E48" i="26"/>
  <c r="D48" i="26"/>
  <c r="C48" i="26"/>
  <c r="L47" i="26"/>
  <c r="K47" i="26"/>
  <c r="J47" i="26"/>
  <c r="I47" i="26"/>
  <c r="H47" i="26"/>
  <c r="G47" i="26"/>
  <c r="F47" i="26"/>
  <c r="E47" i="26"/>
  <c r="D47" i="26"/>
  <c r="C47" i="26"/>
  <c r="L46" i="26"/>
  <c r="K46" i="26"/>
  <c r="J46" i="26"/>
  <c r="I46" i="26"/>
  <c r="H46" i="26"/>
  <c r="G46" i="26"/>
  <c r="F46" i="26"/>
  <c r="E46" i="26"/>
  <c r="D46" i="26"/>
  <c r="C46" i="26"/>
  <c r="L45" i="26"/>
  <c r="K45" i="26"/>
  <c r="J45" i="26"/>
  <c r="I45" i="26"/>
  <c r="H45" i="26"/>
  <c r="G45" i="26"/>
  <c r="F45" i="26"/>
  <c r="E45" i="26"/>
  <c r="D45" i="26"/>
  <c r="C45" i="26"/>
  <c r="L44" i="26"/>
  <c r="K44" i="26"/>
  <c r="J44" i="26"/>
  <c r="I44" i="26"/>
  <c r="H44" i="26"/>
  <c r="G44" i="26"/>
  <c r="F44" i="26"/>
  <c r="E44" i="26"/>
  <c r="D44" i="26"/>
  <c r="C44" i="26"/>
  <c r="L43" i="26"/>
  <c r="K43" i="26"/>
  <c r="J43" i="26"/>
  <c r="I43" i="26"/>
  <c r="H43" i="26"/>
  <c r="G43" i="26"/>
  <c r="F43" i="26"/>
  <c r="E43" i="26"/>
  <c r="D43" i="26"/>
  <c r="C43" i="26"/>
  <c r="L42" i="26"/>
  <c r="K42" i="26"/>
  <c r="J42" i="26"/>
  <c r="I42" i="26"/>
  <c r="H42" i="26"/>
  <c r="G42" i="26"/>
  <c r="F42" i="26"/>
  <c r="E42" i="26"/>
  <c r="D42" i="26"/>
  <c r="C42" i="26"/>
  <c r="L41" i="26"/>
  <c r="K41" i="26"/>
  <c r="J41" i="26"/>
  <c r="I41" i="26"/>
  <c r="H41" i="26"/>
  <c r="G41" i="26"/>
  <c r="F41" i="26"/>
  <c r="E41" i="26"/>
  <c r="D41" i="26"/>
  <c r="C41" i="26"/>
  <c r="L40" i="26"/>
  <c r="K40" i="26"/>
  <c r="J40" i="26"/>
  <c r="I40" i="26"/>
  <c r="H40" i="26"/>
  <c r="G40" i="26"/>
  <c r="F40" i="26"/>
  <c r="E40" i="26"/>
  <c r="D40" i="26"/>
  <c r="C40" i="26"/>
  <c r="L39" i="26"/>
  <c r="K39" i="26"/>
  <c r="J39" i="26"/>
  <c r="I39" i="26"/>
  <c r="H39" i="26"/>
  <c r="G39" i="26"/>
  <c r="F39" i="26"/>
  <c r="E39" i="26"/>
  <c r="D39" i="26"/>
  <c r="C39" i="26"/>
  <c r="L38" i="26"/>
  <c r="K38" i="26"/>
  <c r="J38" i="26"/>
  <c r="I38" i="26"/>
  <c r="H38" i="26"/>
  <c r="G38" i="26"/>
  <c r="F38" i="26"/>
  <c r="E38" i="26"/>
  <c r="D38" i="26"/>
  <c r="C38" i="26"/>
  <c r="L37" i="26"/>
  <c r="K37" i="26"/>
  <c r="J37" i="26"/>
  <c r="I37" i="26"/>
  <c r="H37" i="26"/>
  <c r="G37" i="26"/>
  <c r="F37" i="26"/>
  <c r="E37" i="26"/>
  <c r="D37" i="26"/>
  <c r="C37" i="26"/>
  <c r="L36" i="26"/>
  <c r="K36" i="26"/>
  <c r="J36" i="26"/>
  <c r="I36" i="26"/>
  <c r="H36" i="26"/>
  <c r="G36" i="26"/>
  <c r="F36" i="26"/>
  <c r="E36" i="26"/>
  <c r="D36" i="26"/>
  <c r="C36" i="26"/>
  <c r="L35" i="26"/>
  <c r="K35" i="26"/>
  <c r="J35" i="26"/>
  <c r="I35" i="26"/>
  <c r="H35" i="26"/>
  <c r="G35" i="26"/>
  <c r="F35" i="26"/>
  <c r="E35" i="26"/>
  <c r="D35" i="26"/>
  <c r="C35" i="26"/>
  <c r="L34" i="26"/>
  <c r="K34" i="26"/>
  <c r="J34" i="26"/>
  <c r="I34" i="26"/>
  <c r="H34" i="26"/>
  <c r="G34" i="26"/>
  <c r="F34" i="26"/>
  <c r="E34" i="26"/>
  <c r="D34" i="26"/>
  <c r="C34" i="26"/>
  <c r="L33" i="26"/>
  <c r="K33" i="26"/>
  <c r="J33" i="26"/>
  <c r="I33" i="26"/>
  <c r="H33" i="26"/>
  <c r="G33" i="26"/>
  <c r="F33" i="26"/>
  <c r="E33" i="26"/>
  <c r="D33" i="26"/>
  <c r="C33" i="26"/>
  <c r="L32" i="26"/>
  <c r="K32" i="26"/>
  <c r="J32" i="26"/>
  <c r="I32" i="26"/>
  <c r="H32" i="26"/>
  <c r="G32" i="26"/>
  <c r="F32" i="26"/>
  <c r="E32" i="26"/>
  <c r="D32" i="26"/>
  <c r="C32" i="26"/>
  <c r="L31" i="26"/>
  <c r="K31" i="26"/>
  <c r="J31" i="26"/>
  <c r="I31" i="26"/>
  <c r="H31" i="26"/>
  <c r="G31" i="26"/>
  <c r="F31" i="26"/>
  <c r="E31" i="26"/>
  <c r="D31" i="26"/>
  <c r="C31" i="26"/>
  <c r="L30" i="26"/>
  <c r="K30" i="26"/>
  <c r="J30" i="26"/>
  <c r="I30" i="26"/>
  <c r="H30" i="26"/>
  <c r="G30" i="26"/>
  <c r="F30" i="26"/>
  <c r="E30" i="26"/>
  <c r="D30" i="26"/>
  <c r="C30" i="26"/>
  <c r="L29" i="26"/>
  <c r="K29" i="26"/>
  <c r="J29" i="26"/>
  <c r="I29" i="26"/>
  <c r="H29" i="26"/>
  <c r="G29" i="26"/>
  <c r="F29" i="26"/>
  <c r="E29" i="26"/>
  <c r="D29" i="26"/>
  <c r="C29" i="26"/>
  <c r="L28" i="26"/>
  <c r="K28" i="26"/>
  <c r="J28" i="26"/>
  <c r="I28" i="26"/>
  <c r="H28" i="26"/>
  <c r="G28" i="26"/>
  <c r="F28" i="26"/>
  <c r="E28" i="26"/>
  <c r="D28" i="26"/>
  <c r="C28" i="26"/>
  <c r="L27" i="26"/>
  <c r="K27" i="26"/>
  <c r="J27" i="26"/>
  <c r="I27" i="26"/>
  <c r="H27" i="26"/>
  <c r="G27" i="26"/>
  <c r="F27" i="26"/>
  <c r="E27" i="26"/>
  <c r="D27" i="26"/>
  <c r="C27" i="26"/>
  <c r="L26" i="26"/>
  <c r="K26" i="26"/>
  <c r="J26" i="26"/>
  <c r="I26" i="26"/>
  <c r="H26" i="26"/>
  <c r="G26" i="26"/>
  <c r="F26" i="26"/>
  <c r="E26" i="26"/>
  <c r="D26" i="26"/>
  <c r="C26" i="26"/>
  <c r="L25" i="26"/>
  <c r="K25" i="26"/>
  <c r="J25" i="26"/>
  <c r="I25" i="26"/>
  <c r="H25" i="26"/>
  <c r="G25" i="26"/>
  <c r="F25" i="26"/>
  <c r="E25" i="26"/>
  <c r="D25" i="26"/>
  <c r="C25" i="26"/>
  <c r="L24" i="26"/>
  <c r="K24" i="26"/>
  <c r="J24" i="26"/>
  <c r="I24" i="26"/>
  <c r="H24" i="26"/>
  <c r="G24" i="26"/>
  <c r="F24" i="26"/>
  <c r="E24" i="26"/>
  <c r="D24" i="26"/>
  <c r="C24" i="26"/>
  <c r="L23" i="26"/>
  <c r="K23" i="26"/>
  <c r="J23" i="26"/>
  <c r="I23" i="26"/>
  <c r="H23" i="26"/>
  <c r="G23" i="26"/>
  <c r="F23" i="26"/>
  <c r="E23" i="26"/>
  <c r="D23" i="26"/>
  <c r="C23" i="26"/>
  <c r="L22" i="26"/>
  <c r="K22" i="26"/>
  <c r="J22" i="26"/>
  <c r="I22" i="26"/>
  <c r="H22" i="26"/>
  <c r="G22" i="26"/>
  <c r="F22" i="26"/>
  <c r="E22" i="26"/>
  <c r="D22" i="26"/>
  <c r="C22" i="26"/>
  <c r="L21" i="26"/>
  <c r="K21" i="26"/>
  <c r="J21" i="26"/>
  <c r="I21" i="26"/>
  <c r="H21" i="26"/>
  <c r="G21" i="26"/>
  <c r="F21" i="26"/>
  <c r="E21" i="26"/>
  <c r="D21" i="26"/>
  <c r="C21" i="26"/>
  <c r="L20" i="26"/>
  <c r="K20" i="26"/>
  <c r="J20" i="26"/>
  <c r="I20" i="26"/>
  <c r="H20" i="26"/>
  <c r="G20" i="26"/>
  <c r="F20" i="26"/>
  <c r="E20" i="26"/>
  <c r="D20" i="26"/>
  <c r="C20" i="26"/>
  <c r="L19" i="26"/>
  <c r="K19" i="26"/>
  <c r="J19" i="26"/>
  <c r="I19" i="26"/>
  <c r="H19" i="26"/>
  <c r="G19" i="26"/>
  <c r="F19" i="26"/>
  <c r="E19" i="26"/>
  <c r="D19" i="26"/>
  <c r="C19" i="26"/>
  <c r="L18" i="26"/>
  <c r="K18" i="26"/>
  <c r="J18" i="26"/>
  <c r="I18" i="26"/>
  <c r="H18" i="26"/>
  <c r="G18" i="26"/>
  <c r="F18" i="26"/>
  <c r="E18" i="26"/>
  <c r="D18" i="26"/>
  <c r="C18" i="26"/>
  <c r="L17" i="26"/>
  <c r="K17" i="26"/>
  <c r="J17" i="26"/>
  <c r="I17" i="26"/>
  <c r="H17" i="26"/>
  <c r="G17" i="26"/>
  <c r="F17" i="26"/>
  <c r="E17" i="26"/>
  <c r="D17" i="26"/>
  <c r="C17" i="26"/>
  <c r="L16" i="26"/>
  <c r="K16" i="26"/>
  <c r="J16" i="26"/>
  <c r="I16" i="26"/>
  <c r="H16" i="26"/>
  <c r="G16" i="26"/>
  <c r="F16" i="26"/>
  <c r="E16" i="26"/>
  <c r="D16" i="26"/>
  <c r="C16" i="26"/>
  <c r="L15" i="26"/>
  <c r="K15" i="26"/>
  <c r="J15" i="26"/>
  <c r="I15" i="26"/>
  <c r="H15" i="26"/>
  <c r="G15" i="26"/>
  <c r="F15" i="26"/>
  <c r="E15" i="26"/>
  <c r="D15" i="26"/>
  <c r="C15" i="26"/>
  <c r="L14" i="26"/>
  <c r="K14" i="26"/>
  <c r="J14" i="26"/>
  <c r="I14" i="26"/>
  <c r="H14" i="26"/>
  <c r="G14" i="26"/>
  <c r="F14" i="26"/>
  <c r="E14" i="26"/>
  <c r="D14" i="26"/>
  <c r="C14" i="26"/>
  <c r="L13" i="26"/>
  <c r="K13" i="26"/>
  <c r="J13" i="26"/>
  <c r="I13" i="26"/>
  <c r="H13" i="26"/>
  <c r="G13" i="26"/>
  <c r="F13" i="26"/>
  <c r="E13" i="26"/>
  <c r="D13" i="26"/>
  <c r="C13" i="26"/>
  <c r="L12" i="26"/>
  <c r="K12" i="26"/>
  <c r="J12" i="26"/>
  <c r="I12" i="26"/>
  <c r="H12" i="26"/>
  <c r="G12" i="26"/>
  <c r="F12" i="26"/>
  <c r="E12" i="26"/>
  <c r="D12" i="26"/>
  <c r="C12" i="26"/>
  <c r="L11" i="26"/>
  <c r="K11" i="26"/>
  <c r="J11" i="26"/>
  <c r="I11" i="26"/>
  <c r="H11" i="26"/>
  <c r="G11" i="26"/>
  <c r="F11" i="26"/>
  <c r="E11" i="26"/>
  <c r="D11" i="26"/>
  <c r="C11" i="26"/>
  <c r="L10" i="26"/>
  <c r="K10" i="26"/>
  <c r="J10" i="26"/>
  <c r="I10" i="26"/>
  <c r="H10" i="26"/>
  <c r="G10" i="26"/>
  <c r="F10" i="26"/>
  <c r="E10" i="26"/>
  <c r="D10" i="26"/>
  <c r="C10" i="26"/>
  <c r="L9" i="26"/>
  <c r="K9" i="26"/>
  <c r="J9" i="26"/>
  <c r="I9" i="26"/>
  <c r="H9" i="26"/>
  <c r="G9" i="26"/>
  <c r="F9" i="26"/>
  <c r="E9" i="26"/>
  <c r="D9" i="26"/>
  <c r="C9" i="26"/>
  <c r="L8" i="26"/>
  <c r="K8" i="26"/>
  <c r="J8" i="26"/>
  <c r="I8" i="26"/>
  <c r="H8" i="26"/>
  <c r="G8" i="26"/>
  <c r="F8" i="26"/>
  <c r="E8" i="26"/>
  <c r="D8" i="26"/>
  <c r="C8" i="26"/>
  <c r="L7" i="26"/>
  <c r="K7" i="26"/>
  <c r="J7" i="26"/>
  <c r="I7" i="26"/>
  <c r="H7" i="26"/>
  <c r="G7" i="26"/>
  <c r="F7" i="26"/>
  <c r="E7" i="26"/>
  <c r="D7" i="26"/>
  <c r="C7" i="26"/>
  <c r="AL92" i="26"/>
  <c r="AK92" i="26"/>
  <c r="Z92" i="26"/>
  <c r="Y92" i="26"/>
  <c r="N92" i="26"/>
  <c r="M92" i="26"/>
  <c r="AL91" i="26"/>
  <c r="AK91" i="26"/>
  <c r="Z91" i="26"/>
  <c r="Y91" i="26"/>
  <c r="N91" i="26"/>
  <c r="M91" i="26"/>
  <c r="AL90" i="26"/>
  <c r="AK90" i="26"/>
  <c r="Z90" i="26"/>
  <c r="Y90" i="26"/>
  <c r="N90" i="26"/>
  <c r="M90" i="26"/>
  <c r="AL89" i="26"/>
  <c r="AK89" i="26"/>
  <c r="Z89" i="26"/>
  <c r="Y89" i="26"/>
  <c r="N89" i="26"/>
  <c r="M89" i="26"/>
  <c r="AL88" i="26"/>
  <c r="AK88" i="26"/>
  <c r="Z88" i="26"/>
  <c r="Y88" i="26"/>
  <c r="N88" i="26"/>
  <c r="M88" i="26"/>
  <c r="AL87" i="26"/>
  <c r="AK87" i="26"/>
  <c r="Z87" i="26"/>
  <c r="Y87" i="26"/>
  <c r="N87" i="26"/>
  <c r="M87" i="26"/>
  <c r="AL86" i="26"/>
  <c r="AK86" i="26"/>
  <c r="Z86" i="26"/>
  <c r="Y86" i="26"/>
  <c r="N86" i="26"/>
  <c r="M86" i="26"/>
  <c r="AL85" i="26"/>
  <c r="AK85" i="26"/>
  <c r="Z85" i="26"/>
  <c r="Y85" i="26"/>
  <c r="N85" i="26"/>
  <c r="M85" i="26"/>
  <c r="AL79" i="26"/>
  <c r="AK79" i="26"/>
  <c r="Z79" i="26"/>
  <c r="Y79" i="26"/>
  <c r="N79" i="26"/>
  <c r="M79" i="26"/>
  <c r="AL78" i="26"/>
  <c r="AK78" i="26"/>
  <c r="Z78" i="26"/>
  <c r="Y78" i="26"/>
  <c r="N78" i="26"/>
  <c r="M78" i="26"/>
  <c r="AL77" i="26"/>
  <c r="AK77" i="26"/>
  <c r="Z77" i="26"/>
  <c r="Y77" i="26"/>
  <c r="N77" i="26"/>
  <c r="M77" i="26"/>
  <c r="AL76" i="26"/>
  <c r="AK76" i="26"/>
  <c r="Z76" i="26"/>
  <c r="Y76" i="26"/>
  <c r="N76" i="26"/>
  <c r="M76" i="26"/>
  <c r="AL75" i="26"/>
  <c r="AK75" i="26"/>
  <c r="Z75" i="26"/>
  <c r="Y75" i="26"/>
  <c r="N75" i="26"/>
  <c r="M75" i="26"/>
  <c r="AL74" i="26"/>
  <c r="AK74" i="26"/>
  <c r="Z74" i="26"/>
  <c r="Y74" i="26"/>
  <c r="N74" i="26"/>
  <c r="M74" i="26"/>
  <c r="AL73" i="26"/>
  <c r="AK73" i="26"/>
  <c r="Z73" i="26"/>
  <c r="Y73" i="26"/>
  <c r="N73" i="26"/>
  <c r="M73" i="26"/>
  <c r="AL72" i="26"/>
  <c r="AK72" i="26"/>
  <c r="Z72" i="26"/>
  <c r="Y72" i="26"/>
  <c r="N72" i="26"/>
  <c r="M72" i="26"/>
  <c r="AL71" i="26"/>
  <c r="AK71" i="26"/>
  <c r="Z71" i="26"/>
  <c r="Y71" i="26"/>
  <c r="N71" i="26"/>
  <c r="M71" i="26"/>
  <c r="AL70" i="26"/>
  <c r="AK70" i="26"/>
  <c r="Z70" i="26"/>
  <c r="Y70" i="26"/>
  <c r="N70" i="26"/>
  <c r="M70" i="26"/>
  <c r="AL69" i="26"/>
  <c r="AK69" i="26"/>
  <c r="Z69" i="26"/>
  <c r="Y69" i="26"/>
  <c r="N69" i="26"/>
  <c r="M69" i="26"/>
  <c r="AL68" i="26"/>
  <c r="AK68" i="26"/>
  <c r="Z68" i="26"/>
  <c r="Y68" i="26"/>
  <c r="N68" i="26"/>
  <c r="M68" i="26"/>
  <c r="AL67" i="26"/>
  <c r="AK67" i="26"/>
  <c r="Z67" i="26"/>
  <c r="Y67" i="26"/>
  <c r="N67" i="26"/>
  <c r="M67" i="26"/>
  <c r="AL66" i="26"/>
  <c r="AK66" i="26"/>
  <c r="Z66" i="26"/>
  <c r="Y66" i="26"/>
  <c r="N66" i="26"/>
  <c r="M66" i="26"/>
  <c r="AL65" i="26"/>
  <c r="AK65" i="26"/>
  <c r="Z65" i="26"/>
  <c r="Y65" i="26"/>
  <c r="N65" i="26"/>
  <c r="M65" i="26"/>
  <c r="AL64" i="26"/>
  <c r="AK64" i="26"/>
  <c r="Z64" i="26"/>
  <c r="Y64" i="26"/>
  <c r="N64" i="26"/>
  <c r="M64" i="26"/>
  <c r="AL63" i="26"/>
  <c r="AK63" i="26"/>
  <c r="Z63" i="26"/>
  <c r="Y63" i="26"/>
  <c r="N63" i="26"/>
  <c r="M63" i="26"/>
  <c r="AL62" i="26"/>
  <c r="AK62" i="26"/>
  <c r="Z62" i="26"/>
  <c r="Y62" i="26"/>
  <c r="N62" i="26"/>
  <c r="M62" i="26"/>
  <c r="AL61" i="26"/>
  <c r="AK61" i="26"/>
  <c r="Z61" i="26"/>
  <c r="Y61" i="26"/>
  <c r="N61" i="26"/>
  <c r="M61" i="26"/>
  <c r="AL60" i="26"/>
  <c r="AK60" i="26"/>
  <c r="Z60" i="26"/>
  <c r="Y60" i="26"/>
  <c r="N60" i="26"/>
  <c r="M60" i="26"/>
  <c r="AL59" i="26"/>
  <c r="AK59" i="26"/>
  <c r="Z59" i="26"/>
  <c r="Y59" i="26"/>
  <c r="N59" i="26"/>
  <c r="M59" i="26"/>
  <c r="AL58" i="26"/>
  <c r="AK58" i="26"/>
  <c r="Z58" i="26"/>
  <c r="Y58" i="26"/>
  <c r="N58" i="26"/>
  <c r="M58" i="26"/>
  <c r="AL57" i="26"/>
  <c r="AK57" i="26"/>
  <c r="Z57" i="26"/>
  <c r="Y57" i="26"/>
  <c r="N57" i="26"/>
  <c r="M57" i="26"/>
  <c r="AL56" i="26"/>
  <c r="AK56" i="26"/>
  <c r="Z56" i="26"/>
  <c r="Y56" i="26"/>
  <c r="N56" i="26"/>
  <c r="M56" i="26"/>
  <c r="AL55" i="26"/>
  <c r="AK55" i="26"/>
  <c r="Z55" i="26"/>
  <c r="Y55" i="26"/>
  <c r="N55" i="26"/>
  <c r="M55" i="26"/>
  <c r="AL54" i="26"/>
  <c r="AK54" i="26"/>
  <c r="Z54" i="26"/>
  <c r="Y54" i="26"/>
  <c r="N54" i="26"/>
  <c r="M54" i="26"/>
  <c r="AL53" i="26"/>
  <c r="AK53" i="26"/>
  <c r="Z53" i="26"/>
  <c r="Y53" i="26"/>
  <c r="N53" i="26"/>
  <c r="M53" i="26"/>
  <c r="AL52" i="26"/>
  <c r="AK52" i="26"/>
  <c r="Z52" i="26"/>
  <c r="Y52" i="26"/>
  <c r="N52" i="26"/>
  <c r="M52" i="26"/>
  <c r="AL51" i="26"/>
  <c r="AK51" i="26"/>
  <c r="Z51" i="26"/>
  <c r="Y51" i="26"/>
  <c r="N51" i="26"/>
  <c r="M51" i="26"/>
  <c r="AL50" i="26"/>
  <c r="AK50" i="26"/>
  <c r="Z50" i="26"/>
  <c r="Y50" i="26"/>
  <c r="N50" i="26"/>
  <c r="M50" i="26"/>
  <c r="AL49" i="26"/>
  <c r="AK49" i="26"/>
  <c r="Z49" i="26"/>
  <c r="Y49" i="26"/>
  <c r="N49" i="26"/>
  <c r="M49" i="26"/>
  <c r="AL48" i="26"/>
  <c r="AK48" i="26"/>
  <c r="Z48" i="26"/>
  <c r="Y48" i="26"/>
  <c r="N48" i="26"/>
  <c r="M48" i="26"/>
  <c r="AL47" i="26"/>
  <c r="AK47" i="26"/>
  <c r="Z47" i="26"/>
  <c r="Y47" i="26"/>
  <c r="N47" i="26"/>
  <c r="M47" i="26"/>
  <c r="AL46" i="26"/>
  <c r="AK46" i="26"/>
  <c r="Z46" i="26"/>
  <c r="Y46" i="26"/>
  <c r="N46" i="26"/>
  <c r="M46" i="26"/>
  <c r="AL45" i="26"/>
  <c r="AK45" i="26"/>
  <c r="Z45" i="26"/>
  <c r="Y45" i="26"/>
  <c r="N45" i="26"/>
  <c r="M45" i="26"/>
  <c r="AL44" i="26"/>
  <c r="AK44" i="26"/>
  <c r="Z44" i="26"/>
  <c r="Y44" i="26"/>
  <c r="N44" i="26"/>
  <c r="M44" i="26"/>
  <c r="AL43" i="26"/>
  <c r="AK43" i="26"/>
  <c r="Z43" i="26"/>
  <c r="Y43" i="26"/>
  <c r="N43" i="26"/>
  <c r="M43" i="26"/>
  <c r="AL42" i="26"/>
  <c r="AK42" i="26"/>
  <c r="Z42" i="26"/>
  <c r="Y42" i="26"/>
  <c r="N42" i="26"/>
  <c r="M42" i="26"/>
  <c r="AL41" i="26"/>
  <c r="AK41" i="26"/>
  <c r="Z41" i="26"/>
  <c r="Y41" i="26"/>
  <c r="N41" i="26"/>
  <c r="M41" i="26"/>
  <c r="AL40" i="26"/>
  <c r="AK40" i="26"/>
  <c r="Z40" i="26"/>
  <c r="Y40" i="26"/>
  <c r="N40" i="26"/>
  <c r="M40" i="26"/>
  <c r="AL39" i="26"/>
  <c r="AK39" i="26"/>
  <c r="Z39" i="26"/>
  <c r="Y39" i="26"/>
  <c r="N39" i="26"/>
  <c r="M39" i="26"/>
  <c r="AL38" i="26"/>
  <c r="AK38" i="26"/>
  <c r="Z38" i="26"/>
  <c r="Y38" i="26"/>
  <c r="N38" i="26"/>
  <c r="M38" i="26"/>
  <c r="AL37" i="26"/>
  <c r="AK37" i="26"/>
  <c r="Z37" i="26"/>
  <c r="Y37" i="26"/>
  <c r="N37" i="26"/>
  <c r="M37" i="26"/>
  <c r="AL36" i="26"/>
  <c r="AK36" i="26"/>
  <c r="Z36" i="26"/>
  <c r="Y36" i="26"/>
  <c r="N36" i="26"/>
  <c r="M36" i="26"/>
  <c r="AL35" i="26"/>
  <c r="AK35" i="26"/>
  <c r="Z35" i="26"/>
  <c r="Y35" i="26"/>
  <c r="N35" i="26"/>
  <c r="M35" i="26"/>
  <c r="AL34" i="26"/>
  <c r="AK34" i="26"/>
  <c r="Z34" i="26"/>
  <c r="Y34" i="26"/>
  <c r="N34" i="26"/>
  <c r="M34" i="26"/>
  <c r="AL33" i="26"/>
  <c r="AK33" i="26"/>
  <c r="Z33" i="26"/>
  <c r="Y33" i="26"/>
  <c r="N33" i="26"/>
  <c r="M33" i="26"/>
  <c r="AL32" i="26"/>
  <c r="AK32" i="26"/>
  <c r="Z32" i="26"/>
  <c r="Y32" i="26"/>
  <c r="N32" i="26"/>
  <c r="M32" i="26"/>
  <c r="AL31" i="26"/>
  <c r="AK31" i="26"/>
  <c r="Z31" i="26"/>
  <c r="Y31" i="26"/>
  <c r="N31" i="26"/>
  <c r="M31" i="26"/>
  <c r="AL30" i="26"/>
  <c r="AK30" i="26"/>
  <c r="Z30" i="26"/>
  <c r="Y30" i="26"/>
  <c r="N30" i="26"/>
  <c r="M30" i="26"/>
  <c r="AL29" i="26"/>
  <c r="AK29" i="26"/>
  <c r="Z29" i="26"/>
  <c r="Y29" i="26"/>
  <c r="N29" i="26"/>
  <c r="M29" i="26"/>
  <c r="AL28" i="26"/>
  <c r="AK28" i="26"/>
  <c r="Z28" i="26"/>
  <c r="Y28" i="26"/>
  <c r="N28" i="26"/>
  <c r="M28" i="26"/>
  <c r="AL27" i="26"/>
  <c r="AK27" i="26"/>
  <c r="Z27" i="26"/>
  <c r="Y27" i="26"/>
  <c r="N27" i="26"/>
  <c r="M27" i="26"/>
  <c r="AL26" i="26"/>
  <c r="AK26" i="26"/>
  <c r="Z26" i="26"/>
  <c r="Y26" i="26"/>
  <c r="N26" i="26"/>
  <c r="M26" i="26"/>
  <c r="AL25" i="26"/>
  <c r="AK25" i="26"/>
  <c r="Z25" i="26"/>
  <c r="Y25" i="26"/>
  <c r="N25" i="26"/>
  <c r="M25" i="26"/>
  <c r="AL24" i="26"/>
  <c r="AK24" i="26"/>
  <c r="Z24" i="26"/>
  <c r="Y24" i="26"/>
  <c r="N24" i="26"/>
  <c r="M24" i="26"/>
  <c r="AL23" i="26"/>
  <c r="AK23" i="26"/>
  <c r="Z23" i="26"/>
  <c r="Y23" i="26"/>
  <c r="N23" i="26"/>
  <c r="M23" i="26"/>
  <c r="AL22" i="26"/>
  <c r="AK22" i="26"/>
  <c r="Z22" i="26"/>
  <c r="Y22" i="26"/>
  <c r="N22" i="26"/>
  <c r="M22" i="26"/>
  <c r="AL21" i="26"/>
  <c r="AK21" i="26"/>
  <c r="Z21" i="26"/>
  <c r="Y21" i="26"/>
  <c r="N21" i="26"/>
  <c r="M21" i="26"/>
  <c r="AL20" i="26"/>
  <c r="AK20" i="26"/>
  <c r="Z20" i="26"/>
  <c r="Y20" i="26"/>
  <c r="N20" i="26"/>
  <c r="M20" i="26"/>
  <c r="AL19" i="26"/>
  <c r="AK19" i="26"/>
  <c r="Z19" i="26"/>
  <c r="Y19" i="26"/>
  <c r="N19" i="26"/>
  <c r="M19" i="26"/>
  <c r="AL18" i="26"/>
  <c r="AK18" i="26"/>
  <c r="Z18" i="26"/>
  <c r="Y18" i="26"/>
  <c r="N18" i="26"/>
  <c r="M18" i="26"/>
  <c r="AL17" i="26"/>
  <c r="AK17" i="26"/>
  <c r="Z17" i="26"/>
  <c r="Y17" i="26"/>
  <c r="N17" i="26"/>
  <c r="M17" i="26"/>
  <c r="AL16" i="26"/>
  <c r="AK16" i="26"/>
  <c r="Z16" i="26"/>
  <c r="Y16" i="26"/>
  <c r="N16" i="26"/>
  <c r="M16" i="26"/>
  <c r="AL15" i="26"/>
  <c r="AK15" i="26"/>
  <c r="Z15" i="26"/>
  <c r="Y15" i="26"/>
  <c r="N15" i="26"/>
  <c r="M15" i="26"/>
  <c r="AL14" i="26"/>
  <c r="AK14" i="26"/>
  <c r="Z14" i="26"/>
  <c r="Y14" i="26"/>
  <c r="N14" i="26"/>
  <c r="M14" i="26"/>
  <c r="AL13" i="26"/>
  <c r="AK13" i="26"/>
  <c r="Z13" i="26"/>
  <c r="Y13" i="26"/>
  <c r="N13" i="26"/>
  <c r="M13" i="26"/>
  <c r="AL12" i="26"/>
  <c r="AK12" i="26"/>
  <c r="Z12" i="26"/>
  <c r="Y12" i="26"/>
  <c r="N12" i="26"/>
  <c r="M12" i="26"/>
  <c r="AL11" i="26"/>
  <c r="AK11" i="26"/>
  <c r="Z11" i="26"/>
  <c r="Y11" i="26"/>
  <c r="N11" i="26"/>
  <c r="M11" i="26"/>
  <c r="AL10" i="26"/>
  <c r="AK10" i="26"/>
  <c r="Z10" i="26"/>
  <c r="Y10" i="26"/>
  <c r="N10" i="26"/>
  <c r="M10" i="26"/>
  <c r="N9" i="26"/>
  <c r="M9" i="26"/>
  <c r="AN8" i="26"/>
  <c r="AL8" i="26"/>
  <c r="AK8" i="26"/>
  <c r="Z8" i="26"/>
  <c r="Y8" i="26"/>
  <c r="N8" i="26"/>
  <c r="M8" i="26"/>
  <c r="AL7" i="26"/>
  <c r="AK7" i="26"/>
  <c r="Z7" i="26"/>
  <c r="Y7" i="26"/>
  <c r="N7" i="26"/>
  <c r="M7" i="26"/>
  <c r="AL80" i="2"/>
  <c r="AK80" i="2"/>
  <c r="AL79" i="2"/>
  <c r="AK79" i="2"/>
  <c r="AL78" i="2"/>
  <c r="AK78" i="2"/>
  <c r="AL77" i="2"/>
  <c r="AK77" i="2"/>
  <c r="AL76" i="2"/>
  <c r="AK76" i="2"/>
  <c r="AL75" i="2"/>
  <c r="AK75" i="2"/>
  <c r="AL74" i="2"/>
  <c r="AK74" i="2"/>
  <c r="AL73" i="2"/>
  <c r="AK73" i="2"/>
  <c r="AL67" i="2"/>
  <c r="AK67" i="2"/>
  <c r="AL66" i="2"/>
  <c r="AK66" i="2"/>
  <c r="AL65" i="2"/>
  <c r="AK65" i="2"/>
  <c r="AL64" i="2"/>
  <c r="AK64" i="2"/>
  <c r="AL63" i="2"/>
  <c r="AK63" i="2"/>
  <c r="AL62" i="2"/>
  <c r="AK62" i="2"/>
  <c r="AL61" i="2"/>
  <c r="AK61" i="2"/>
  <c r="AL60" i="2"/>
  <c r="AK60" i="2"/>
  <c r="AL92" i="2"/>
  <c r="AK92" i="2"/>
  <c r="AL91" i="2"/>
  <c r="AK91" i="2"/>
  <c r="AL90" i="2"/>
  <c r="AK90" i="2"/>
  <c r="AL89" i="2"/>
  <c r="AK89" i="2"/>
  <c r="AL88" i="2"/>
  <c r="AK88" i="2"/>
  <c r="AL87" i="2"/>
  <c r="AK87" i="2"/>
  <c r="AL86" i="2"/>
  <c r="AK86" i="2"/>
  <c r="AL82" i="2"/>
  <c r="AK82" i="2"/>
  <c r="AL81" i="2"/>
  <c r="AK81" i="2"/>
  <c r="AL59" i="2"/>
  <c r="AK59" i="2"/>
  <c r="AL58" i="2"/>
  <c r="AK58" i="2"/>
  <c r="AL57" i="2"/>
  <c r="AK57" i="2"/>
  <c r="AL56" i="2"/>
  <c r="AK56" i="2"/>
  <c r="AL55" i="2"/>
  <c r="AK55" i="2"/>
  <c r="AL54" i="2"/>
  <c r="AK54" i="2"/>
  <c r="AL53" i="2"/>
  <c r="AK53" i="2"/>
  <c r="AL52" i="2"/>
  <c r="AK52" i="2"/>
  <c r="AL51" i="2"/>
  <c r="AK51" i="2"/>
  <c r="AL50" i="2"/>
  <c r="AK50" i="2"/>
  <c r="AL49" i="2"/>
  <c r="AK49" i="2"/>
  <c r="AL48" i="2"/>
  <c r="AK48" i="2"/>
  <c r="AL47" i="2"/>
  <c r="AK47" i="2"/>
  <c r="AL46" i="2"/>
  <c r="AK46" i="2"/>
  <c r="AL45" i="2"/>
  <c r="AK45" i="2"/>
  <c r="AL44" i="2"/>
  <c r="AK44" i="2"/>
  <c r="AL43" i="2"/>
  <c r="AK43" i="2"/>
  <c r="AL42" i="2"/>
  <c r="AK42" i="2"/>
  <c r="AL41" i="2"/>
  <c r="AK41" i="2"/>
  <c r="AL40" i="2"/>
  <c r="AK40" i="2"/>
  <c r="AL39" i="2"/>
  <c r="AK39" i="2"/>
  <c r="AL38" i="2"/>
  <c r="AK38" i="2"/>
  <c r="AL37" i="2"/>
  <c r="AK37" i="2"/>
  <c r="AL36" i="2"/>
  <c r="AK36" i="2"/>
  <c r="AL35" i="2"/>
  <c r="AK35" i="2"/>
  <c r="AL34" i="2"/>
  <c r="AK34" i="2"/>
  <c r="AL33" i="2"/>
  <c r="AK33" i="2"/>
  <c r="AL32" i="2"/>
  <c r="AK32" i="2"/>
  <c r="AL31" i="2"/>
  <c r="AK31" i="2"/>
  <c r="AL30" i="2"/>
  <c r="AK30" i="2"/>
  <c r="AL29" i="2"/>
  <c r="AK29" i="2"/>
  <c r="AL28" i="2"/>
  <c r="AK28" i="2"/>
  <c r="AL27" i="2"/>
  <c r="AK27" i="2"/>
  <c r="AL26" i="2"/>
  <c r="AK26" i="2"/>
  <c r="AL25" i="2"/>
  <c r="AK25" i="2"/>
  <c r="AL23" i="2"/>
  <c r="AK23" i="2"/>
  <c r="AL22" i="2"/>
  <c r="AK22" i="2"/>
  <c r="AL24" i="2"/>
  <c r="AK24" i="2"/>
  <c r="AL21" i="2"/>
  <c r="AK21" i="2"/>
  <c r="AL20" i="2"/>
  <c r="AK20" i="2"/>
  <c r="AL19" i="2"/>
  <c r="AK19" i="2"/>
  <c r="AL18" i="2"/>
  <c r="AK18" i="2"/>
  <c r="AL17" i="2"/>
  <c r="AK17" i="2"/>
  <c r="AL16" i="2"/>
  <c r="AK16" i="2"/>
  <c r="AL15" i="2"/>
  <c r="AK15" i="2"/>
  <c r="AL14" i="2"/>
  <c r="AK14" i="2"/>
  <c r="AL13" i="2"/>
  <c r="AK13" i="2"/>
  <c r="AL12" i="2"/>
  <c r="AK12" i="2"/>
  <c r="AL83" i="2"/>
  <c r="AK83" i="2"/>
  <c r="AL11" i="2"/>
  <c r="AK11" i="2"/>
  <c r="AL10" i="2"/>
  <c r="AK10" i="2"/>
  <c r="AL9" i="2"/>
  <c r="AK9" i="2"/>
  <c r="AL8" i="2"/>
  <c r="AK8" i="2"/>
  <c r="AL7" i="2"/>
  <c r="AK7" i="2"/>
  <c r="AL85" i="2"/>
  <c r="AK85" i="2"/>
  <c r="D68" i="35" l="1"/>
  <c r="D82" i="35"/>
  <c r="D86" i="35"/>
  <c r="D98" i="35"/>
  <c r="D106" i="35"/>
  <c r="D122" i="35"/>
  <c r="D66" i="35"/>
  <c r="D74" i="35"/>
  <c r="D78" i="35"/>
  <c r="D90" i="35"/>
  <c r="D94" i="35"/>
  <c r="D102" i="35"/>
  <c r="D110" i="35"/>
  <c r="D114" i="35"/>
  <c r="D118" i="35"/>
  <c r="AN7" i="28"/>
  <c r="AN8" i="28"/>
  <c r="F58" i="35"/>
  <c r="C84" i="2" l="1"/>
  <c r="D84" i="2"/>
  <c r="E84" i="2"/>
  <c r="F84" i="2"/>
  <c r="G84" i="2"/>
  <c r="H84" i="2"/>
  <c r="I84" i="2"/>
  <c r="J84" i="2"/>
  <c r="K84" i="2"/>
  <c r="L84" i="2"/>
  <c r="M84" i="2"/>
  <c r="N84" i="2"/>
  <c r="K69" i="2"/>
  <c r="G69" i="2"/>
  <c r="C69" i="2"/>
  <c r="E7" i="2"/>
  <c r="F7" i="2"/>
  <c r="I7" i="2"/>
  <c r="J7" i="2"/>
  <c r="M7" i="2"/>
  <c r="N7" i="2"/>
  <c r="C8" i="2"/>
  <c r="D8" i="2"/>
  <c r="E8" i="2"/>
  <c r="F8" i="2"/>
  <c r="G8" i="2"/>
  <c r="H8" i="2"/>
  <c r="I8" i="2"/>
  <c r="J8" i="2"/>
  <c r="K8" i="2"/>
  <c r="L8" i="2"/>
  <c r="M8" i="2"/>
  <c r="N8" i="2"/>
  <c r="C9" i="2"/>
  <c r="D9" i="2"/>
  <c r="E9" i="2"/>
  <c r="F9" i="2"/>
  <c r="G9" i="2"/>
  <c r="H9" i="2"/>
  <c r="I9" i="2"/>
  <c r="J9" i="2"/>
  <c r="K9" i="2"/>
  <c r="L9" i="2"/>
  <c r="M9" i="2"/>
  <c r="N9" i="2"/>
  <c r="C10" i="2"/>
  <c r="D10" i="2"/>
  <c r="E10" i="2"/>
  <c r="F10" i="2"/>
  <c r="G10" i="2"/>
  <c r="H10" i="2"/>
  <c r="I10" i="2"/>
  <c r="J10" i="2"/>
  <c r="K10" i="2"/>
  <c r="L10" i="2"/>
  <c r="M10" i="2"/>
  <c r="N10" i="2"/>
  <c r="C11" i="2"/>
  <c r="D11" i="2"/>
  <c r="E11" i="2"/>
  <c r="F11" i="2"/>
  <c r="G11" i="2"/>
  <c r="H11" i="2"/>
  <c r="I11" i="2"/>
  <c r="J11" i="2"/>
  <c r="K11" i="2"/>
  <c r="L11" i="2"/>
  <c r="M11" i="2"/>
  <c r="N11" i="2"/>
  <c r="C83" i="2"/>
  <c r="D83" i="2"/>
  <c r="E83" i="2"/>
  <c r="F83" i="2"/>
  <c r="G83" i="2"/>
  <c r="H83" i="2"/>
  <c r="I83" i="2"/>
  <c r="J83" i="2"/>
  <c r="K83" i="2"/>
  <c r="L83" i="2"/>
  <c r="M83" i="2"/>
  <c r="N83" i="2"/>
  <c r="C12" i="2"/>
  <c r="D12" i="2"/>
  <c r="E12" i="2"/>
  <c r="F12" i="2"/>
  <c r="G12" i="2"/>
  <c r="H12" i="2"/>
  <c r="I12" i="2"/>
  <c r="J12" i="2"/>
  <c r="K12" i="2"/>
  <c r="L12" i="2"/>
  <c r="M12" i="2"/>
  <c r="N12" i="2"/>
  <c r="C13" i="2"/>
  <c r="D13" i="2"/>
  <c r="E13" i="2"/>
  <c r="F13" i="2"/>
  <c r="G13" i="2"/>
  <c r="H13" i="2"/>
  <c r="I13" i="2"/>
  <c r="J13" i="2"/>
  <c r="K13" i="2"/>
  <c r="L13" i="2"/>
  <c r="M13" i="2"/>
  <c r="N13" i="2"/>
  <c r="C14" i="2"/>
  <c r="D14" i="2"/>
  <c r="E14" i="2"/>
  <c r="F14" i="2"/>
  <c r="G14" i="2"/>
  <c r="H14" i="2"/>
  <c r="I14" i="2"/>
  <c r="J14" i="2"/>
  <c r="K14" i="2"/>
  <c r="L14" i="2"/>
  <c r="M14" i="2"/>
  <c r="N14" i="2"/>
  <c r="C15" i="2"/>
  <c r="D15" i="2"/>
  <c r="E15" i="2"/>
  <c r="F15" i="2"/>
  <c r="G15" i="2"/>
  <c r="H15" i="2"/>
  <c r="I15" i="2"/>
  <c r="J15" i="2"/>
  <c r="K15" i="2"/>
  <c r="L15" i="2"/>
  <c r="M15" i="2"/>
  <c r="N15" i="2"/>
  <c r="C16" i="2"/>
  <c r="D16" i="2"/>
  <c r="E16" i="2"/>
  <c r="F16" i="2"/>
  <c r="G16" i="2"/>
  <c r="H16" i="2"/>
  <c r="I16" i="2"/>
  <c r="J16" i="2"/>
  <c r="K16" i="2"/>
  <c r="L16" i="2"/>
  <c r="M16" i="2"/>
  <c r="N16" i="2"/>
  <c r="C17" i="2"/>
  <c r="D17" i="2"/>
  <c r="E17" i="2"/>
  <c r="F17" i="2"/>
  <c r="G17" i="2"/>
  <c r="H17" i="2"/>
  <c r="I17" i="2"/>
  <c r="J17" i="2"/>
  <c r="K17" i="2"/>
  <c r="L17" i="2"/>
  <c r="M17" i="2"/>
  <c r="N17" i="2"/>
  <c r="E18" i="2"/>
  <c r="F18" i="2"/>
  <c r="I18" i="2"/>
  <c r="J18" i="2"/>
  <c r="M18" i="2"/>
  <c r="N18" i="2"/>
  <c r="C19" i="2"/>
  <c r="D19" i="2"/>
  <c r="E19" i="2"/>
  <c r="F19" i="2"/>
  <c r="G19" i="2"/>
  <c r="H19" i="2"/>
  <c r="I19" i="2"/>
  <c r="J19" i="2"/>
  <c r="K19" i="2"/>
  <c r="L19" i="2"/>
  <c r="M19" i="2"/>
  <c r="N19" i="2"/>
  <c r="C20" i="2"/>
  <c r="D20" i="2"/>
  <c r="E20" i="2"/>
  <c r="F20" i="2"/>
  <c r="G20" i="2"/>
  <c r="H20" i="2"/>
  <c r="I20" i="2"/>
  <c r="J20" i="2"/>
  <c r="K20" i="2"/>
  <c r="L20" i="2"/>
  <c r="M20" i="2"/>
  <c r="N20" i="2"/>
  <c r="C21" i="2"/>
  <c r="D21" i="2"/>
  <c r="E21" i="2"/>
  <c r="F21" i="2"/>
  <c r="G21" i="2"/>
  <c r="H21" i="2"/>
  <c r="I21" i="2"/>
  <c r="J21" i="2"/>
  <c r="K21" i="2"/>
  <c r="L21" i="2"/>
  <c r="M21" i="2"/>
  <c r="N21" i="2"/>
  <c r="C24" i="2"/>
  <c r="D24" i="2"/>
  <c r="E24" i="2"/>
  <c r="F24" i="2"/>
  <c r="G24" i="2"/>
  <c r="H24" i="2"/>
  <c r="I24" i="2"/>
  <c r="J24" i="2"/>
  <c r="K24" i="2"/>
  <c r="L24" i="2"/>
  <c r="M24" i="2"/>
  <c r="N24" i="2"/>
  <c r="C22" i="2"/>
  <c r="D22" i="2"/>
  <c r="E22" i="2"/>
  <c r="F22" i="2"/>
  <c r="G22" i="2"/>
  <c r="H22" i="2"/>
  <c r="I22" i="2"/>
  <c r="J22" i="2"/>
  <c r="K22" i="2"/>
  <c r="L22" i="2"/>
  <c r="M22" i="2"/>
  <c r="N22" i="2"/>
  <c r="C23" i="2"/>
  <c r="D23" i="2"/>
  <c r="E23" i="2"/>
  <c r="F23" i="2"/>
  <c r="G23" i="2"/>
  <c r="H23" i="2"/>
  <c r="I23" i="2"/>
  <c r="J23" i="2"/>
  <c r="K23" i="2"/>
  <c r="L23" i="2"/>
  <c r="M23" i="2"/>
  <c r="N23" i="2"/>
  <c r="C25" i="2"/>
  <c r="D25" i="2"/>
  <c r="E25" i="2"/>
  <c r="F25" i="2"/>
  <c r="G25" i="2"/>
  <c r="H25" i="2"/>
  <c r="I25" i="2"/>
  <c r="J25" i="2"/>
  <c r="K25" i="2"/>
  <c r="L25" i="2"/>
  <c r="M25" i="2"/>
  <c r="N25" i="2"/>
  <c r="C26" i="2"/>
  <c r="D26" i="2"/>
  <c r="E26" i="2"/>
  <c r="F26" i="2"/>
  <c r="G26" i="2"/>
  <c r="H26" i="2"/>
  <c r="I26" i="2"/>
  <c r="J26" i="2"/>
  <c r="K26" i="2"/>
  <c r="L26" i="2"/>
  <c r="M26" i="2"/>
  <c r="N26" i="2"/>
  <c r="C27" i="2"/>
  <c r="D27" i="2"/>
  <c r="E27" i="2"/>
  <c r="F27" i="2"/>
  <c r="G27" i="2"/>
  <c r="H27" i="2"/>
  <c r="I27" i="2"/>
  <c r="J27" i="2"/>
  <c r="K27" i="2"/>
  <c r="L27" i="2"/>
  <c r="M27" i="2"/>
  <c r="N27" i="2"/>
  <c r="C28" i="2"/>
  <c r="D28" i="2"/>
  <c r="E28" i="2"/>
  <c r="F28" i="2"/>
  <c r="G28" i="2"/>
  <c r="H28" i="2"/>
  <c r="I28" i="2"/>
  <c r="J28" i="2"/>
  <c r="K28" i="2"/>
  <c r="L28" i="2"/>
  <c r="M28" i="2"/>
  <c r="N28" i="2"/>
  <c r="C29" i="2"/>
  <c r="D29" i="2"/>
  <c r="E29" i="2"/>
  <c r="F29" i="2"/>
  <c r="G29" i="2"/>
  <c r="H29" i="2"/>
  <c r="I29" i="2"/>
  <c r="J29" i="2"/>
  <c r="K29" i="2"/>
  <c r="L29" i="2"/>
  <c r="M29" i="2"/>
  <c r="N29" i="2"/>
  <c r="C30" i="2"/>
  <c r="D30" i="2"/>
  <c r="E30" i="2"/>
  <c r="F30" i="2"/>
  <c r="G30" i="2"/>
  <c r="H30" i="2"/>
  <c r="I30" i="2"/>
  <c r="J30" i="2"/>
  <c r="K30" i="2"/>
  <c r="L30" i="2"/>
  <c r="M30" i="2"/>
  <c r="N30" i="2"/>
  <c r="C31" i="2"/>
  <c r="D31" i="2"/>
  <c r="E31" i="2"/>
  <c r="F31" i="2"/>
  <c r="G31" i="2"/>
  <c r="H31" i="2"/>
  <c r="I31" i="2"/>
  <c r="J31" i="2"/>
  <c r="K31" i="2"/>
  <c r="L31" i="2"/>
  <c r="M31" i="2"/>
  <c r="N31" i="2"/>
  <c r="C32" i="2"/>
  <c r="D32" i="2"/>
  <c r="E32" i="2"/>
  <c r="F32" i="2"/>
  <c r="G32" i="2"/>
  <c r="H32" i="2"/>
  <c r="I32" i="2"/>
  <c r="J32" i="2"/>
  <c r="K32" i="2"/>
  <c r="L32" i="2"/>
  <c r="M32" i="2"/>
  <c r="N32" i="2"/>
  <c r="C33" i="2"/>
  <c r="D33" i="2"/>
  <c r="E33" i="2"/>
  <c r="F33" i="2"/>
  <c r="G33" i="2"/>
  <c r="H33" i="2"/>
  <c r="I33" i="2"/>
  <c r="J33" i="2"/>
  <c r="K33" i="2"/>
  <c r="L33" i="2"/>
  <c r="M33" i="2"/>
  <c r="N33" i="2"/>
  <c r="C34" i="2"/>
  <c r="D34" i="2"/>
  <c r="E34" i="2"/>
  <c r="F34" i="2"/>
  <c r="G34" i="2"/>
  <c r="H34" i="2"/>
  <c r="I34" i="2"/>
  <c r="J34" i="2"/>
  <c r="K34" i="2"/>
  <c r="L34" i="2"/>
  <c r="M34" i="2"/>
  <c r="N34" i="2"/>
  <c r="C35" i="2"/>
  <c r="D35" i="2"/>
  <c r="E35" i="2"/>
  <c r="F35" i="2"/>
  <c r="G35" i="2"/>
  <c r="H35" i="2"/>
  <c r="I35" i="2"/>
  <c r="J35" i="2"/>
  <c r="K35" i="2"/>
  <c r="L35" i="2"/>
  <c r="M35" i="2"/>
  <c r="N35" i="2"/>
  <c r="C36" i="2"/>
  <c r="D36" i="2"/>
  <c r="E36" i="2"/>
  <c r="F36" i="2"/>
  <c r="G36" i="2"/>
  <c r="H36" i="2"/>
  <c r="I36" i="2"/>
  <c r="J36" i="2"/>
  <c r="K36" i="2"/>
  <c r="L36" i="2"/>
  <c r="M36" i="2"/>
  <c r="N36" i="2"/>
  <c r="C37" i="2"/>
  <c r="D37" i="2"/>
  <c r="E37" i="2"/>
  <c r="F37" i="2"/>
  <c r="G37" i="2"/>
  <c r="H37" i="2"/>
  <c r="I37" i="2"/>
  <c r="J37" i="2"/>
  <c r="K37" i="2"/>
  <c r="L37" i="2"/>
  <c r="M37" i="2"/>
  <c r="N37" i="2"/>
  <c r="C38" i="2"/>
  <c r="D38" i="2"/>
  <c r="E38" i="2"/>
  <c r="F38" i="2"/>
  <c r="G38" i="2"/>
  <c r="H38" i="2"/>
  <c r="I38" i="2"/>
  <c r="J38" i="2"/>
  <c r="K38" i="2"/>
  <c r="L38" i="2"/>
  <c r="M38" i="2"/>
  <c r="N38" i="2"/>
  <c r="C39" i="2"/>
  <c r="D39" i="2"/>
  <c r="E39" i="2"/>
  <c r="F39" i="2"/>
  <c r="G39" i="2"/>
  <c r="H39" i="2"/>
  <c r="I39" i="2"/>
  <c r="J39" i="2"/>
  <c r="K39" i="2"/>
  <c r="L39" i="2"/>
  <c r="M39" i="2"/>
  <c r="N39" i="2"/>
  <c r="C40" i="2"/>
  <c r="D40" i="2"/>
  <c r="E40" i="2"/>
  <c r="F40" i="2"/>
  <c r="G40" i="2"/>
  <c r="H40" i="2"/>
  <c r="I40" i="2"/>
  <c r="J40" i="2"/>
  <c r="K40" i="2"/>
  <c r="L40" i="2"/>
  <c r="M40" i="2"/>
  <c r="N40" i="2"/>
  <c r="C41" i="2"/>
  <c r="D41" i="2"/>
  <c r="E41" i="2"/>
  <c r="F41" i="2"/>
  <c r="G41" i="2"/>
  <c r="H41" i="2"/>
  <c r="I41" i="2"/>
  <c r="J41" i="2"/>
  <c r="K41" i="2"/>
  <c r="L41" i="2"/>
  <c r="M41" i="2"/>
  <c r="N41" i="2"/>
  <c r="C42" i="2"/>
  <c r="D42" i="2"/>
  <c r="E42" i="2"/>
  <c r="F42" i="2"/>
  <c r="G42" i="2"/>
  <c r="H42" i="2"/>
  <c r="I42" i="2"/>
  <c r="J42" i="2"/>
  <c r="K42" i="2"/>
  <c r="L42" i="2"/>
  <c r="M42" i="2"/>
  <c r="N42" i="2"/>
  <c r="C43" i="2"/>
  <c r="D43" i="2"/>
  <c r="E43" i="2"/>
  <c r="F43" i="2"/>
  <c r="G43" i="2"/>
  <c r="H43" i="2"/>
  <c r="I43" i="2"/>
  <c r="J43" i="2"/>
  <c r="K43" i="2"/>
  <c r="L43" i="2"/>
  <c r="M43" i="2"/>
  <c r="N43" i="2"/>
  <c r="C44" i="2"/>
  <c r="D44" i="2"/>
  <c r="E44" i="2"/>
  <c r="F44" i="2"/>
  <c r="G44" i="2"/>
  <c r="H44" i="2"/>
  <c r="I44" i="2"/>
  <c r="J44" i="2"/>
  <c r="K44" i="2"/>
  <c r="L44" i="2"/>
  <c r="M44" i="2"/>
  <c r="N44" i="2"/>
  <c r="C45" i="2"/>
  <c r="D45" i="2"/>
  <c r="E45" i="2"/>
  <c r="F45" i="2"/>
  <c r="G45" i="2"/>
  <c r="H45" i="2"/>
  <c r="I45" i="2"/>
  <c r="J45" i="2"/>
  <c r="K45" i="2"/>
  <c r="L45" i="2"/>
  <c r="M45" i="2"/>
  <c r="N45" i="2"/>
  <c r="C46" i="2"/>
  <c r="D46" i="2"/>
  <c r="E46" i="2"/>
  <c r="F46" i="2"/>
  <c r="G46" i="2"/>
  <c r="H46" i="2"/>
  <c r="I46" i="2"/>
  <c r="J46" i="2"/>
  <c r="K46" i="2"/>
  <c r="L46" i="2"/>
  <c r="M46" i="2"/>
  <c r="N46" i="2"/>
  <c r="C47" i="2"/>
  <c r="D47" i="2"/>
  <c r="E47" i="2"/>
  <c r="F47" i="2"/>
  <c r="G47" i="2"/>
  <c r="H47" i="2"/>
  <c r="I47" i="2"/>
  <c r="J47" i="2"/>
  <c r="K47" i="2"/>
  <c r="L47" i="2"/>
  <c r="M47" i="2"/>
  <c r="N47" i="2"/>
  <c r="C48" i="2"/>
  <c r="D48" i="2"/>
  <c r="E48" i="2"/>
  <c r="F48" i="2"/>
  <c r="G48" i="2"/>
  <c r="H48" i="2"/>
  <c r="I48" i="2"/>
  <c r="J48" i="2"/>
  <c r="K48" i="2"/>
  <c r="L48" i="2"/>
  <c r="M48" i="2"/>
  <c r="N48" i="2"/>
  <c r="C49" i="2"/>
  <c r="D49" i="2"/>
  <c r="E49" i="2"/>
  <c r="F49" i="2"/>
  <c r="G49" i="2"/>
  <c r="H49" i="2"/>
  <c r="I49" i="2"/>
  <c r="J49" i="2"/>
  <c r="K49" i="2"/>
  <c r="L49" i="2"/>
  <c r="M49" i="2"/>
  <c r="N49" i="2"/>
  <c r="C50" i="2"/>
  <c r="D50" i="2"/>
  <c r="E50" i="2"/>
  <c r="F50" i="2"/>
  <c r="G50" i="2"/>
  <c r="H50" i="2"/>
  <c r="I50" i="2"/>
  <c r="J50" i="2"/>
  <c r="K50" i="2"/>
  <c r="L50" i="2"/>
  <c r="M50" i="2"/>
  <c r="N50" i="2"/>
  <c r="C51" i="2"/>
  <c r="D51" i="2"/>
  <c r="E51" i="2"/>
  <c r="F51" i="2"/>
  <c r="G51" i="2"/>
  <c r="H51" i="2"/>
  <c r="I51" i="2"/>
  <c r="J51" i="2"/>
  <c r="K51" i="2"/>
  <c r="L51" i="2"/>
  <c r="M51" i="2"/>
  <c r="N51" i="2"/>
  <c r="C52" i="2"/>
  <c r="D52" i="2"/>
  <c r="E52" i="2"/>
  <c r="F52" i="2"/>
  <c r="G52" i="2"/>
  <c r="H52" i="2"/>
  <c r="I52" i="2"/>
  <c r="J52" i="2"/>
  <c r="K52" i="2"/>
  <c r="L52" i="2"/>
  <c r="M52" i="2"/>
  <c r="N52" i="2"/>
  <c r="C53" i="2"/>
  <c r="D53" i="2"/>
  <c r="E53" i="2"/>
  <c r="F53" i="2"/>
  <c r="G53" i="2"/>
  <c r="H53" i="2"/>
  <c r="I53" i="2"/>
  <c r="J53" i="2"/>
  <c r="K53" i="2"/>
  <c r="L53" i="2"/>
  <c r="M53" i="2"/>
  <c r="N53" i="2"/>
  <c r="C54" i="2"/>
  <c r="D54" i="2"/>
  <c r="E54" i="2"/>
  <c r="F54" i="2"/>
  <c r="G54" i="2"/>
  <c r="H54" i="2"/>
  <c r="I54" i="2"/>
  <c r="J54" i="2"/>
  <c r="K54" i="2"/>
  <c r="L54" i="2"/>
  <c r="M54" i="2"/>
  <c r="N54" i="2"/>
  <c r="C55" i="2"/>
  <c r="D55" i="2"/>
  <c r="E55" i="2"/>
  <c r="F55" i="2"/>
  <c r="G55" i="2"/>
  <c r="H55" i="2"/>
  <c r="I55" i="2"/>
  <c r="J55" i="2"/>
  <c r="K55" i="2"/>
  <c r="L55" i="2"/>
  <c r="M55" i="2"/>
  <c r="N55" i="2"/>
  <c r="C56" i="2"/>
  <c r="D56" i="2"/>
  <c r="E56" i="2"/>
  <c r="F56" i="2"/>
  <c r="G56" i="2"/>
  <c r="H56" i="2"/>
  <c r="I56" i="2"/>
  <c r="J56" i="2"/>
  <c r="K56" i="2"/>
  <c r="L56" i="2"/>
  <c r="M56" i="2"/>
  <c r="N56" i="2"/>
  <c r="C57" i="2"/>
  <c r="D57" i="2"/>
  <c r="E57" i="2"/>
  <c r="F57" i="2"/>
  <c r="G57" i="2"/>
  <c r="H57" i="2"/>
  <c r="I57" i="2"/>
  <c r="J57" i="2"/>
  <c r="K57" i="2"/>
  <c r="L57" i="2"/>
  <c r="M57" i="2"/>
  <c r="N57" i="2"/>
  <c r="C58" i="2"/>
  <c r="D58" i="2"/>
  <c r="E58" i="2"/>
  <c r="F58" i="2"/>
  <c r="G58" i="2"/>
  <c r="H58" i="2"/>
  <c r="I58" i="2"/>
  <c r="J58" i="2"/>
  <c r="K58" i="2"/>
  <c r="L58" i="2"/>
  <c r="M58" i="2"/>
  <c r="N58" i="2"/>
  <c r="C59" i="2"/>
  <c r="D59" i="2"/>
  <c r="E59" i="2"/>
  <c r="F59" i="2"/>
  <c r="G59" i="2"/>
  <c r="H59" i="2"/>
  <c r="I59" i="2"/>
  <c r="J59" i="2"/>
  <c r="K59" i="2"/>
  <c r="L59" i="2"/>
  <c r="M59" i="2"/>
  <c r="N59" i="2"/>
  <c r="C81" i="2"/>
  <c r="D81" i="2"/>
  <c r="E81" i="2"/>
  <c r="F81" i="2"/>
  <c r="G81" i="2"/>
  <c r="H81" i="2"/>
  <c r="I81" i="2"/>
  <c r="J81" i="2"/>
  <c r="K81" i="2"/>
  <c r="L81" i="2"/>
  <c r="M81" i="2"/>
  <c r="N81" i="2"/>
  <c r="C82" i="2"/>
  <c r="D82" i="2"/>
  <c r="E82" i="2"/>
  <c r="F82" i="2"/>
  <c r="G82" i="2"/>
  <c r="H82" i="2"/>
  <c r="I82" i="2"/>
  <c r="J82" i="2"/>
  <c r="K82" i="2"/>
  <c r="L82" i="2"/>
  <c r="M82" i="2"/>
  <c r="N82" i="2"/>
  <c r="C86" i="2"/>
  <c r="D86" i="2"/>
  <c r="E86" i="2"/>
  <c r="F86" i="2"/>
  <c r="G86" i="2"/>
  <c r="H86" i="2"/>
  <c r="I86" i="2"/>
  <c r="J86" i="2"/>
  <c r="K86" i="2"/>
  <c r="L86" i="2"/>
  <c r="M86" i="2"/>
  <c r="N86" i="2"/>
  <c r="C87" i="2"/>
  <c r="D87" i="2"/>
  <c r="E87" i="2"/>
  <c r="F87" i="2"/>
  <c r="G87" i="2"/>
  <c r="H87" i="2"/>
  <c r="I87" i="2"/>
  <c r="J87" i="2"/>
  <c r="K87" i="2"/>
  <c r="L87" i="2"/>
  <c r="M87" i="2"/>
  <c r="N87" i="2"/>
  <c r="C88" i="2"/>
  <c r="D88" i="2"/>
  <c r="E88" i="2"/>
  <c r="F88" i="2"/>
  <c r="G88" i="2"/>
  <c r="H88" i="2"/>
  <c r="I88" i="2"/>
  <c r="J88" i="2"/>
  <c r="K88" i="2"/>
  <c r="L88" i="2"/>
  <c r="M88" i="2"/>
  <c r="N88" i="2"/>
  <c r="C89" i="2"/>
  <c r="D89" i="2"/>
  <c r="E89" i="2"/>
  <c r="F89" i="2"/>
  <c r="G89" i="2"/>
  <c r="H89" i="2"/>
  <c r="I89" i="2"/>
  <c r="J89" i="2"/>
  <c r="K89" i="2"/>
  <c r="L89" i="2"/>
  <c r="M89" i="2"/>
  <c r="N89" i="2"/>
  <c r="C90" i="2"/>
  <c r="D90" i="2"/>
  <c r="E90" i="2"/>
  <c r="F90" i="2"/>
  <c r="G90" i="2"/>
  <c r="H90" i="2"/>
  <c r="I90" i="2"/>
  <c r="J90" i="2"/>
  <c r="K90" i="2"/>
  <c r="L90" i="2"/>
  <c r="M90" i="2"/>
  <c r="N90" i="2"/>
  <c r="C91" i="2"/>
  <c r="D91" i="2"/>
  <c r="E91" i="2"/>
  <c r="F91" i="2"/>
  <c r="G91" i="2"/>
  <c r="H91" i="2"/>
  <c r="I91" i="2"/>
  <c r="J91" i="2"/>
  <c r="K91" i="2"/>
  <c r="L91" i="2"/>
  <c r="M91" i="2"/>
  <c r="N91" i="2"/>
  <c r="C92" i="2"/>
  <c r="D92" i="2"/>
  <c r="E92" i="2"/>
  <c r="F92" i="2"/>
  <c r="G92" i="2"/>
  <c r="H92" i="2"/>
  <c r="I92" i="2"/>
  <c r="J92" i="2"/>
  <c r="K92" i="2"/>
  <c r="L92" i="2"/>
  <c r="M92" i="2"/>
  <c r="N92" i="2"/>
  <c r="C60" i="2"/>
  <c r="D60" i="2"/>
  <c r="E60" i="2"/>
  <c r="F60" i="2"/>
  <c r="G60" i="2"/>
  <c r="H60" i="2"/>
  <c r="I60" i="2"/>
  <c r="J60" i="2"/>
  <c r="K60" i="2"/>
  <c r="L60" i="2"/>
  <c r="M60" i="2"/>
  <c r="N60" i="2"/>
  <c r="C61" i="2"/>
  <c r="D61" i="2"/>
  <c r="E61" i="2"/>
  <c r="F61" i="2"/>
  <c r="G61" i="2"/>
  <c r="H61" i="2"/>
  <c r="I61" i="2"/>
  <c r="J61" i="2"/>
  <c r="K61" i="2"/>
  <c r="L61" i="2"/>
  <c r="M61" i="2"/>
  <c r="N61" i="2"/>
  <c r="C62" i="2"/>
  <c r="D62" i="2"/>
  <c r="E62" i="2"/>
  <c r="F62" i="2"/>
  <c r="G62" i="2"/>
  <c r="H62" i="2"/>
  <c r="I62" i="2"/>
  <c r="J62" i="2"/>
  <c r="K62" i="2"/>
  <c r="L62" i="2"/>
  <c r="M62" i="2"/>
  <c r="N62" i="2"/>
  <c r="C63" i="2"/>
  <c r="D63" i="2"/>
  <c r="E63" i="2"/>
  <c r="F63" i="2"/>
  <c r="G63" i="2"/>
  <c r="H63" i="2"/>
  <c r="I63" i="2"/>
  <c r="J63" i="2"/>
  <c r="K63" i="2"/>
  <c r="L63" i="2"/>
  <c r="M63" i="2"/>
  <c r="N63" i="2"/>
  <c r="C64" i="2"/>
  <c r="D64" i="2"/>
  <c r="E64" i="2"/>
  <c r="F64" i="2"/>
  <c r="G64" i="2"/>
  <c r="H64" i="2"/>
  <c r="I64" i="2"/>
  <c r="J64" i="2"/>
  <c r="K64" i="2"/>
  <c r="L64" i="2"/>
  <c r="M64" i="2"/>
  <c r="N64" i="2"/>
  <c r="C65" i="2"/>
  <c r="D65" i="2"/>
  <c r="E65" i="2"/>
  <c r="F65" i="2"/>
  <c r="G65" i="2"/>
  <c r="H65" i="2"/>
  <c r="I65" i="2"/>
  <c r="J65" i="2"/>
  <c r="K65" i="2"/>
  <c r="L65" i="2"/>
  <c r="M65" i="2"/>
  <c r="N65" i="2"/>
  <c r="C66" i="2"/>
  <c r="D66" i="2"/>
  <c r="E66" i="2"/>
  <c r="F66" i="2"/>
  <c r="G66" i="2"/>
  <c r="H66" i="2"/>
  <c r="I66" i="2"/>
  <c r="J66" i="2"/>
  <c r="K66" i="2"/>
  <c r="L66" i="2"/>
  <c r="M66" i="2"/>
  <c r="N66" i="2"/>
  <c r="C67" i="2"/>
  <c r="D67" i="2"/>
  <c r="E67" i="2"/>
  <c r="F67" i="2"/>
  <c r="G67" i="2"/>
  <c r="H67" i="2"/>
  <c r="I67" i="2"/>
  <c r="J67" i="2"/>
  <c r="K67" i="2"/>
  <c r="L67" i="2"/>
  <c r="M67" i="2"/>
  <c r="N67" i="2"/>
  <c r="C73" i="2"/>
  <c r="D73" i="2"/>
  <c r="E73" i="2"/>
  <c r="F73" i="2"/>
  <c r="G73" i="2"/>
  <c r="H73" i="2"/>
  <c r="I73" i="2"/>
  <c r="J73" i="2"/>
  <c r="K73" i="2"/>
  <c r="L73" i="2"/>
  <c r="M73" i="2"/>
  <c r="N73" i="2"/>
  <c r="C74" i="2"/>
  <c r="D74" i="2"/>
  <c r="E74" i="2"/>
  <c r="F74" i="2"/>
  <c r="G74" i="2"/>
  <c r="H74" i="2"/>
  <c r="I74" i="2"/>
  <c r="J74" i="2"/>
  <c r="K74" i="2"/>
  <c r="L74" i="2"/>
  <c r="M74" i="2"/>
  <c r="N74" i="2"/>
  <c r="C75" i="2"/>
  <c r="D75" i="2"/>
  <c r="E75" i="2"/>
  <c r="F75" i="2"/>
  <c r="G75" i="2"/>
  <c r="H75" i="2"/>
  <c r="I75" i="2"/>
  <c r="J75" i="2"/>
  <c r="K75" i="2"/>
  <c r="L75" i="2"/>
  <c r="M75" i="2"/>
  <c r="N75" i="2"/>
  <c r="C76" i="2"/>
  <c r="D76" i="2"/>
  <c r="E76" i="2"/>
  <c r="F76" i="2"/>
  <c r="G76" i="2"/>
  <c r="H76" i="2"/>
  <c r="I76" i="2"/>
  <c r="J76" i="2"/>
  <c r="K76" i="2"/>
  <c r="L76" i="2"/>
  <c r="M76" i="2"/>
  <c r="N76" i="2"/>
  <c r="C77" i="2"/>
  <c r="D77" i="2"/>
  <c r="E77" i="2"/>
  <c r="F77" i="2"/>
  <c r="G77" i="2"/>
  <c r="H77" i="2"/>
  <c r="I77" i="2"/>
  <c r="J77" i="2"/>
  <c r="K77" i="2"/>
  <c r="L77" i="2"/>
  <c r="M77" i="2"/>
  <c r="N77" i="2"/>
  <c r="C78" i="2"/>
  <c r="D78" i="2"/>
  <c r="E78" i="2"/>
  <c r="F78" i="2"/>
  <c r="G78" i="2"/>
  <c r="H78" i="2"/>
  <c r="I78" i="2"/>
  <c r="J78" i="2"/>
  <c r="K78" i="2"/>
  <c r="L78" i="2"/>
  <c r="M78" i="2"/>
  <c r="N78" i="2"/>
  <c r="C79" i="2"/>
  <c r="D79" i="2"/>
  <c r="E79" i="2"/>
  <c r="F79" i="2"/>
  <c r="G79" i="2"/>
  <c r="H79" i="2"/>
  <c r="I79" i="2"/>
  <c r="J79" i="2"/>
  <c r="K79" i="2"/>
  <c r="L79" i="2"/>
  <c r="M79" i="2"/>
  <c r="N79" i="2"/>
  <c r="C80" i="2"/>
  <c r="D80" i="2"/>
  <c r="E80" i="2"/>
  <c r="F80" i="2"/>
  <c r="G80" i="2"/>
  <c r="H80" i="2"/>
  <c r="I80" i="2"/>
  <c r="J80" i="2"/>
  <c r="K80" i="2"/>
  <c r="L80" i="2"/>
  <c r="M80" i="2"/>
  <c r="N80" i="2"/>
  <c r="K85" i="2"/>
  <c r="L85" i="2"/>
  <c r="M85" i="2"/>
  <c r="N85" i="2"/>
  <c r="D85" i="2"/>
  <c r="E85" i="2"/>
  <c r="F85" i="2"/>
  <c r="G85" i="2"/>
  <c r="H85" i="2"/>
  <c r="I85" i="2"/>
  <c r="J85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<sst xmlns="http://schemas.openxmlformats.org/spreadsheetml/2006/main" count="6708" uniqueCount="791">
  <si>
    <t>Statistic</t>
  </si>
  <si>
    <t>N</t>
  </si>
  <si>
    <t>Mean</t>
  </si>
  <si>
    <t>St. Dev.</t>
  </si>
  <si>
    <t>Min</t>
  </si>
  <si>
    <t>Max</t>
  </si>
  <si>
    <t>----------------------------</t>
  </si>
  <si>
    <t>------</t>
  </si>
  <si>
    <t>--------------</t>
  </si>
  <si>
    <t>---------------</t>
  </si>
  <si>
    <t>num_sale</t>
  </si>
  <si>
    <t>Covid</t>
  </si>
  <si>
    <t>Covid2</t>
  </si>
  <si>
    <t>BathsFull</t>
  </si>
  <si>
    <t>BathsHalf</t>
  </si>
  <si>
    <t>BedsTotal</t>
  </si>
  <si>
    <t>DOM</t>
  </si>
  <si>
    <t>SQFTGarageCarport</t>
  </si>
  <si>
    <t>SqftTotal</t>
  </si>
  <si>
    <t>real.list.price</t>
  </si>
  <si>
    <t>real.close.price</t>
  </si>
  <si>
    <t>Basement</t>
  </si>
  <si>
    <t>Split</t>
  </si>
  <si>
    <t>PUD</t>
  </si>
  <si>
    <t>LowRise</t>
  </si>
  <si>
    <t>HighRise</t>
  </si>
  <si>
    <t>Townhouse</t>
  </si>
  <si>
    <t>Condotel</t>
  </si>
  <si>
    <t>SingleFam</t>
  </si>
  <si>
    <t>Duplex</t>
  </si>
  <si>
    <t>MultiDwell</t>
  </si>
  <si>
    <t>WalkUP</t>
  </si>
  <si>
    <t>pool</t>
  </si>
  <si>
    <t>Age</t>
  </si>
  <si>
    <t>Age2</t>
  </si>
  <si>
    <t>Age.r</t>
  </si>
  <si>
    <t>Cases</t>
  </si>
  <si>
    <t>par_area</t>
  </si>
  <si>
    <t>Beach</t>
  </si>
  <si>
    <t>park</t>
  </si>
  <si>
    <t>hospital</t>
  </si>
  <si>
    <t>airport</t>
  </si>
  <si>
    <t>per_white</t>
  </si>
  <si>
    <t>per_black</t>
  </si>
  <si>
    <t>per_asian</t>
  </si>
  <si>
    <t>per_hawaian</t>
  </si>
  <si>
    <t>per_occupied</t>
  </si>
  <si>
    <t>per_vacant</t>
  </si>
  <si>
    <t>per_owner</t>
  </si>
  <si>
    <t>per_renter</t>
  </si>
  <si>
    <t>HOA</t>
  </si>
  <si>
    <t>Elevator</t>
  </si>
  <si>
    <t>remod</t>
  </si>
  <si>
    <t>lat</t>
  </si>
  <si>
    <t>lon</t>
  </si>
  <si>
    <t>PropertyTypeCondo/Townhouse</t>
  </si>
  <si>
    <t>PropertyTypeCondo_Townhouse</t>
  </si>
  <si>
    <t>PropertyTypeSingle Family</t>
  </si>
  <si>
    <t>StoriesOne</t>
  </si>
  <si>
    <t>StoriesTwo</t>
  </si>
  <si>
    <t>StoriesMulti</t>
  </si>
  <si>
    <t>year</t>
  </si>
  <si>
    <t>LUCResidential</t>
  </si>
  <si>
    <t>LUCAgriculture</t>
  </si>
  <si>
    <t>LUCApartment-HD</t>
  </si>
  <si>
    <t>LUCApartment-LD</t>
  </si>
  <si>
    <t>LUCApartment-MD</t>
  </si>
  <si>
    <t>LUCBusiness</t>
  </si>
  <si>
    <t>LUCOther</t>
  </si>
  <si>
    <t>LUCResort</t>
  </si>
  <si>
    <t>condAverage</t>
  </si>
  <si>
    <t>condExcellent</t>
  </si>
  <si>
    <t>condAbove Average</t>
  </si>
  <si>
    <t>condFair</t>
  </si>
  <si>
    <t>parking0</t>
  </si>
  <si>
    <t>parking1</t>
  </si>
  <si>
    <t>parking2</t>
  </si>
  <si>
    <t>parking3</t>
  </si>
  <si>
    <t>parking4</t>
  </si>
  <si>
    <t>fld_zoneAE</t>
  </si>
  <si>
    <t>fld_zoneA</t>
  </si>
  <si>
    <t>fld_zoneAH</t>
  </si>
  <si>
    <t>fld_zoneAO</t>
  </si>
  <si>
    <t>fld_zoneD</t>
  </si>
  <si>
    <t>fld_zoneVE</t>
  </si>
  <si>
    <t>fld_zoneX</t>
  </si>
  <si>
    <t>Number of times sold</t>
  </si>
  <si>
    <t>Variable</t>
  </si>
  <si>
    <t>Description</t>
  </si>
  <si>
    <t>Std. Dev.</t>
  </si>
  <si>
    <t>Min.</t>
  </si>
  <si>
    <t>Max.</t>
  </si>
  <si>
    <t>Full Sample</t>
  </si>
  <si>
    <t>Post Covid (March, 2020 and after)</t>
  </si>
  <si>
    <t>Pre Covid (upto March, 2022)</t>
  </si>
  <si>
    <t>=1 for sales during or after 3/2020</t>
  </si>
  <si>
    <t>=1 for sales during or after 3/2020 but before 1/2023</t>
  </si>
  <si>
    <t>Number of Full Bathrooms</t>
  </si>
  <si>
    <t>Number of Half Bathrooms</t>
  </si>
  <si>
    <t>Total Number of Bedrooms</t>
  </si>
  <si>
    <t>Days on the Market</t>
  </si>
  <si>
    <t>Squarefootage of Garage or Carport</t>
  </si>
  <si>
    <t>Total Squarefootage</t>
  </si>
  <si>
    <t>Real List Price</t>
  </si>
  <si>
    <t>Real Closing Price</t>
  </si>
  <si>
    <t>=1 if Basement Exists</t>
  </si>
  <si>
    <t>=1 for Splitlevel Home</t>
  </si>
  <si>
    <t>=1 for PUD type Home</t>
  </si>
  <si>
    <t>=1 for unit in Low Rise building</t>
  </si>
  <si>
    <t>=1 for unit in High Rise Building</t>
  </si>
  <si>
    <t>=1 for Townhouse Home</t>
  </si>
  <si>
    <t>=1 for classification as Condo-Hotel</t>
  </si>
  <si>
    <t>=1 for Classification as Single Family Unit</t>
  </si>
  <si>
    <t>=1 for Classification as a Duplex</t>
  </si>
  <si>
    <t>=1 for Classification as a Multi-Dwelling Unit</t>
  </si>
  <si>
    <t>=1 for Classification as a Walk up Unit</t>
  </si>
  <si>
    <t>=1 if Pool is included</t>
  </si>
  <si>
    <t>Age of the home</t>
  </si>
  <si>
    <t>Age of the home - squared</t>
  </si>
  <si>
    <t>Age of most recent remodel</t>
  </si>
  <si>
    <t>Number of Covid Cases when Home Sold</t>
  </si>
  <si>
    <t>Census Tract Percentage of Whites</t>
  </si>
  <si>
    <t>Census Tract Percentage of Blacks</t>
  </si>
  <si>
    <t>Census Tract Percentage of Asian</t>
  </si>
  <si>
    <t>Census Tract Percentage of Hawaian</t>
  </si>
  <si>
    <t>Census Tract Propertytypecondocentage of Townhouse</t>
  </si>
  <si>
    <t>Census Tract Percentage of Housing Units Occupied</t>
  </si>
  <si>
    <t>Census Tract Percentage of Housing Units Vacant</t>
  </si>
  <si>
    <t>Census Tract Percentage of Housing Units Owner Occupied</t>
  </si>
  <si>
    <t>Census Tract Percentage of Housing Units Renter Occupied</t>
  </si>
  <si>
    <t>=1 if HOA fees are listed</t>
  </si>
  <si>
    <t>Number of Elevators in Building</t>
  </si>
  <si>
    <t>=1 if Remodeled</t>
  </si>
  <si>
    <t>=1 if Property Type Listed as Condo/Townhouse</t>
  </si>
  <si>
    <t>=1 if Property Type listed as Single Family</t>
  </si>
  <si>
    <t>=1 if One Story Unit</t>
  </si>
  <si>
    <t>=1 if Two Story Unit</t>
  </si>
  <si>
    <t>Squarefootage of the Parcel (m2)</t>
  </si>
  <si>
    <t>=1 if LUC is Residential</t>
  </si>
  <si>
    <t>=1 if LUC is Apartment-HD</t>
  </si>
  <si>
    <t>=1 if LUC is Apartment-LD</t>
  </si>
  <si>
    <t>=1 if LUC is Apartment-MD</t>
  </si>
  <si>
    <t>=1 if LUC is Business</t>
  </si>
  <si>
    <t>=1 if LUC is Other</t>
  </si>
  <si>
    <t>=1 if LUC is Resort</t>
  </si>
  <si>
    <t>=1 if LUC is Agriculture</t>
  </si>
  <si>
    <t>=1 if Building Condition is Average</t>
  </si>
  <si>
    <t>=1 if Building Condition is Excellent</t>
  </si>
  <si>
    <t>=1 if Building Condition is Above Average</t>
  </si>
  <si>
    <t>=1 if Building Condition is Fair</t>
  </si>
  <si>
    <t>=1 if there are zero parking spaces</t>
  </si>
  <si>
    <t>=1 if there is one parking space</t>
  </si>
  <si>
    <t>=1 if there are two parking spaces</t>
  </si>
  <si>
    <t>=1 if there are three parking spaces</t>
  </si>
  <si>
    <t>=1 if there are four parking spaces</t>
  </si>
  <si>
    <t>=1 if located in flood zone AE</t>
  </si>
  <si>
    <t>=1 if located in flood zone A</t>
  </si>
  <si>
    <t>=1 if located in flood zone AH</t>
  </si>
  <si>
    <t>=1 if located in flood zone AO</t>
  </si>
  <si>
    <t>=1 if located in flood zone D</t>
  </si>
  <si>
    <t>=1 if located in flood zone VE</t>
  </si>
  <si>
    <t>=1 if located in flood zone X</t>
  </si>
  <si>
    <t>------------</t>
  </si>
  <si>
    <t>livSQFT</t>
  </si>
  <si>
    <t>beach</t>
  </si>
  <si>
    <t>Parking0</t>
  </si>
  <si>
    <t>Parking1</t>
  </si>
  <si>
    <t>Parking2</t>
  </si>
  <si>
    <t>Parking3</t>
  </si>
  <si>
    <t>Parking4</t>
  </si>
  <si>
    <t>Parking5 or More</t>
  </si>
  <si>
    <t>-----</t>
  </si>
  <si>
    <t>=1 if more than Two Stories</t>
  </si>
  <si>
    <t>elem_sch</t>
  </si>
  <si>
    <t>mid_sch</t>
  </si>
  <si>
    <t>high_sch</t>
  </si>
  <si>
    <t>=1 if there are five or more parking spaces</t>
  </si>
  <si>
    <t>Distance to closest park (km)</t>
  </si>
  <si>
    <t>Distance to closest hospital (km)</t>
  </si>
  <si>
    <t>Distance to closest airport (km)</t>
  </si>
  <si>
    <t>Distance to assigned Elementary School (km)</t>
  </si>
  <si>
    <t>Distance to assigned Middle School (km)</t>
  </si>
  <si>
    <t>Distance to assigned High School (km)</t>
  </si>
  <si>
    <t>Latitude of Parcel Centroid (per projection)</t>
  </si>
  <si>
    <t>Longitude of Parcel Centroid (per projection)</t>
  </si>
  <si>
    <t>Shortest, straight line distance to Ocean (km)</t>
  </si>
  <si>
    <t>n</t>
  </si>
  <si>
    <t>Observations</t>
  </si>
  <si>
    <t>Table One</t>
  </si>
  <si>
    <t>Summary Statistics for Full and Restricted Samples for entire sample period and pre- and post-Covid Subsamples</t>
  </si>
  <si>
    <t>diff.price</t>
  </si>
  <si>
    <t>Difference betweeen real list and real close price</t>
  </si>
  <si>
    <t>==========================</t>
  </si>
  <si>
    <t>==============================</t>
  </si>
  <si>
    <t>------------------------------</t>
  </si>
  <si>
    <t>--------------------------</t>
  </si>
  <si>
    <t>0.095***</t>
  </si>
  <si>
    <t>factor(year)2017</t>
  </si>
  <si>
    <t>0.055***</t>
  </si>
  <si>
    <t>0.025***</t>
  </si>
  <si>
    <t>factor(year)2018</t>
  </si>
  <si>
    <t>0.044***</t>
  </si>
  <si>
    <t>0.026***</t>
  </si>
  <si>
    <t>0.037***</t>
  </si>
  <si>
    <t>factor(year)2019</t>
  </si>
  <si>
    <t>0.016***</t>
  </si>
  <si>
    <t>factor(year)2020</t>
  </si>
  <si>
    <t>factor(year)2021</t>
  </si>
  <si>
    <t>0.061***</t>
  </si>
  <si>
    <t>factor(year)2022</t>
  </si>
  <si>
    <t>0.107***</t>
  </si>
  <si>
    <t>0.117***</t>
  </si>
  <si>
    <t>factor(year)2023</t>
  </si>
  <si>
    <t>0.078***</t>
  </si>
  <si>
    <t>0.086***</t>
  </si>
  <si>
    <t>0.031***</t>
  </si>
  <si>
    <t>0.049***</t>
  </si>
  <si>
    <t>0.059***</t>
  </si>
  <si>
    <t>0.069***</t>
  </si>
  <si>
    <t>-0.040***</t>
  </si>
  <si>
    <t>0.0003***</t>
  </si>
  <si>
    <t>0.0002***</t>
  </si>
  <si>
    <t>0.170***</t>
  </si>
  <si>
    <t>-0.056***</t>
  </si>
  <si>
    <t>factor(cond)Excellent</t>
  </si>
  <si>
    <t>0.120***</t>
  </si>
  <si>
    <t>factor(cond)Above Average</t>
  </si>
  <si>
    <t>0.065***</t>
  </si>
  <si>
    <t>0.068***</t>
  </si>
  <si>
    <t>0.052***</t>
  </si>
  <si>
    <t>factor(cond)Fair</t>
  </si>
  <si>
    <t>-0.054***</t>
  </si>
  <si>
    <t>0.020***</t>
  </si>
  <si>
    <t>-0.101***</t>
  </si>
  <si>
    <t>-0.059***</t>
  </si>
  <si>
    <t>factor(LUC)Agriculture</t>
  </si>
  <si>
    <t>factor(LUC)Apartment-HD</t>
  </si>
  <si>
    <t>-0.095***</t>
  </si>
  <si>
    <t>factor(LUC)Apartment-LD</t>
  </si>
  <si>
    <t>-0.063***</t>
  </si>
  <si>
    <t>factor(LUC)Apartment-MD</t>
  </si>
  <si>
    <t>factor(LUC)Business</t>
  </si>
  <si>
    <t>-0.046***</t>
  </si>
  <si>
    <t>factor(LUC)Other</t>
  </si>
  <si>
    <t>0.056***</t>
  </si>
  <si>
    <t>factor(LUC)Resort</t>
  </si>
  <si>
    <t>0.0001***</t>
  </si>
  <si>
    <t>0.017***</t>
  </si>
  <si>
    <t>0.013***</t>
  </si>
  <si>
    <t>-0.010***</t>
  </si>
  <si>
    <t>-0.007***</t>
  </si>
  <si>
    <t>-0.009***</t>
  </si>
  <si>
    <t>-0.006***</t>
  </si>
  <si>
    <t>-0.001***</t>
  </si>
  <si>
    <t>0.027***</t>
  </si>
  <si>
    <t>0.021***</t>
  </si>
  <si>
    <t>0.00001***</t>
  </si>
  <si>
    <t>0.00000***</t>
  </si>
  <si>
    <t>Constant</t>
  </si>
  <si>
    <t>R2</t>
  </si>
  <si>
    <t>Adjusted R2</t>
  </si>
  <si>
    <t>Residual Std. Error</t>
  </si>
  <si>
    <t>F Statistic</t>
  </si>
  <si>
    <t>Note:</t>
  </si>
  <si>
    <t>*p&lt;0.1; **p&lt;0.05; ***p&lt;0.01</t>
  </si>
  <si>
    <t>(1)</t>
  </si>
  <si>
    <t>(2)</t>
  </si>
  <si>
    <t>(3)</t>
  </si>
  <si>
    <t>(4)</t>
  </si>
  <si>
    <t>(5)</t>
  </si>
  <si>
    <t>Table Two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</si>
  <si>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</si>
  <si>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Adjusted R</t>
    </r>
    <r>
      <rPr>
        <vertAlign val="superscript"/>
        <sz val="11"/>
        <color theme="1"/>
        <rFont val="Calibri"/>
        <family val="2"/>
        <scheme val="minor"/>
      </rPr>
      <t>2</t>
    </r>
  </si>
  <si>
    <t>(Intercept)</t>
  </si>
  <si>
    <t>term</t>
  </si>
  <si>
    <t>estimate.x</t>
  </si>
  <si>
    <t>std.error.x</t>
  </si>
  <si>
    <t>statistic.x</t>
  </si>
  <si>
    <t>p.value.x</t>
  </si>
  <si>
    <t>estimate.y</t>
  </si>
  <si>
    <t>std.error.y</t>
  </si>
  <si>
    <t>statistic.y</t>
  </si>
  <si>
    <t>p.value.y</t>
  </si>
  <si>
    <t>estimate.x.x</t>
  </si>
  <si>
    <t>std.error.x.x</t>
  </si>
  <si>
    <t>statistic.x.x</t>
  </si>
  <si>
    <t>p.value.x.x</t>
  </si>
  <si>
    <t>estimate.y.y</t>
  </si>
  <si>
    <t>std.error.y.y</t>
  </si>
  <si>
    <t>statistic.y.y</t>
  </si>
  <si>
    <t>p.value.y.y</t>
  </si>
  <si>
    <t>estimate.x.x.x</t>
  </si>
  <si>
    <t>std.error.x.x.x</t>
  </si>
  <si>
    <t>statistic.x.x.x</t>
  </si>
  <si>
    <t>p.value.x.x.x</t>
  </si>
  <si>
    <t>estimate.y.y.y</t>
  </si>
  <si>
    <t>std.error.y.y.y</t>
  </si>
  <si>
    <t>statistic.y.y.y</t>
  </si>
  <si>
    <t>p.value.y.y.y</t>
  </si>
  <si>
    <t>(6)</t>
  </si>
  <si>
    <t>Restricted Sample (First Sale)</t>
  </si>
  <si>
    <t>Restricted Sample (Last Sale)</t>
  </si>
  <si>
    <t>956,534.00</t>
  </si>
  <si>
    <t>===========================</t>
  </si>
  <si>
    <t>---------------------------</t>
  </si>
  <si>
    <t>0.064***</t>
  </si>
  <si>
    <t>0.001***</t>
  </si>
  <si>
    <t>(7)</t>
  </si>
  <si>
    <t>No</t>
  </si>
  <si>
    <t>Yes</t>
  </si>
  <si>
    <t>Table Three</t>
  </si>
  <si>
    <t>Table Four</t>
  </si>
  <si>
    <t>Year of Home Sale</t>
  </si>
  <si>
    <t>-</t>
  </si>
  <si>
    <t>Real List Price (100K)</t>
  </si>
  <si>
    <t>Real Closing Price (100K)</t>
  </si>
  <si>
    <t>Total Squarefootage (1K)</t>
  </si>
  <si>
    <t>Pre-Covid</t>
  </si>
  <si>
    <t>Post-Covid</t>
  </si>
  <si>
    <t>Townhouse Subsample</t>
  </si>
  <si>
    <t>Single Family Subsample</t>
  </si>
  <si>
    <t>Townhouse Sub Sample</t>
  </si>
  <si>
    <t>Single Family Sub Sample</t>
  </si>
  <si>
    <t>Summary Statistics for Full Sample and Townhouse and Single Family Subsamples for  pre- and post-Covid Subsamples</t>
  </si>
  <si>
    <t>Summary Statistics for Full Sample and Townhouse and Single Family Subsamples for entire sample period</t>
  </si>
  <si>
    <t>0.072***</t>
  </si>
  <si>
    <t>0.038*</t>
  </si>
  <si>
    <t>0.080***</t>
  </si>
  <si>
    <t>0.038***</t>
  </si>
  <si>
    <t>0.046***</t>
  </si>
  <si>
    <t>0.051***</t>
  </si>
  <si>
    <t>0.032***</t>
  </si>
  <si>
    <t>0.110***</t>
  </si>
  <si>
    <t>0.126***</t>
  </si>
  <si>
    <t>0.132***</t>
  </si>
  <si>
    <t>0.447***</t>
  </si>
  <si>
    <t>0.125***</t>
  </si>
  <si>
    <t>0.057***</t>
  </si>
  <si>
    <t>0.029***</t>
  </si>
  <si>
    <t>0.063***</t>
  </si>
  <si>
    <t>-0.079***</t>
  </si>
  <si>
    <t>-0.052***</t>
  </si>
  <si>
    <t>-0.037***</t>
  </si>
  <si>
    <t>0.151***</t>
  </si>
  <si>
    <t>-0.029***</t>
  </si>
  <si>
    <t>0.134***</t>
  </si>
  <si>
    <t>0.010***</t>
  </si>
  <si>
    <t>-0.005***</t>
  </si>
  <si>
    <t>0.014***</t>
  </si>
  <si>
    <t>Year Fixed Effects</t>
  </si>
  <si>
    <t>Lat/Long Variables</t>
  </si>
  <si>
    <t>Total Beds</t>
  </si>
  <si>
    <t>Full Baths</t>
  </si>
  <si>
    <t>Half Baths</t>
  </si>
  <si>
    <t>2 Stories</t>
  </si>
  <si>
    <t>Multi-Story</t>
  </si>
  <si>
    <t>Total Square Footage</t>
  </si>
  <si>
    <t>Excellent Cond.</t>
  </si>
  <si>
    <t>Above Average Cond.</t>
  </si>
  <si>
    <t>Fair Cond.</t>
  </si>
  <si>
    <t>Split Level</t>
  </si>
  <si>
    <t>Low-Rise</t>
  </si>
  <si>
    <t>High-Rise</t>
  </si>
  <si>
    <t>Condo-Hotel</t>
  </si>
  <si>
    <t>Walk-Up</t>
  </si>
  <si>
    <t>Agriculture LUC</t>
  </si>
  <si>
    <t>High Denseity Apt. LUC</t>
  </si>
  <si>
    <t>Medium Density Apt. LUC</t>
  </si>
  <si>
    <t>Low Density Apt. LUC</t>
  </si>
  <si>
    <t>Business LUC</t>
  </si>
  <si>
    <t>Other LUC</t>
  </si>
  <si>
    <t>Resort LUC</t>
  </si>
  <si>
    <t>One Parking Spot</t>
  </si>
  <si>
    <t>Two Parking Spots</t>
  </si>
  <si>
    <t>Three Parking Spots</t>
  </si>
  <si>
    <t>Four Parking Spots</t>
  </si>
  <si>
    <t>5 or more Parking Spots</t>
  </si>
  <si>
    <t>HOA Fees</t>
  </si>
  <si>
    <t>Remodeled</t>
  </si>
  <si>
    <t>Number of Elevators</t>
  </si>
  <si>
    <t>Dist. To Beach (KM)</t>
  </si>
  <si>
    <t>Dist. To Park (KM)</t>
  </si>
  <si>
    <t>Dist. To Hospital (KM)</t>
  </si>
  <si>
    <t>Dist. To Airport (KM)</t>
  </si>
  <si>
    <t>Dist. To Elementry Sch. (KM)</t>
  </si>
  <si>
    <t>Dist. To Middle Sch. (KM)</t>
  </si>
  <si>
    <t>Dist. To High Sch. (KM)</t>
  </si>
  <si>
    <t>Percentage Black</t>
  </si>
  <si>
    <t>Percentage Asian</t>
  </si>
  <si>
    <t>Percentage Hawaiian</t>
  </si>
  <si>
    <t>Percent Owner Occupied</t>
  </si>
  <si>
    <t>Percent Occupied</t>
  </si>
  <si>
    <t>Varaible</t>
  </si>
  <si>
    <t>Linear OLS Estimates of natural log of sale price for full sample</t>
  </si>
  <si>
    <t>-----------------------</t>
  </si>
  <si>
    <t>0.040***</t>
  </si>
  <si>
    <t>0.054***</t>
  </si>
  <si>
    <t>0.094***</t>
  </si>
  <si>
    <t>0.135***</t>
  </si>
  <si>
    <t>-0.014***</t>
  </si>
  <si>
    <t>-0.099***</t>
  </si>
  <si>
    <t>-0.097***</t>
  </si>
  <si>
    <t>-0.030***</t>
  </si>
  <si>
    <t>-0.049***</t>
  </si>
  <si>
    <t>0.154***</t>
  </si>
  <si>
    <t>-0.029*</t>
  </si>
  <si>
    <t>-0.045***</t>
  </si>
  <si>
    <t>0.013**</t>
  </si>
  <si>
    <t>0.199***</t>
  </si>
  <si>
    <t>-0.038***</t>
  </si>
  <si>
    <t>-0.074***</t>
  </si>
  <si>
    <t>0.583***</t>
  </si>
  <si>
    <t>0.599***</t>
  </si>
  <si>
    <t>0.019***</t>
  </si>
  <si>
    <t>=======================</t>
  </si>
  <si>
    <t>Single Family</t>
  </si>
  <si>
    <t>0.039***</t>
  </si>
  <si>
    <t>0.066***</t>
  </si>
  <si>
    <t>0.130***</t>
  </si>
  <si>
    <t>0.180**</t>
  </si>
  <si>
    <t>0.057*</t>
  </si>
  <si>
    <t>-0.035***</t>
  </si>
  <si>
    <t>0.050***</t>
  </si>
  <si>
    <t>0.084***</t>
  </si>
  <si>
    <t>0.023***</t>
  </si>
  <si>
    <t>-0.036***</t>
  </si>
  <si>
    <t>-0.031***</t>
  </si>
  <si>
    <t>-0.032***</t>
  </si>
  <si>
    <t>-0.008**</t>
  </si>
  <si>
    <t>-0.024***</t>
  </si>
  <si>
    <t>-0.020***</t>
  </si>
  <si>
    <t>-0.023***</t>
  </si>
  <si>
    <t>0.221***</t>
  </si>
  <si>
    <t>-0.020**</t>
  </si>
  <si>
    <t>-0.034***</t>
  </si>
  <si>
    <t>0.102***</t>
  </si>
  <si>
    <t>0.136***</t>
  </si>
  <si>
    <t>0.500***</t>
  </si>
  <si>
    <t>-0.003***</t>
  </si>
  <si>
    <t>-0.002***</t>
  </si>
  <si>
    <t>0.033***</t>
  </si>
  <si>
    <t>Linear OLS Estimates with Robust Standard Errors</t>
  </si>
  <si>
    <t>Full</t>
  </si>
  <si>
    <t>Recent Sale</t>
  </si>
  <si>
    <t>First Sale</t>
  </si>
  <si>
    <t>Townhouse/Condo Units</t>
  </si>
  <si>
    <t>Depende</t>
  </si>
  <si>
    <t>nt variable:</t>
  </si>
  <si>
    <t>ln.</t>
  </si>
  <si>
    <t>r.close</t>
  </si>
  <si>
    <t>0.158***</t>
  </si>
  <si>
    <t>0.045***</t>
  </si>
  <si>
    <t>0.036***</t>
  </si>
  <si>
    <t>0.002***</t>
  </si>
  <si>
    <t>0.087***</t>
  </si>
  <si>
    <t>0.022***</t>
  </si>
  <si>
    <t>0.028***</t>
  </si>
  <si>
    <t>0.024***</t>
  </si>
  <si>
    <t>0.116***</t>
  </si>
  <si>
    <t>0.085***</t>
  </si>
  <si>
    <t>0.015***</t>
  </si>
  <si>
    <t>0.012**</t>
  </si>
  <si>
    <t>0.106***</t>
  </si>
  <si>
    <t>0.129***</t>
  </si>
  <si>
    <t>0.138***</t>
  </si>
  <si>
    <t>0.173***</t>
  </si>
  <si>
    <t>0.099***</t>
  </si>
  <si>
    <t>0.139***</t>
  </si>
  <si>
    <t>-0.071***</t>
  </si>
  <si>
    <t>0.074***</t>
  </si>
  <si>
    <t>-0.047***</t>
  </si>
  <si>
    <t>-0.051***</t>
  </si>
  <si>
    <t>0.004***</t>
  </si>
  <si>
    <t>0.005***</t>
  </si>
  <si>
    <t>-0.033***</t>
  </si>
  <si>
    <t>-0.061***</t>
  </si>
  <si>
    <t>0.156***</t>
  </si>
  <si>
    <t>0.115***</t>
  </si>
  <si>
    <t>0.076***</t>
  </si>
  <si>
    <t>-0.065***</t>
  </si>
  <si>
    <t>-0.069***</t>
  </si>
  <si>
    <t>0.017**</t>
  </si>
  <si>
    <t>-0.041***</t>
  </si>
  <si>
    <t>0.327**</t>
  </si>
  <si>
    <t>0.241*</t>
  </si>
  <si>
    <t>0.081***</t>
  </si>
  <si>
    <t>0.050**</t>
  </si>
  <si>
    <t>0.109***</t>
  </si>
  <si>
    <t>0.148***</t>
  </si>
  <si>
    <t>0.155***</t>
  </si>
  <si>
    <t>0.150***</t>
  </si>
  <si>
    <t>-0.019***</t>
  </si>
  <si>
    <t>-0.082***</t>
  </si>
  <si>
    <t>0.001**</t>
  </si>
  <si>
    <t>-0.008***</t>
  </si>
  <si>
    <t>0.00002***</t>
  </si>
  <si>
    <t>12.871***</t>
  </si>
  <si>
    <t>AIC</t>
  </si>
  <si>
    <t>LogLike</t>
  </si>
  <si>
    <t>Single Family Unit</t>
  </si>
  <si>
    <t>0.021*</t>
  </si>
  <si>
    <t>0.019*</t>
  </si>
  <si>
    <t>0.020**</t>
  </si>
  <si>
    <t>0.041***</t>
  </si>
  <si>
    <t>0.128***</t>
  </si>
  <si>
    <t>0.123***</t>
  </si>
  <si>
    <t>0.096***</t>
  </si>
  <si>
    <t>0.035***</t>
  </si>
  <si>
    <t>0.091***</t>
  </si>
  <si>
    <t>0.047***</t>
  </si>
  <si>
    <t>-0.182***</t>
  </si>
  <si>
    <t>-0.093***</t>
  </si>
  <si>
    <t>-0.087***</t>
  </si>
  <si>
    <t>-0.055***</t>
  </si>
  <si>
    <t>-0.016***</t>
  </si>
  <si>
    <t>0.196***</t>
  </si>
  <si>
    <t>-0.053***</t>
  </si>
  <si>
    <t>-0.058***</t>
  </si>
  <si>
    <t>-0.036**</t>
  </si>
  <si>
    <t>-0.044***</t>
  </si>
  <si>
    <t>-0.121***</t>
  </si>
  <si>
    <t>0.028**</t>
  </si>
  <si>
    <t>0.178***</t>
  </si>
  <si>
    <t>0.208***</t>
  </si>
  <si>
    <t>0.193***</t>
  </si>
  <si>
    <t>-0.062***</t>
  </si>
  <si>
    <t>-0.094***</t>
  </si>
  <si>
    <t>0.269***</t>
  </si>
  <si>
    <t>0.407***</t>
  </si>
  <si>
    <t>0.622***</t>
  </si>
  <si>
    <t>0.625***</t>
  </si>
  <si>
    <t>0.638***</t>
  </si>
  <si>
    <t>0.522***</t>
  </si>
  <si>
    <t>-0.0001***</t>
  </si>
  <si>
    <t>0.005**</t>
  </si>
  <si>
    <t>0.012***</t>
  </si>
  <si>
    <t>-0.064***</t>
  </si>
  <si>
    <t>-0.668***</t>
  </si>
  <si>
    <t>13.516***</t>
  </si>
  <si>
    <t>13.414***</t>
  </si>
  <si>
    <t>12.963***</t>
  </si>
  <si>
    <t>12.420***</t>
  </si>
  <si>
    <t>0.053***</t>
  </si>
  <si>
    <t>0.062***</t>
  </si>
  <si>
    <t>0.067***</t>
  </si>
  <si>
    <t>0.018*</t>
  </si>
  <si>
    <t>0.112***</t>
  </si>
  <si>
    <t>0.088***</t>
  </si>
  <si>
    <t>0.131***</t>
  </si>
  <si>
    <t>-0.021***</t>
  </si>
  <si>
    <t>0.098***</t>
  </si>
  <si>
    <t>0.073***</t>
  </si>
  <si>
    <t>0.039*</t>
  </si>
  <si>
    <t>0.590***</t>
  </si>
  <si>
    <t>0.259***</t>
  </si>
  <si>
    <t>0.273***</t>
  </si>
  <si>
    <t>0.011***</t>
  </si>
  <si>
    <t>0.006***</t>
  </si>
  <si>
    <t>13.238***</t>
  </si>
  <si>
    <t>12.323***</t>
  </si>
  <si>
    <t>0.048**</t>
  </si>
  <si>
    <t>0.243***</t>
  </si>
  <si>
    <t>0.153***</t>
  </si>
  <si>
    <t>0.089***</t>
  </si>
  <si>
    <t>0.077***</t>
  </si>
  <si>
    <t>0.029**</t>
  </si>
  <si>
    <t>0.349**</t>
  </si>
  <si>
    <t>0.510***</t>
  </si>
  <si>
    <t>0.362***</t>
  </si>
  <si>
    <t>0.041*</t>
  </si>
  <si>
    <t>0.141***</t>
  </si>
  <si>
    <t>-0.622***</t>
  </si>
  <si>
    <t>-0.746***</t>
  </si>
  <si>
    <t>13.846***</t>
  </si>
  <si>
    <t>13.679***</t>
  </si>
  <si>
    <t>13.084***</t>
  </si>
  <si>
    <t>========================</t>
  </si>
  <si>
    <t>=============================</t>
  </si>
  <si>
    <t>===============================</t>
  </si>
  <si>
    <t>-------------------------------</t>
  </si>
  <si>
    <t>-----------------------------</t>
  </si>
  <si>
    <t>------------------------</t>
  </si>
  <si>
    <t>0.022**</t>
  </si>
  <si>
    <t>0.034***</t>
  </si>
  <si>
    <t>-0.015***</t>
  </si>
  <si>
    <t>-0.181***</t>
  </si>
  <si>
    <t>-0.105***</t>
  </si>
  <si>
    <t>0.147***</t>
  </si>
  <si>
    <t>0.149***</t>
  </si>
  <si>
    <t>-0.028**</t>
  </si>
  <si>
    <t>factor(cond)Above Averag</t>
  </si>
  <si>
    <t>e</t>
  </si>
  <si>
    <t>-0.018***</t>
  </si>
  <si>
    <t>-0.013**</t>
  </si>
  <si>
    <t>-0.009*</t>
  </si>
  <si>
    <t>-0.088***</t>
  </si>
  <si>
    <t>-0.092***</t>
  </si>
  <si>
    <t>-0.048***</t>
  </si>
  <si>
    <t>0.177***</t>
  </si>
  <si>
    <t>-0.035**</t>
  </si>
  <si>
    <t>-0.039***</t>
  </si>
  <si>
    <t>-0.068***</t>
  </si>
  <si>
    <t>-0.075***</t>
  </si>
  <si>
    <t>0.015*</t>
  </si>
  <si>
    <t>0.163***</t>
  </si>
  <si>
    <t>0.639***</t>
  </si>
  <si>
    <t>0.561***</t>
  </si>
  <si>
    <t>0.355***</t>
  </si>
  <si>
    <t>0.351***</t>
  </si>
  <si>
    <t>0.597***</t>
  </si>
  <si>
    <t>0.574***</t>
  </si>
  <si>
    <t>0.584***</t>
  </si>
  <si>
    <t>0.571***</t>
  </si>
  <si>
    <t>0.521***</t>
  </si>
  <si>
    <t>0.009***</t>
  </si>
  <si>
    <t>-0.424***</t>
  </si>
  <si>
    <t>-0.145***</t>
  </si>
  <si>
    <t>-0.361***</t>
  </si>
  <si>
    <t>0.276***</t>
  </si>
  <si>
    <t>-6.821***</t>
  </si>
  <si>
    <t>-5.720***</t>
  </si>
  <si>
    <t>0.580 (df = 50392)</t>
  </si>
  <si>
    <t>0.576 (df = 50384)</t>
  </si>
  <si>
    <t>0.350 (df = 50372)</t>
  </si>
  <si>
    <t>0.307 (df = 50348)</t>
  </si>
  <si>
    <t>0.267 (df = 50339)</t>
  </si>
  <si>
    <t>0.251 (df = 50334)</t>
  </si>
  <si>
    <t>221.532*** (df = 1; 50392)</t>
  </si>
  <si>
    <t>100.829*** (df = 9; 50384)</t>
  </si>
  <si>
    <t>4,211.247*** (df = 21; 50372)</t>
  </si>
  <si>
    <t>2,898.829*** (df = 45; 50348)</t>
  </si>
  <si>
    <t>3,506.163*** (df = 54; 50339)</t>
  </si>
  <si>
    <t>3,732.439*** (df = 59; 50334)</t>
  </si>
  <si>
    <t>=========================</t>
  </si>
  <si>
    <t>Depen</t>
  </si>
  <si>
    <t>dent variable:</t>
  </si>
  <si>
    <t>-------------------------</t>
  </si>
  <si>
    <t>l</t>
  </si>
  <si>
    <t>n.r.close</t>
  </si>
  <si>
    <t>0.037**</t>
  </si>
  <si>
    <t>0.105***</t>
  </si>
  <si>
    <t>0.082***</t>
  </si>
  <si>
    <t>-0.022***</t>
  </si>
  <si>
    <t>0.261***</t>
  </si>
  <si>
    <t>0.242***</t>
  </si>
  <si>
    <t>0.209***</t>
  </si>
  <si>
    <t>0.103***</t>
  </si>
  <si>
    <t>-0.111***</t>
  </si>
  <si>
    <t>-0.019**</t>
  </si>
  <si>
    <t>-0.011*</t>
  </si>
  <si>
    <t>-0.028***</t>
  </si>
  <si>
    <t>-0.025***</t>
  </si>
  <si>
    <t>-0.142**</t>
  </si>
  <si>
    <t>-0.119**</t>
  </si>
  <si>
    <t>0.042***</t>
  </si>
  <si>
    <t>0.237***</t>
  </si>
  <si>
    <t>0.048***</t>
  </si>
  <si>
    <t>0.591***</t>
  </si>
  <si>
    <t>0.224***</t>
  </si>
  <si>
    <t>0.227***</t>
  </si>
  <si>
    <t>0.274***</t>
  </si>
  <si>
    <t>0.279***</t>
  </si>
  <si>
    <t>0.320***</t>
  </si>
  <si>
    <t>0.249***</t>
  </si>
  <si>
    <t>0.316***</t>
  </si>
  <si>
    <t>0.379***</t>
  </si>
  <si>
    <t>0.220***</t>
  </si>
  <si>
    <t>0.282***</t>
  </si>
  <si>
    <t>-0.164***</t>
  </si>
  <si>
    <t>-0.001*</t>
  </si>
  <si>
    <t>-0.363***</t>
  </si>
  <si>
    <t>-0.171***</t>
  </si>
  <si>
    <t>-0.547***</t>
  </si>
  <si>
    <t>13.141***</t>
  </si>
  <si>
    <t>12.731***</t>
  </si>
  <si>
    <t>2.807**</t>
  </si>
  <si>
    <t>0.498 (df = 27427)</t>
  </si>
  <si>
    <t>0.495 (df = 27419)</t>
  </si>
  <si>
    <t>0.297 (df = 27407)</t>
  </si>
  <si>
    <t>0.263 (df = 27384)</t>
  </si>
  <si>
    <t>0.230 (df = 27375)</t>
  </si>
  <si>
    <t>0.217 (df = 27370)</t>
  </si>
  <si>
    <t>4.900** (df = 1; 27427)</t>
  </si>
  <si>
    <t>39.595*** (df = 9; 27419)</t>
  </si>
  <si>
    <t>2,373.176*** (df = 21; 27407)</t>
  </si>
  <si>
    <t>1,605.346*** (df = 44; 27384)</t>
  </si>
  <si>
    <t>1,900.002*** (df = 53; 27375)</t>
  </si>
  <si>
    <t>2,028.859*** (df = 58; 27370)</t>
  </si>
  <si>
    <t>Dependen</t>
  </si>
  <si>
    <t>t variable:</t>
  </si>
  <si>
    <t>ln.r</t>
  </si>
  <si>
    <t>.close</t>
  </si>
  <si>
    <t>-0.043***</t>
  </si>
  <si>
    <t>factor(cond)Above Avera</t>
  </si>
  <si>
    <t>ge</t>
  </si>
  <si>
    <t>-0.250***</t>
  </si>
  <si>
    <t>-9.261***</t>
  </si>
  <si>
    <t>0.443 (df = 22963)</t>
  </si>
  <si>
    <t>0.429 (df = 22955)</t>
  </si>
  <si>
    <t>0.278 (df = 22943)</t>
  </si>
  <si>
    <t>0.275 (df = 22924)</t>
  </si>
  <si>
    <t>0.218 (df = 22915)</t>
  </si>
  <si>
    <t>0.204 (df = 22910)</t>
  </si>
  <si>
    <t>713.335*** (df = 1; 22963)</t>
  </si>
  <si>
    <t>254.615*** (df = 9; 22955)</t>
  </si>
  <si>
    <t>1,776.256*** (df = 21; 22943)</t>
  </si>
  <si>
    <t>964.497*** (df = 40; 22924)</t>
  </si>
  <si>
    <t>1,532.973*** (df = 49; 22915)</t>
  </si>
  <si>
    <t>1,643.265*** (df = 54; 22910)</t>
  </si>
  <si>
    <t>variable</t>
  </si>
  <si>
    <t>Direct</t>
  </si>
  <si>
    <t>Direct P-Val</t>
  </si>
  <si>
    <t>Indirect</t>
  </si>
  <si>
    <t>Indirect P-Val</t>
  </si>
  <si>
    <t>Total</t>
  </si>
  <si>
    <t>Total P-Val</t>
  </si>
  <si>
    <t>nobs</t>
  </si>
  <si>
    <t>LL</t>
  </si>
  <si>
    <t>Rho</t>
  </si>
  <si>
    <t xml:space="preserve"> LR test value</t>
  </si>
  <si>
    <t xml:space="preserve"> p-value</t>
  </si>
  <si>
    <t>Direct Impact</t>
  </si>
  <si>
    <t>Indirect Impact</t>
  </si>
  <si>
    <t>Total Impact</t>
  </si>
  <si>
    <t>All Unit Types</t>
  </si>
  <si>
    <t>Townhome/Codo Unit</t>
  </si>
  <si>
    <t>LogLik</t>
  </si>
  <si>
    <t>Estimate</t>
  </si>
  <si>
    <t>Std. Error</t>
  </si>
  <si>
    <t>z value</t>
  </si>
  <si>
    <t>Pr(&gt;|z|)</t>
  </si>
  <si>
    <t>lag.Covid</t>
  </si>
  <si>
    <t>lag.DOM</t>
  </si>
  <si>
    <t>lag.factor(year)2017</t>
  </si>
  <si>
    <t>lag.factor(year)2018</t>
  </si>
  <si>
    <t>lag.factor(year)2019</t>
  </si>
  <si>
    <t>lag.factor(year)2020</t>
  </si>
  <si>
    <t>lag.factor(year)2021</t>
  </si>
  <si>
    <t>lag.factor(year)2022</t>
  </si>
  <si>
    <t>lag.factor(year)2023</t>
  </si>
  <si>
    <t>lag.BedsTotal</t>
  </si>
  <si>
    <t>lag.BathsFull</t>
  </si>
  <si>
    <t>lag.BathsHalf</t>
  </si>
  <si>
    <t>lag.StoriesTwo</t>
  </si>
  <si>
    <t>lag.StoriesMulti</t>
  </si>
  <si>
    <t>lag.SqftTotal</t>
  </si>
  <si>
    <t>lag.Age</t>
  </si>
  <si>
    <t>lag.Age2</t>
  </si>
  <si>
    <t>lag.Basement</t>
  </si>
  <si>
    <t>lag.factor(cond)Excellent</t>
  </si>
  <si>
    <t>lag.factor(cond)Above Average</t>
  </si>
  <si>
    <t>lag.factor(cond)Fair</t>
  </si>
  <si>
    <t>lag.Split</t>
  </si>
  <si>
    <t>lag.PUD</t>
  </si>
  <si>
    <t>lag.LowRise</t>
  </si>
  <si>
    <t>lag.HighRise</t>
  </si>
  <si>
    <t>lag.Townhouse</t>
  </si>
  <si>
    <t>lag.Condotel</t>
  </si>
  <si>
    <t>lag.Duplex</t>
  </si>
  <si>
    <t>lag.WalkUP</t>
  </si>
  <si>
    <t>lag.SingleFam</t>
  </si>
  <si>
    <t>lag.factor(LUC)Agriculture</t>
  </si>
  <si>
    <t>lag.factor(LUC)Apartment-HD</t>
  </si>
  <si>
    <t>lag.factor(LUC)Apartment-LD</t>
  </si>
  <si>
    <t>lag.factor(LUC)Apartment-MD</t>
  </si>
  <si>
    <t>lag.factor(LUC)Business</t>
  </si>
  <si>
    <t>lag.factor(LUC)Other</t>
  </si>
  <si>
    <t>lag.factor(LUC)Resort</t>
  </si>
  <si>
    <t>lag.Parking1</t>
  </si>
  <si>
    <t>lag.Parking2</t>
  </si>
  <si>
    <t>lag.Parking3</t>
  </si>
  <si>
    <t>lag.Parking4</t>
  </si>
  <si>
    <t>lag.Parking5 or More</t>
  </si>
  <si>
    <t>lag.HOA</t>
  </si>
  <si>
    <t>lag.remod</t>
  </si>
  <si>
    <t>lag.Elevator</t>
  </si>
  <si>
    <t>lag.beach</t>
  </si>
  <si>
    <t>lag.park</t>
  </si>
  <si>
    <t>lag.hospital</t>
  </si>
  <si>
    <t>lag.airport</t>
  </si>
  <si>
    <t>lag.elem_sch</t>
  </si>
  <si>
    <t>lag.mid_sch</t>
  </si>
  <si>
    <t>lag.high_sch</t>
  </si>
  <si>
    <t>lag.per_black</t>
  </si>
  <si>
    <t>lag.per_asian</t>
  </si>
  <si>
    <t>lag.per_hawaian</t>
  </si>
  <si>
    <t>lag.per_owner</t>
  </si>
  <si>
    <t>lag.per_occupied</t>
  </si>
  <si>
    <t>lagged Covid</t>
  </si>
  <si>
    <t>Table Five</t>
  </si>
  <si>
    <t>Estimates from Spatial Durbin Model with Simulated Impacts (5,000 Iterations)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</si>
</sst>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74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73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/>
    <xf numFmtId="0" fontId="5" fillId="0" borderId="1" xfId="0" applyFont="1" applyBorder="1"/>
    <xf numFmtId="0" fontId="5" fillId="0" borderId="1" xfId="0" quotePrefix="1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11" fontId="0" fillId="0" borderId="2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43" fontId="0" fillId="0" borderId="0" xfId="1" applyFont="1"/>
    <xf numFmtId="3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3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7" fillId="0" borderId="1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1" fontId="0" fillId="0" borderId="0" xfId="0" applyNumberFormat="1"/>
    <xf numFmtId="174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1" fillId="0" borderId="0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78BD-2186-436E-AEB3-368A6ACCD17F}">
  <sheetPr codeName="Sheet1"/>
  <dimension ref="A1:X89"/>
  <sheetViews>
    <sheetView workbookViewId="0">
      <selection activeCell="G15" sqref="G15"/>
    </sheetView>
  </sheetViews>
  <sheetFormatPr defaultRowHeight="15" x14ac:dyDescent="0.25"/>
  <cols>
    <col min="1" max="1" width="30.7109375" bestFit="1" customWidth="1"/>
    <col min="2" max="2" width="6.5703125" bestFit="1" customWidth="1"/>
    <col min="3" max="5" width="11.7109375" bestFit="1" customWidth="1"/>
    <col min="6" max="6" width="12.7109375" bestFit="1" customWidth="1"/>
    <col min="7" max="7" width="30.7109375" bestFit="1" customWidth="1"/>
    <col min="8" max="8" width="6.5703125" bestFit="1" customWidth="1"/>
    <col min="9" max="11" width="11.7109375" bestFit="1" customWidth="1"/>
    <col min="12" max="12" width="12.71093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0</v>
      </c>
    </row>
    <row r="2" spans="1:24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  <c r="S2" t="s">
        <v>6</v>
      </c>
    </row>
    <row r="3" spans="1:24" x14ac:dyDescent="0.25">
      <c r="A3" t="s">
        <v>10</v>
      </c>
      <c r="B3" s="1">
        <v>50394</v>
      </c>
      <c r="C3">
        <v>1.3180000000000001</v>
      </c>
      <c r="D3">
        <v>0.54900000000000004</v>
      </c>
      <c r="E3">
        <v>1</v>
      </c>
      <c r="F3">
        <v>5</v>
      </c>
      <c r="G3" t="s">
        <v>10</v>
      </c>
      <c r="H3" s="1">
        <v>29046</v>
      </c>
      <c r="I3">
        <v>1.3149999999999999</v>
      </c>
      <c r="J3">
        <v>0.54800000000000004</v>
      </c>
      <c r="K3">
        <v>1</v>
      </c>
      <c r="L3">
        <v>5</v>
      </c>
      <c r="M3" t="s">
        <v>10</v>
      </c>
      <c r="N3" s="1">
        <v>21348</v>
      </c>
      <c r="O3">
        <v>1.3220000000000001</v>
      </c>
      <c r="P3">
        <v>0.55000000000000004</v>
      </c>
      <c r="Q3">
        <v>1</v>
      </c>
      <c r="R3">
        <v>5</v>
      </c>
      <c r="S3" t="s">
        <v>10</v>
      </c>
      <c r="T3" s="1"/>
    </row>
    <row r="4" spans="1:24" x14ac:dyDescent="0.25">
      <c r="A4" t="s">
        <v>11</v>
      </c>
      <c r="B4" s="1">
        <v>50394</v>
      </c>
      <c r="C4">
        <v>0.42399999999999999</v>
      </c>
      <c r="D4">
        <v>0.49399999999999999</v>
      </c>
      <c r="E4">
        <v>0</v>
      </c>
      <c r="F4">
        <v>1</v>
      </c>
      <c r="G4" t="s">
        <v>11</v>
      </c>
      <c r="H4" s="1">
        <v>29046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21348</v>
      </c>
      <c r="O4">
        <v>1</v>
      </c>
      <c r="P4">
        <v>0</v>
      </c>
      <c r="Q4">
        <v>1</v>
      </c>
      <c r="R4">
        <v>1</v>
      </c>
      <c r="S4" t="s">
        <v>11</v>
      </c>
      <c r="T4" s="1"/>
    </row>
    <row r="5" spans="1:24" x14ac:dyDescent="0.25">
      <c r="A5" t="s">
        <v>12</v>
      </c>
      <c r="B5" s="1">
        <v>50394</v>
      </c>
      <c r="C5">
        <v>0.375</v>
      </c>
      <c r="D5">
        <v>0.48399999999999999</v>
      </c>
      <c r="E5">
        <v>0</v>
      </c>
      <c r="F5">
        <v>1</v>
      </c>
      <c r="G5" t="s">
        <v>12</v>
      </c>
      <c r="H5" s="1">
        <v>29046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21348</v>
      </c>
      <c r="O5">
        <v>0.88400000000000001</v>
      </c>
      <c r="P5">
        <v>0.32</v>
      </c>
      <c r="Q5">
        <v>0</v>
      </c>
      <c r="R5">
        <v>1</v>
      </c>
      <c r="S5" t="s">
        <v>12</v>
      </c>
      <c r="T5" s="1"/>
    </row>
    <row r="6" spans="1:24" x14ac:dyDescent="0.25">
      <c r="A6" t="s">
        <v>36</v>
      </c>
      <c r="B6" s="1">
        <v>21348</v>
      </c>
      <c r="C6">
        <v>301.61599999999999</v>
      </c>
      <c r="D6">
        <v>558.78099999999995</v>
      </c>
      <c r="E6">
        <v>0</v>
      </c>
      <c r="F6" s="1">
        <v>4021</v>
      </c>
      <c r="H6" s="1"/>
      <c r="M6" t="s">
        <v>36</v>
      </c>
      <c r="N6" s="1">
        <v>21348</v>
      </c>
      <c r="O6">
        <v>301.61599999999999</v>
      </c>
      <c r="P6">
        <v>558.78099999999995</v>
      </c>
      <c r="Q6">
        <v>0</v>
      </c>
      <c r="R6" s="1">
        <v>4021</v>
      </c>
      <c r="S6" t="s">
        <v>36</v>
      </c>
      <c r="T6" s="1"/>
      <c r="X6" s="1"/>
    </row>
    <row r="7" spans="1:24" x14ac:dyDescent="0.25">
      <c r="A7" t="s">
        <v>13</v>
      </c>
      <c r="B7" s="1">
        <v>50394</v>
      </c>
      <c r="C7">
        <v>1.9079999999999999</v>
      </c>
      <c r="D7">
        <v>0.89200000000000002</v>
      </c>
      <c r="E7">
        <v>0</v>
      </c>
      <c r="F7">
        <v>17</v>
      </c>
      <c r="G7" t="s">
        <v>13</v>
      </c>
      <c r="H7" s="1">
        <v>29046</v>
      </c>
      <c r="I7">
        <v>1.893</v>
      </c>
      <c r="J7">
        <v>0.86599999999999999</v>
      </c>
      <c r="K7">
        <v>0</v>
      </c>
      <c r="L7">
        <v>17</v>
      </c>
      <c r="M7" t="s">
        <v>13</v>
      </c>
      <c r="N7" s="1">
        <v>21348</v>
      </c>
      <c r="O7">
        <v>1.929</v>
      </c>
      <c r="P7">
        <v>0.92600000000000005</v>
      </c>
      <c r="Q7">
        <v>0</v>
      </c>
      <c r="R7">
        <v>15</v>
      </c>
      <c r="S7" t="s">
        <v>13</v>
      </c>
      <c r="T7" s="1"/>
    </row>
    <row r="8" spans="1:24" x14ac:dyDescent="0.25">
      <c r="A8" t="s">
        <v>14</v>
      </c>
      <c r="B8" s="1">
        <v>50394</v>
      </c>
      <c r="C8">
        <v>0.27600000000000002</v>
      </c>
      <c r="D8">
        <v>0.46800000000000003</v>
      </c>
      <c r="E8">
        <v>0</v>
      </c>
      <c r="F8">
        <v>5</v>
      </c>
      <c r="G8" t="s">
        <v>14</v>
      </c>
      <c r="H8" s="1">
        <v>29046</v>
      </c>
      <c r="I8">
        <v>0.27800000000000002</v>
      </c>
      <c r="J8">
        <v>0.46600000000000003</v>
      </c>
      <c r="K8">
        <v>0</v>
      </c>
      <c r="L8">
        <v>5</v>
      </c>
      <c r="M8" t="s">
        <v>14</v>
      </c>
      <c r="N8" s="1">
        <v>21348</v>
      </c>
      <c r="O8">
        <v>0.27200000000000002</v>
      </c>
      <c r="P8">
        <v>0.47099999999999997</v>
      </c>
      <c r="Q8">
        <v>0</v>
      </c>
      <c r="R8">
        <v>5</v>
      </c>
      <c r="S8" t="s">
        <v>14</v>
      </c>
      <c r="T8" s="1"/>
    </row>
    <row r="9" spans="1:24" x14ac:dyDescent="0.25">
      <c r="A9" t="s">
        <v>15</v>
      </c>
      <c r="B9" s="1">
        <v>50394</v>
      </c>
      <c r="C9">
        <v>2.718</v>
      </c>
      <c r="D9">
        <v>1.458</v>
      </c>
      <c r="E9">
        <v>0</v>
      </c>
      <c r="F9" s="1">
        <v>25</v>
      </c>
      <c r="G9" t="s">
        <v>15</v>
      </c>
      <c r="H9" s="1">
        <v>29046</v>
      </c>
      <c r="I9">
        <v>2.7029999999999998</v>
      </c>
      <c r="J9">
        <v>1.42</v>
      </c>
      <c r="K9">
        <v>0</v>
      </c>
      <c r="L9">
        <v>18</v>
      </c>
      <c r="M9" t="s">
        <v>15</v>
      </c>
      <c r="N9" s="1">
        <v>21348</v>
      </c>
      <c r="O9">
        <v>2.7389999999999999</v>
      </c>
      <c r="P9">
        <v>1.5089999999999999</v>
      </c>
      <c r="Q9">
        <v>0</v>
      </c>
      <c r="R9" s="1">
        <v>25</v>
      </c>
      <c r="S9" t="s">
        <v>15</v>
      </c>
      <c r="T9" s="1"/>
    </row>
    <row r="10" spans="1:24" x14ac:dyDescent="0.25">
      <c r="A10" t="s">
        <v>16</v>
      </c>
      <c r="B10" s="1">
        <v>50394</v>
      </c>
      <c r="C10">
        <v>44.356000000000002</v>
      </c>
      <c r="D10">
        <v>58.817</v>
      </c>
      <c r="E10">
        <v>0</v>
      </c>
      <c r="F10" s="1">
        <v>1402</v>
      </c>
      <c r="G10" t="s">
        <v>16</v>
      </c>
      <c r="H10" s="1">
        <v>29046</v>
      </c>
      <c r="I10">
        <v>51.107999999999997</v>
      </c>
      <c r="J10">
        <v>59.033000000000001</v>
      </c>
      <c r="K10">
        <v>0</v>
      </c>
      <c r="L10" s="1">
        <v>1402</v>
      </c>
      <c r="M10" t="s">
        <v>16</v>
      </c>
      <c r="N10" s="1">
        <v>21348</v>
      </c>
      <c r="O10">
        <v>35.167999999999999</v>
      </c>
      <c r="P10">
        <v>57.256999999999998</v>
      </c>
      <c r="Q10">
        <v>0</v>
      </c>
      <c r="R10" s="1">
        <v>946</v>
      </c>
      <c r="S10" t="s">
        <v>16</v>
      </c>
      <c r="T10" s="1"/>
    </row>
    <row r="11" spans="1:24" x14ac:dyDescent="0.25">
      <c r="A11" t="s">
        <v>163</v>
      </c>
      <c r="B11" s="1">
        <v>50394</v>
      </c>
      <c r="C11" s="2">
        <v>1330.2439999999999</v>
      </c>
      <c r="D11">
        <v>831.351</v>
      </c>
      <c r="E11">
        <v>120</v>
      </c>
      <c r="F11" s="1">
        <v>17408</v>
      </c>
      <c r="G11" t="s">
        <v>163</v>
      </c>
      <c r="H11" s="1">
        <v>29046</v>
      </c>
      <c r="I11" s="2">
        <v>1318.9269999999999</v>
      </c>
      <c r="J11">
        <v>804.96500000000003</v>
      </c>
      <c r="K11">
        <v>160</v>
      </c>
      <c r="L11" s="1">
        <v>17408</v>
      </c>
      <c r="M11" t="s">
        <v>163</v>
      </c>
      <c r="N11" s="1">
        <v>21348</v>
      </c>
      <c r="O11" s="2">
        <v>1345.6420000000001</v>
      </c>
      <c r="P11" s="2">
        <v>865.74199999999996</v>
      </c>
      <c r="Q11">
        <v>120</v>
      </c>
      <c r="R11" s="1">
        <v>16703</v>
      </c>
      <c r="S11" t="s">
        <v>163</v>
      </c>
      <c r="T11" s="1"/>
      <c r="X11" s="1"/>
    </row>
    <row r="12" spans="1:24" x14ac:dyDescent="0.25">
      <c r="A12" t="s">
        <v>17</v>
      </c>
      <c r="B12" s="1">
        <v>50394</v>
      </c>
      <c r="C12" s="2">
        <v>164.767</v>
      </c>
      <c r="D12" s="2">
        <v>229.809</v>
      </c>
      <c r="E12" s="2">
        <v>0</v>
      </c>
      <c r="F12" s="2">
        <v>5000</v>
      </c>
      <c r="G12" t="s">
        <v>17</v>
      </c>
      <c r="H12" s="1">
        <v>29046</v>
      </c>
      <c r="I12" s="2">
        <v>162.56</v>
      </c>
      <c r="J12">
        <v>229.654</v>
      </c>
      <c r="K12">
        <v>0</v>
      </c>
      <c r="L12" s="1">
        <v>5000</v>
      </c>
      <c r="M12" t="s">
        <v>17</v>
      </c>
      <c r="N12" s="1">
        <v>21348</v>
      </c>
      <c r="O12" s="2">
        <v>167.77</v>
      </c>
      <c r="P12" s="2">
        <v>229.99100000000001</v>
      </c>
      <c r="Q12" s="2">
        <v>0</v>
      </c>
      <c r="R12" s="2">
        <v>3200</v>
      </c>
      <c r="S12" t="s">
        <v>17</v>
      </c>
      <c r="T12" s="1"/>
      <c r="X12" s="1"/>
    </row>
    <row r="13" spans="1:24" x14ac:dyDescent="0.25">
      <c r="A13" t="s">
        <v>19</v>
      </c>
      <c r="B13" s="1">
        <v>50394</v>
      </c>
      <c r="C13" s="2">
        <v>939298.4</v>
      </c>
      <c r="D13" s="2">
        <v>877102.1</v>
      </c>
      <c r="E13" s="2">
        <v>85418.51</v>
      </c>
      <c r="F13" s="2">
        <v>28197546</v>
      </c>
      <c r="G13" t="s">
        <v>19</v>
      </c>
      <c r="H13" s="1">
        <v>29046</v>
      </c>
      <c r="I13" s="2">
        <v>904945.4</v>
      </c>
      <c r="J13" s="2">
        <v>841178.2</v>
      </c>
      <c r="K13" s="2">
        <v>99684.44</v>
      </c>
      <c r="L13" s="1">
        <v>28197546</v>
      </c>
      <c r="M13" t="s">
        <v>19</v>
      </c>
      <c r="N13" s="1">
        <v>21348</v>
      </c>
      <c r="O13" s="2">
        <v>986038.9</v>
      </c>
      <c r="P13" s="2">
        <v>921705.3</v>
      </c>
      <c r="Q13" s="2">
        <v>85418.51</v>
      </c>
      <c r="R13" s="2">
        <v>22166108</v>
      </c>
      <c r="S13" t="s">
        <v>19</v>
      </c>
      <c r="T13" s="1"/>
      <c r="U13" s="2"/>
      <c r="V13" s="2"/>
      <c r="W13" s="2"/>
      <c r="X13" s="2"/>
    </row>
    <row r="14" spans="1:24" x14ac:dyDescent="0.25">
      <c r="A14" t="s">
        <v>20</v>
      </c>
      <c r="B14" s="1">
        <v>50394</v>
      </c>
      <c r="C14" s="2">
        <v>928331</v>
      </c>
      <c r="D14" s="2">
        <v>827632.4</v>
      </c>
      <c r="E14" s="2">
        <v>85418.51</v>
      </c>
      <c r="F14" s="2">
        <v>28197546</v>
      </c>
      <c r="G14" t="s">
        <v>20</v>
      </c>
      <c r="H14" s="1">
        <v>29046</v>
      </c>
      <c r="I14" s="2">
        <v>887228.4</v>
      </c>
      <c r="J14" s="2">
        <v>789807</v>
      </c>
      <c r="K14" s="2">
        <v>118448.6</v>
      </c>
      <c r="L14" s="1">
        <v>28197546</v>
      </c>
      <c r="M14" t="s">
        <v>20</v>
      </c>
      <c r="N14" s="1">
        <v>21348</v>
      </c>
      <c r="O14" s="2">
        <v>984255.1</v>
      </c>
      <c r="P14" s="2">
        <v>873397.8</v>
      </c>
      <c r="Q14" s="2">
        <v>85418.51</v>
      </c>
      <c r="R14" s="2">
        <v>22166108</v>
      </c>
      <c r="S14" t="s">
        <v>20</v>
      </c>
      <c r="T14" s="1"/>
      <c r="U14" s="2"/>
      <c r="V14" s="2"/>
      <c r="W14" s="2"/>
      <c r="X14" s="2"/>
    </row>
    <row r="15" spans="1:24" x14ac:dyDescent="0.25">
      <c r="A15" t="s">
        <v>190</v>
      </c>
      <c r="B15" s="1">
        <v>50394</v>
      </c>
      <c r="C15" s="2">
        <v>8958.1810000000005</v>
      </c>
      <c r="D15" s="2">
        <v>89034.99</v>
      </c>
      <c r="E15" s="2">
        <v>-2010000</v>
      </c>
      <c r="F15" s="2">
        <v>6900000</v>
      </c>
      <c r="G15" t="s">
        <v>190</v>
      </c>
      <c r="H15" s="1">
        <v>29046</v>
      </c>
      <c r="I15" s="2">
        <v>14555.15</v>
      </c>
      <c r="J15" s="2">
        <v>68460.86</v>
      </c>
      <c r="K15" s="2">
        <v>-1850000</v>
      </c>
      <c r="L15" s="1">
        <v>2950000</v>
      </c>
      <c r="M15" t="s">
        <v>190</v>
      </c>
      <c r="N15" s="1">
        <v>21348</v>
      </c>
      <c r="O15" s="2">
        <v>1342.9649999999999</v>
      </c>
      <c r="P15" s="2">
        <v>110615.7</v>
      </c>
      <c r="Q15" s="2">
        <v>-2010000</v>
      </c>
      <c r="R15" s="2">
        <v>6900000</v>
      </c>
      <c r="S15" t="s">
        <v>190</v>
      </c>
      <c r="T15" s="1"/>
      <c r="U15" s="2"/>
      <c r="V15" s="2"/>
      <c r="W15" s="1"/>
      <c r="X15" s="1"/>
    </row>
    <row r="16" spans="1:24" x14ac:dyDescent="0.25">
      <c r="A16" t="s">
        <v>21</v>
      </c>
      <c r="B16" s="1">
        <v>50394</v>
      </c>
      <c r="C16">
        <v>1.2999999999999999E-2</v>
      </c>
      <c r="D16">
        <v>0.112</v>
      </c>
      <c r="E16">
        <v>0</v>
      </c>
      <c r="F16">
        <v>1</v>
      </c>
      <c r="G16" t="s">
        <v>21</v>
      </c>
      <c r="H16" s="1">
        <v>29046</v>
      </c>
      <c r="I16" s="2">
        <v>1.0999999999999999E-2</v>
      </c>
      <c r="J16" s="2">
        <v>0.106</v>
      </c>
      <c r="K16" s="2">
        <v>0</v>
      </c>
      <c r="L16" s="1">
        <v>1</v>
      </c>
      <c r="M16" t="s">
        <v>21</v>
      </c>
      <c r="N16" s="1">
        <v>21348</v>
      </c>
      <c r="O16">
        <v>1.4E-2</v>
      </c>
      <c r="P16">
        <v>0.11899999999999999</v>
      </c>
      <c r="Q16">
        <v>0</v>
      </c>
      <c r="R16">
        <v>1</v>
      </c>
      <c r="S16" t="s">
        <v>21</v>
      </c>
      <c r="T16" s="1"/>
    </row>
    <row r="17" spans="1:24" x14ac:dyDescent="0.25">
      <c r="A17" t="s">
        <v>22</v>
      </c>
      <c r="B17" s="1">
        <v>50394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29046</v>
      </c>
      <c r="I17" s="2">
        <v>3.5999999999999997E-2</v>
      </c>
      <c r="J17" s="2">
        <v>0.187</v>
      </c>
      <c r="K17" s="2">
        <v>0</v>
      </c>
      <c r="L17" s="1">
        <v>1</v>
      </c>
      <c r="M17" t="s">
        <v>22</v>
      </c>
      <c r="N17" s="1">
        <v>21348</v>
      </c>
      <c r="O17">
        <v>3.5999999999999997E-2</v>
      </c>
      <c r="P17">
        <v>0.185</v>
      </c>
      <c r="Q17">
        <v>0</v>
      </c>
      <c r="R17">
        <v>1</v>
      </c>
      <c r="S17" t="s">
        <v>22</v>
      </c>
      <c r="T17" s="1"/>
    </row>
    <row r="18" spans="1:24" x14ac:dyDescent="0.25">
      <c r="A18" t="s">
        <v>23</v>
      </c>
      <c r="B18" s="1">
        <v>50394</v>
      </c>
      <c r="C18">
        <v>7.0000000000000001E-3</v>
      </c>
      <c r="D18">
        <v>8.5999999999999993E-2</v>
      </c>
      <c r="E18">
        <v>0</v>
      </c>
      <c r="F18">
        <v>1</v>
      </c>
      <c r="G18" t="s">
        <v>23</v>
      </c>
      <c r="H18" s="1">
        <v>29046</v>
      </c>
      <c r="I18" s="2">
        <v>8.0000000000000002E-3</v>
      </c>
      <c r="J18" s="2">
        <v>8.7999999999999995E-2</v>
      </c>
      <c r="K18" s="2">
        <v>0</v>
      </c>
      <c r="L18" s="2">
        <v>1</v>
      </c>
      <c r="M18" t="s">
        <v>23</v>
      </c>
      <c r="N18" s="1">
        <v>21348</v>
      </c>
      <c r="O18">
        <v>7.0000000000000001E-3</v>
      </c>
      <c r="P18">
        <v>8.3000000000000004E-2</v>
      </c>
      <c r="Q18">
        <v>0</v>
      </c>
      <c r="R18">
        <v>1</v>
      </c>
      <c r="S18" t="s">
        <v>23</v>
      </c>
      <c r="T18" s="1"/>
    </row>
    <row r="19" spans="1:24" x14ac:dyDescent="0.25">
      <c r="A19" t="s">
        <v>24</v>
      </c>
      <c r="B19" s="1">
        <v>50394</v>
      </c>
      <c r="C19">
        <v>9.2999999999999999E-2</v>
      </c>
      <c r="D19">
        <v>0.28999999999999998</v>
      </c>
      <c r="E19">
        <v>0</v>
      </c>
      <c r="F19">
        <v>1</v>
      </c>
      <c r="G19" t="s">
        <v>24</v>
      </c>
      <c r="H19" s="1">
        <v>29046</v>
      </c>
      <c r="I19" s="2">
        <v>9.6000000000000002E-2</v>
      </c>
      <c r="J19" s="2">
        <v>0.29399999999999998</v>
      </c>
      <c r="K19" s="2">
        <v>0</v>
      </c>
      <c r="L19" s="2">
        <v>1</v>
      </c>
      <c r="M19" t="s">
        <v>24</v>
      </c>
      <c r="N19" s="1">
        <v>21348</v>
      </c>
      <c r="O19">
        <v>8.8999999999999996E-2</v>
      </c>
      <c r="P19">
        <v>0.28399999999999997</v>
      </c>
      <c r="Q19">
        <v>0</v>
      </c>
      <c r="R19">
        <v>1</v>
      </c>
      <c r="S19" t="s">
        <v>24</v>
      </c>
      <c r="T19" s="1"/>
    </row>
    <row r="20" spans="1:24" x14ac:dyDescent="0.25">
      <c r="A20" t="s">
        <v>25</v>
      </c>
      <c r="B20" s="1">
        <v>50394</v>
      </c>
      <c r="C20">
        <v>0.28100000000000003</v>
      </c>
      <c r="D20">
        <v>0.45</v>
      </c>
      <c r="E20">
        <v>0</v>
      </c>
      <c r="F20">
        <v>1</v>
      </c>
      <c r="G20" t="s">
        <v>25</v>
      </c>
      <c r="H20" s="1">
        <v>29046</v>
      </c>
      <c r="I20">
        <v>0.27400000000000002</v>
      </c>
      <c r="J20">
        <v>0.44600000000000001</v>
      </c>
      <c r="K20">
        <v>0</v>
      </c>
      <c r="L20">
        <v>1</v>
      </c>
      <c r="M20" t="s">
        <v>25</v>
      </c>
      <c r="N20" s="1">
        <v>21348</v>
      </c>
      <c r="O20">
        <v>0.29099999999999998</v>
      </c>
      <c r="P20">
        <v>0.45400000000000001</v>
      </c>
      <c r="Q20">
        <v>0</v>
      </c>
      <c r="R20">
        <v>1</v>
      </c>
      <c r="S20" t="s">
        <v>25</v>
      </c>
      <c r="T20" s="1"/>
    </row>
    <row r="21" spans="1:24" x14ac:dyDescent="0.25">
      <c r="A21" t="s">
        <v>26</v>
      </c>
      <c r="B21" s="1">
        <v>50394</v>
      </c>
      <c r="C21">
        <v>0.17199999999999999</v>
      </c>
      <c r="D21">
        <v>0.377</v>
      </c>
      <c r="E21">
        <v>0</v>
      </c>
      <c r="F21">
        <v>1</v>
      </c>
      <c r="G21" t="s">
        <v>26</v>
      </c>
      <c r="H21" s="1">
        <v>29046</v>
      </c>
      <c r="I21">
        <v>0.17599999999999999</v>
      </c>
      <c r="J21">
        <v>0.38100000000000001</v>
      </c>
      <c r="K21">
        <v>0</v>
      </c>
      <c r="L21">
        <v>1</v>
      </c>
      <c r="M21" t="s">
        <v>26</v>
      </c>
      <c r="N21" s="1">
        <v>21348</v>
      </c>
      <c r="O21">
        <v>0.16600000000000001</v>
      </c>
      <c r="P21">
        <v>0.372</v>
      </c>
      <c r="Q21">
        <v>0</v>
      </c>
      <c r="R21">
        <v>1</v>
      </c>
      <c r="S21" t="s">
        <v>26</v>
      </c>
      <c r="T21" s="1"/>
    </row>
    <row r="22" spans="1:24" x14ac:dyDescent="0.25">
      <c r="A22" t="s">
        <v>27</v>
      </c>
      <c r="B22" s="1">
        <v>50394</v>
      </c>
      <c r="C22">
        <v>3.5000000000000003E-2</v>
      </c>
      <c r="D22">
        <v>0.184</v>
      </c>
      <c r="E22">
        <v>0</v>
      </c>
      <c r="F22">
        <v>1</v>
      </c>
      <c r="G22" t="s">
        <v>27</v>
      </c>
      <c r="H22" s="1">
        <v>29046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21348</v>
      </c>
      <c r="O22">
        <v>3.4000000000000002E-2</v>
      </c>
      <c r="P22">
        <v>0.18099999999999999</v>
      </c>
      <c r="Q22">
        <v>0</v>
      </c>
      <c r="R22">
        <v>1</v>
      </c>
      <c r="S22" t="s">
        <v>27</v>
      </c>
      <c r="T22" s="1"/>
    </row>
    <row r="23" spans="1:24" x14ac:dyDescent="0.25">
      <c r="A23" t="s">
        <v>28</v>
      </c>
      <c r="B23" s="1">
        <v>50394</v>
      </c>
      <c r="C23">
        <v>0.42</v>
      </c>
      <c r="D23">
        <v>0.49399999999999999</v>
      </c>
      <c r="E23">
        <v>0</v>
      </c>
      <c r="F23">
        <v>1</v>
      </c>
      <c r="G23" t="s">
        <v>28</v>
      </c>
      <c r="H23" s="1">
        <v>29046</v>
      </c>
      <c r="I23">
        <v>0.42099999999999999</v>
      </c>
      <c r="J23">
        <v>0.49399999999999999</v>
      </c>
      <c r="K23">
        <v>0</v>
      </c>
      <c r="L23">
        <v>1</v>
      </c>
      <c r="M23" t="s">
        <v>28</v>
      </c>
      <c r="N23" s="1">
        <v>21348</v>
      </c>
      <c r="O23">
        <v>0.42</v>
      </c>
      <c r="P23">
        <v>0.49399999999999999</v>
      </c>
      <c r="Q23">
        <v>0</v>
      </c>
      <c r="R23">
        <v>1</v>
      </c>
      <c r="S23" t="s">
        <v>28</v>
      </c>
      <c r="T23" s="1"/>
    </row>
    <row r="24" spans="1:24" x14ac:dyDescent="0.25">
      <c r="A24" t="s">
        <v>29</v>
      </c>
      <c r="B24" s="1">
        <v>50394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29046</v>
      </c>
      <c r="I24">
        <v>8.9999999999999993E-3</v>
      </c>
      <c r="J24">
        <v>9.5000000000000001E-2</v>
      </c>
      <c r="K24">
        <v>0</v>
      </c>
      <c r="L24">
        <v>1</v>
      </c>
      <c r="M24" t="s">
        <v>29</v>
      </c>
      <c r="N24" s="1">
        <v>21348</v>
      </c>
      <c r="O24">
        <v>8.0000000000000002E-3</v>
      </c>
      <c r="P24">
        <v>8.8999999999999996E-2</v>
      </c>
      <c r="Q24">
        <v>0</v>
      </c>
      <c r="R24">
        <v>1</v>
      </c>
      <c r="S24" t="s">
        <v>29</v>
      </c>
      <c r="T24" s="1"/>
    </row>
    <row r="25" spans="1:24" x14ac:dyDescent="0.25">
      <c r="A25" t="s">
        <v>30</v>
      </c>
      <c r="B25" s="1">
        <v>50394</v>
      </c>
      <c r="C25">
        <v>1.7999999999999999E-2</v>
      </c>
      <c r="D25">
        <v>0.13200000000000001</v>
      </c>
      <c r="E25">
        <v>0</v>
      </c>
      <c r="F25">
        <v>1</v>
      </c>
      <c r="G25" t="s">
        <v>30</v>
      </c>
      <c r="H25" s="1">
        <v>29046</v>
      </c>
      <c r="I25">
        <v>1.4999999999999999E-2</v>
      </c>
      <c r="J25">
        <v>0.123</v>
      </c>
      <c r="K25">
        <v>0</v>
      </c>
      <c r="L25">
        <v>1</v>
      </c>
      <c r="M25" t="s">
        <v>30</v>
      </c>
      <c r="N25" s="1">
        <v>21348</v>
      </c>
      <c r="O25">
        <v>2.1000000000000001E-2</v>
      </c>
      <c r="P25">
        <v>0.14299999999999999</v>
      </c>
      <c r="Q25">
        <v>0</v>
      </c>
      <c r="R25">
        <v>1</v>
      </c>
      <c r="S25" t="s">
        <v>30</v>
      </c>
      <c r="T25" s="1"/>
    </row>
    <row r="26" spans="1:24" x14ac:dyDescent="0.25">
      <c r="A26" t="s">
        <v>31</v>
      </c>
      <c r="B26" s="1">
        <v>50394</v>
      </c>
      <c r="C26">
        <v>4.4999999999999998E-2</v>
      </c>
      <c r="D26">
        <v>0.20799999999999999</v>
      </c>
      <c r="E26">
        <v>0</v>
      </c>
      <c r="F26">
        <v>1</v>
      </c>
      <c r="G26" t="s">
        <v>31</v>
      </c>
      <c r="H26" s="1">
        <v>29046</v>
      </c>
      <c r="I26">
        <v>4.5999999999999999E-2</v>
      </c>
      <c r="J26">
        <v>0.21</v>
      </c>
      <c r="K26">
        <v>0</v>
      </c>
      <c r="L26">
        <v>1</v>
      </c>
      <c r="M26" t="s">
        <v>31</v>
      </c>
      <c r="N26" s="1">
        <v>21348</v>
      </c>
      <c r="O26">
        <v>4.3999999999999997E-2</v>
      </c>
      <c r="P26">
        <v>0.20399999999999999</v>
      </c>
      <c r="Q26">
        <v>0</v>
      </c>
      <c r="R26">
        <v>1</v>
      </c>
      <c r="S26" t="s">
        <v>31</v>
      </c>
      <c r="T26" s="1"/>
    </row>
    <row r="27" spans="1:24" x14ac:dyDescent="0.25">
      <c r="A27" t="s">
        <v>32</v>
      </c>
      <c r="B27" s="1">
        <v>50394</v>
      </c>
      <c r="C27">
        <v>0.45600000000000002</v>
      </c>
      <c r="D27">
        <v>0.498</v>
      </c>
      <c r="E27">
        <v>0</v>
      </c>
      <c r="F27">
        <v>1</v>
      </c>
      <c r="G27" t="s">
        <v>32</v>
      </c>
      <c r="H27" s="1">
        <v>29046</v>
      </c>
      <c r="I27">
        <v>0.45700000000000002</v>
      </c>
      <c r="J27">
        <v>0.498</v>
      </c>
      <c r="K27">
        <v>0</v>
      </c>
      <c r="L27">
        <v>1</v>
      </c>
      <c r="M27" t="s">
        <v>32</v>
      </c>
      <c r="N27" s="1">
        <v>21348</v>
      </c>
      <c r="O27">
        <v>0.45500000000000002</v>
      </c>
      <c r="P27">
        <v>0.498</v>
      </c>
      <c r="Q27">
        <v>0</v>
      </c>
      <c r="R27">
        <v>1</v>
      </c>
      <c r="S27" t="s">
        <v>32</v>
      </c>
      <c r="T27" s="1"/>
    </row>
    <row r="28" spans="1:24" x14ac:dyDescent="0.25">
      <c r="A28" t="s">
        <v>33</v>
      </c>
      <c r="B28" s="1">
        <v>50394</v>
      </c>
      <c r="C28">
        <v>36.914000000000001</v>
      </c>
      <c r="D28">
        <v>19.658000000000001</v>
      </c>
      <c r="E28">
        <v>0</v>
      </c>
      <c r="F28">
        <v>123</v>
      </c>
      <c r="G28" t="s">
        <v>33</v>
      </c>
      <c r="H28" s="1">
        <v>29046</v>
      </c>
      <c r="I28">
        <v>35.253999999999998</v>
      </c>
      <c r="J28">
        <v>19.327000000000002</v>
      </c>
      <c r="K28">
        <v>0</v>
      </c>
      <c r="L28">
        <v>112</v>
      </c>
      <c r="M28" t="s">
        <v>33</v>
      </c>
      <c r="N28" s="1">
        <v>21348</v>
      </c>
      <c r="O28">
        <v>39.171999999999997</v>
      </c>
      <c r="P28">
        <v>19.878</v>
      </c>
      <c r="Q28">
        <v>0</v>
      </c>
      <c r="R28">
        <v>123</v>
      </c>
      <c r="S28" t="s">
        <v>33</v>
      </c>
      <c r="T28" s="1"/>
    </row>
    <row r="29" spans="1:24" x14ac:dyDescent="0.25">
      <c r="A29" t="s">
        <v>34</v>
      </c>
      <c r="B29" s="1">
        <v>50394</v>
      </c>
      <c r="C29">
        <v>1.7490000000000001</v>
      </c>
      <c r="D29">
        <v>1.5589999999999999</v>
      </c>
      <c r="E29">
        <v>0</v>
      </c>
      <c r="F29" s="1">
        <v>15.129</v>
      </c>
      <c r="G29" t="s">
        <v>34</v>
      </c>
      <c r="H29" s="1">
        <v>29046</v>
      </c>
      <c r="I29">
        <v>1.6160000000000001</v>
      </c>
      <c r="J29">
        <v>1.4770000000000001</v>
      </c>
      <c r="K29">
        <v>0</v>
      </c>
      <c r="L29">
        <v>12.544</v>
      </c>
      <c r="M29" t="s">
        <v>34</v>
      </c>
      <c r="N29" s="1">
        <v>21348</v>
      </c>
      <c r="O29">
        <v>1.93</v>
      </c>
      <c r="P29">
        <v>1.6479999999999999</v>
      </c>
      <c r="Q29">
        <v>0</v>
      </c>
      <c r="R29" s="1">
        <v>15.129</v>
      </c>
      <c r="S29" t="s">
        <v>34</v>
      </c>
      <c r="T29" s="1"/>
    </row>
    <row r="30" spans="1:24" x14ac:dyDescent="0.25">
      <c r="A30" t="s">
        <v>35</v>
      </c>
      <c r="B30" s="1">
        <v>50394</v>
      </c>
      <c r="C30" s="2">
        <v>3.04</v>
      </c>
      <c r="D30" s="2">
        <v>9.1850000000000005</v>
      </c>
      <c r="E30">
        <v>0</v>
      </c>
      <c r="F30" s="2">
        <v>94</v>
      </c>
      <c r="G30" t="s">
        <v>35</v>
      </c>
      <c r="H30" s="1">
        <v>29046</v>
      </c>
      <c r="I30">
        <v>2.8210000000000002</v>
      </c>
      <c r="J30">
        <v>8.7799999999999994</v>
      </c>
      <c r="K30">
        <v>0</v>
      </c>
      <c r="L30">
        <v>88</v>
      </c>
      <c r="M30" t="s">
        <v>35</v>
      </c>
      <c r="N30" s="1">
        <v>21348</v>
      </c>
      <c r="O30" s="2">
        <v>3.339</v>
      </c>
      <c r="P30" s="2">
        <v>9.7010000000000005</v>
      </c>
      <c r="Q30">
        <v>0</v>
      </c>
      <c r="R30" s="2">
        <v>94</v>
      </c>
      <c r="S30" t="s">
        <v>35</v>
      </c>
      <c r="T30" s="1"/>
    </row>
    <row r="31" spans="1:24" x14ac:dyDescent="0.25">
      <c r="A31" t="s">
        <v>18</v>
      </c>
      <c r="B31" s="1">
        <v>50394</v>
      </c>
      <c r="C31" s="2">
        <v>1473.2439999999999</v>
      </c>
      <c r="D31" s="2">
        <v>982.45699999999999</v>
      </c>
      <c r="E31">
        <v>175</v>
      </c>
      <c r="F31" s="2">
        <v>23350</v>
      </c>
      <c r="G31" t="s">
        <v>18</v>
      </c>
      <c r="H31" s="1">
        <v>29046</v>
      </c>
      <c r="I31" s="2">
        <v>1459.271</v>
      </c>
      <c r="J31">
        <v>951.34400000000005</v>
      </c>
      <c r="K31">
        <v>195</v>
      </c>
      <c r="L31" s="1">
        <v>23350</v>
      </c>
      <c r="M31" t="s">
        <v>18</v>
      </c>
      <c r="N31" s="1">
        <v>21348</v>
      </c>
      <c r="O31" s="2">
        <v>1492.2560000000001</v>
      </c>
      <c r="P31" s="2">
        <v>1022.9880000000001</v>
      </c>
      <c r="Q31">
        <v>175</v>
      </c>
      <c r="R31" s="2">
        <v>18919</v>
      </c>
      <c r="S31" t="s">
        <v>18</v>
      </c>
      <c r="T31" s="1"/>
      <c r="X31" s="1"/>
    </row>
    <row r="32" spans="1:24" x14ac:dyDescent="0.25">
      <c r="A32" t="s">
        <v>37</v>
      </c>
      <c r="B32" s="1">
        <v>50394</v>
      </c>
      <c r="C32">
        <v>3.137</v>
      </c>
      <c r="D32">
        <v>5.9820000000000002</v>
      </c>
      <c r="E32">
        <v>1.4E-2</v>
      </c>
      <c r="F32" s="2">
        <v>128.91800000000001</v>
      </c>
      <c r="G32" t="s">
        <v>37</v>
      </c>
      <c r="H32" s="1">
        <v>29046</v>
      </c>
      <c r="I32" s="2">
        <v>3.1339999999999999</v>
      </c>
      <c r="J32">
        <v>5.9219999999999997</v>
      </c>
      <c r="K32">
        <v>1.4E-2</v>
      </c>
      <c r="L32" s="1">
        <v>128.91800000000001</v>
      </c>
      <c r="M32" t="s">
        <v>37</v>
      </c>
      <c r="N32" s="1">
        <v>21348</v>
      </c>
      <c r="O32">
        <v>3.14</v>
      </c>
      <c r="P32">
        <v>6.0640000000000001</v>
      </c>
      <c r="Q32">
        <v>1.4E-2</v>
      </c>
      <c r="R32" s="2">
        <v>111.96899999999999</v>
      </c>
      <c r="S32" t="s">
        <v>37</v>
      </c>
      <c r="T32" s="1"/>
    </row>
    <row r="33" spans="1:24" x14ac:dyDescent="0.25">
      <c r="A33" t="s">
        <v>164</v>
      </c>
      <c r="B33" s="1">
        <v>50394</v>
      </c>
      <c r="C33" s="2">
        <v>2.1</v>
      </c>
      <c r="D33" s="2">
        <v>2.4430000000000001</v>
      </c>
      <c r="E33">
        <v>0</v>
      </c>
      <c r="F33" s="2">
        <v>13.552</v>
      </c>
      <c r="G33" t="s">
        <v>164</v>
      </c>
      <c r="H33" s="1">
        <v>29046</v>
      </c>
      <c r="I33" s="2">
        <v>2.1469999999999998</v>
      </c>
      <c r="J33">
        <v>2.4889999999999999</v>
      </c>
      <c r="K33">
        <v>0</v>
      </c>
      <c r="L33" s="1">
        <v>13.552</v>
      </c>
      <c r="M33" t="s">
        <v>164</v>
      </c>
      <c r="N33" s="1">
        <v>21348</v>
      </c>
      <c r="O33" s="2">
        <v>2.0369999999999999</v>
      </c>
      <c r="P33" s="2">
        <v>2.3780000000000001</v>
      </c>
      <c r="Q33">
        <v>0</v>
      </c>
      <c r="R33" s="2">
        <v>13.477</v>
      </c>
      <c r="S33" t="s">
        <v>164</v>
      </c>
      <c r="T33" s="1"/>
    </row>
    <row r="34" spans="1:24" x14ac:dyDescent="0.25">
      <c r="A34" t="s">
        <v>39</v>
      </c>
      <c r="B34" s="1">
        <v>50394</v>
      </c>
      <c r="C34" s="2">
        <v>0.42699999999999999</v>
      </c>
      <c r="D34" s="2">
        <v>0.313</v>
      </c>
      <c r="E34">
        <v>0</v>
      </c>
      <c r="F34" s="2">
        <v>3.56</v>
      </c>
      <c r="G34" t="s">
        <v>39</v>
      </c>
      <c r="H34" s="1">
        <v>29046</v>
      </c>
      <c r="I34" s="2">
        <v>0.42499999999999999</v>
      </c>
      <c r="J34">
        <v>0.309</v>
      </c>
      <c r="K34">
        <v>0</v>
      </c>
      <c r="L34" s="1">
        <v>3.302</v>
      </c>
      <c r="M34" t="s">
        <v>39</v>
      </c>
      <c r="N34" s="1">
        <v>21348</v>
      </c>
      <c r="O34" s="2">
        <v>0.42799999999999999</v>
      </c>
      <c r="P34" s="2">
        <v>0.317</v>
      </c>
      <c r="Q34">
        <v>0</v>
      </c>
      <c r="R34" s="2">
        <v>3.56</v>
      </c>
      <c r="S34" t="s">
        <v>39</v>
      </c>
      <c r="T34" s="1"/>
    </row>
    <row r="35" spans="1:24" x14ac:dyDescent="0.25">
      <c r="A35" t="s">
        <v>40</v>
      </c>
      <c r="B35" s="1">
        <v>50394</v>
      </c>
      <c r="C35">
        <v>4.1429999999999998</v>
      </c>
      <c r="D35">
        <v>3.9689999999999999</v>
      </c>
      <c r="E35">
        <v>0.01</v>
      </c>
      <c r="F35">
        <v>20.997</v>
      </c>
      <c r="G35" t="s">
        <v>40</v>
      </c>
      <c r="H35" s="1">
        <v>29046</v>
      </c>
      <c r="I35" s="2">
        <v>4.1159999999999997</v>
      </c>
      <c r="J35">
        <v>3.9020000000000001</v>
      </c>
      <c r="K35">
        <v>0.01</v>
      </c>
      <c r="L35" s="1">
        <v>20.997</v>
      </c>
      <c r="M35" t="s">
        <v>40</v>
      </c>
      <c r="N35" s="1">
        <v>21348</v>
      </c>
      <c r="O35">
        <v>4.181</v>
      </c>
      <c r="P35">
        <v>4.0590000000000002</v>
      </c>
      <c r="Q35">
        <v>0.01</v>
      </c>
      <c r="R35">
        <v>20.927</v>
      </c>
      <c r="S35" t="s">
        <v>40</v>
      </c>
      <c r="T35" s="1"/>
    </row>
    <row r="36" spans="1:24" x14ac:dyDescent="0.25">
      <c r="A36" t="s">
        <v>41</v>
      </c>
      <c r="B36" s="1">
        <v>50394</v>
      </c>
      <c r="C36">
        <v>9.1</v>
      </c>
      <c r="D36">
        <v>5.5990000000000002</v>
      </c>
      <c r="E36">
        <v>0.32300000000000001</v>
      </c>
      <c r="F36">
        <v>30.986000000000001</v>
      </c>
      <c r="G36" t="s">
        <v>41</v>
      </c>
      <c r="H36" s="1">
        <v>29046</v>
      </c>
      <c r="I36" s="2">
        <v>9.0980000000000008</v>
      </c>
      <c r="J36" s="2">
        <v>5.5979999999999999</v>
      </c>
      <c r="K36">
        <v>0.32300000000000001</v>
      </c>
      <c r="L36" s="2">
        <v>30.003</v>
      </c>
      <c r="M36" t="s">
        <v>41</v>
      </c>
      <c r="N36" s="1">
        <v>21348</v>
      </c>
      <c r="O36">
        <v>9.1020000000000003</v>
      </c>
      <c r="P36">
        <v>5.6</v>
      </c>
      <c r="Q36">
        <v>0.99299999999999999</v>
      </c>
      <c r="R36">
        <v>30.986000000000001</v>
      </c>
      <c r="S36" t="s">
        <v>41</v>
      </c>
      <c r="T36" s="1"/>
    </row>
    <row r="37" spans="1:24" x14ac:dyDescent="0.25">
      <c r="A37" t="s">
        <v>173</v>
      </c>
      <c r="B37" s="1">
        <v>50394</v>
      </c>
      <c r="C37">
        <v>1.1679999999999999</v>
      </c>
      <c r="D37">
        <v>4.5199999999999996</v>
      </c>
      <c r="E37">
        <v>1.6E-2</v>
      </c>
      <c r="F37">
        <v>196.49</v>
      </c>
      <c r="G37" t="s">
        <v>173</v>
      </c>
      <c r="H37" s="1">
        <v>29046</v>
      </c>
      <c r="I37" s="2">
        <v>1.1759999999999999</v>
      </c>
      <c r="J37" s="2">
        <v>4.665</v>
      </c>
      <c r="K37">
        <v>2.5999999999999999E-2</v>
      </c>
      <c r="L37" s="2">
        <v>196.49</v>
      </c>
      <c r="M37" t="s">
        <v>173</v>
      </c>
      <c r="N37" s="1">
        <v>21348</v>
      </c>
      <c r="O37">
        <v>1.157</v>
      </c>
      <c r="P37">
        <v>4.3150000000000004</v>
      </c>
      <c r="Q37">
        <v>1.6E-2</v>
      </c>
      <c r="R37">
        <v>196.49</v>
      </c>
      <c r="S37" t="s">
        <v>173</v>
      </c>
      <c r="T37" s="1"/>
    </row>
    <row r="38" spans="1:24" x14ac:dyDescent="0.25">
      <c r="A38" t="s">
        <v>174</v>
      </c>
      <c r="B38" s="1">
        <v>50394</v>
      </c>
      <c r="C38">
        <v>2.2040000000000002</v>
      </c>
      <c r="D38">
        <v>1.5960000000000001</v>
      </c>
      <c r="E38">
        <v>3.6999999999999998E-2</v>
      </c>
      <c r="F38">
        <v>17.684000000000001</v>
      </c>
      <c r="G38" t="s">
        <v>174</v>
      </c>
      <c r="H38" s="1">
        <v>29046</v>
      </c>
      <c r="I38">
        <v>2.1960000000000002</v>
      </c>
      <c r="J38">
        <v>1.5880000000000001</v>
      </c>
      <c r="K38">
        <v>4.2999999999999997E-2</v>
      </c>
      <c r="L38" s="2">
        <v>17.684000000000001</v>
      </c>
      <c r="M38" t="s">
        <v>174</v>
      </c>
      <c r="N38" s="1">
        <v>21348</v>
      </c>
      <c r="O38">
        <v>2.2149999999999999</v>
      </c>
      <c r="P38">
        <v>1.607</v>
      </c>
      <c r="Q38">
        <v>3.6999999999999998E-2</v>
      </c>
      <c r="R38">
        <v>17.655000000000001</v>
      </c>
      <c r="S38" t="s">
        <v>174</v>
      </c>
      <c r="T38" s="1"/>
    </row>
    <row r="39" spans="1:24" x14ac:dyDescent="0.25">
      <c r="A39" t="s">
        <v>175</v>
      </c>
      <c r="B39" s="1">
        <v>50394</v>
      </c>
      <c r="C39">
        <v>2.1819999999999999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29046</v>
      </c>
      <c r="I39" s="2">
        <v>2.1819999999999999</v>
      </c>
      <c r="J39" s="2">
        <v>1.5</v>
      </c>
      <c r="K39">
        <v>3.4000000000000002E-2</v>
      </c>
      <c r="L39" s="2">
        <v>17.684000000000001</v>
      </c>
      <c r="M39" t="s">
        <v>175</v>
      </c>
      <c r="N39" s="1">
        <v>21348</v>
      </c>
      <c r="O39">
        <v>2.1829999999999998</v>
      </c>
      <c r="P39">
        <v>1.5389999999999999</v>
      </c>
      <c r="Q39">
        <v>3.4000000000000002E-2</v>
      </c>
      <c r="R39">
        <v>17.655000000000001</v>
      </c>
      <c r="S39" t="s">
        <v>175</v>
      </c>
      <c r="T39" s="1"/>
    </row>
    <row r="40" spans="1:24" x14ac:dyDescent="0.25">
      <c r="A40" t="s">
        <v>42</v>
      </c>
      <c r="B40" s="1">
        <v>50394</v>
      </c>
      <c r="C40">
        <v>0.25</v>
      </c>
      <c r="D40">
        <v>0.16900000000000001</v>
      </c>
      <c r="E40">
        <v>0</v>
      </c>
      <c r="F40">
        <v>1</v>
      </c>
      <c r="G40" t="s">
        <v>42</v>
      </c>
      <c r="H40" s="1">
        <v>29046</v>
      </c>
      <c r="I40" s="2">
        <v>0.255</v>
      </c>
      <c r="J40" s="2">
        <v>0.16600000000000001</v>
      </c>
      <c r="K40">
        <v>0</v>
      </c>
      <c r="L40" s="2">
        <v>1</v>
      </c>
      <c r="M40" t="s">
        <v>42</v>
      </c>
      <c r="N40" s="1">
        <v>21348</v>
      </c>
      <c r="O40">
        <v>0.245</v>
      </c>
      <c r="P40">
        <v>0.17299999999999999</v>
      </c>
      <c r="Q40">
        <v>0</v>
      </c>
      <c r="R40">
        <v>0.91800000000000004</v>
      </c>
      <c r="S40" t="s">
        <v>42</v>
      </c>
      <c r="T40" s="1"/>
    </row>
    <row r="41" spans="1:24" x14ac:dyDescent="0.25">
      <c r="A41" t="s">
        <v>43</v>
      </c>
      <c r="B41" s="1">
        <v>50394</v>
      </c>
      <c r="C41">
        <v>2.1999999999999999E-2</v>
      </c>
      <c r="D41">
        <v>3.5000000000000003E-2</v>
      </c>
      <c r="E41">
        <v>0</v>
      </c>
      <c r="F41">
        <v>0.77600000000000002</v>
      </c>
      <c r="G41" t="s">
        <v>43</v>
      </c>
      <c r="H41" s="1">
        <v>29046</v>
      </c>
      <c r="I41">
        <v>2.1999999999999999E-2</v>
      </c>
      <c r="J41">
        <v>3.2000000000000001E-2</v>
      </c>
      <c r="K41">
        <v>0</v>
      </c>
      <c r="L41">
        <v>0.77600000000000002</v>
      </c>
      <c r="M41" t="s">
        <v>43</v>
      </c>
      <c r="N41" s="1">
        <v>21348</v>
      </c>
      <c r="O41">
        <v>2.1000000000000001E-2</v>
      </c>
      <c r="P41">
        <v>3.7999999999999999E-2</v>
      </c>
      <c r="Q41">
        <v>0</v>
      </c>
      <c r="R41">
        <v>0.77600000000000002</v>
      </c>
      <c r="S41" t="s">
        <v>43</v>
      </c>
      <c r="T41" s="1"/>
    </row>
    <row r="42" spans="1:24" x14ac:dyDescent="0.25">
      <c r="A42" t="s">
        <v>44</v>
      </c>
      <c r="B42" s="1">
        <v>50394</v>
      </c>
      <c r="C42">
        <v>0.42499999999999999</v>
      </c>
      <c r="D42">
        <v>0.188</v>
      </c>
      <c r="E42">
        <v>0</v>
      </c>
      <c r="F42">
        <v>1</v>
      </c>
      <c r="G42" t="s">
        <v>44</v>
      </c>
      <c r="H42" s="1">
        <v>29046</v>
      </c>
      <c r="I42">
        <v>0.42099999999999999</v>
      </c>
      <c r="J42">
        <v>0.182</v>
      </c>
      <c r="K42">
        <v>0</v>
      </c>
      <c r="L42">
        <v>1</v>
      </c>
      <c r="M42" t="s">
        <v>44</v>
      </c>
      <c r="N42" s="1">
        <v>21348</v>
      </c>
      <c r="O42">
        <v>0.42899999999999999</v>
      </c>
      <c r="P42">
        <v>0.19600000000000001</v>
      </c>
      <c r="Q42">
        <v>0</v>
      </c>
      <c r="R42">
        <v>1</v>
      </c>
      <c r="S42" t="s">
        <v>44</v>
      </c>
      <c r="T42" s="1"/>
    </row>
    <row r="43" spans="1:24" x14ac:dyDescent="0.25">
      <c r="A43" t="s">
        <v>45</v>
      </c>
      <c r="B43" s="1">
        <v>50394</v>
      </c>
      <c r="C43">
        <v>7.0000000000000007E-2</v>
      </c>
      <c r="D43">
        <v>9.0999999999999998E-2</v>
      </c>
      <c r="E43">
        <v>0</v>
      </c>
      <c r="F43" s="1">
        <v>0.71</v>
      </c>
      <c r="G43" t="s">
        <v>45</v>
      </c>
      <c r="H43" s="1">
        <v>29046</v>
      </c>
      <c r="I43">
        <v>7.0000000000000007E-2</v>
      </c>
      <c r="J43">
        <v>8.4000000000000005E-2</v>
      </c>
      <c r="K43">
        <v>0</v>
      </c>
      <c r="L43">
        <v>0.60799999999999998</v>
      </c>
      <c r="M43" t="s">
        <v>45</v>
      </c>
      <c r="N43" s="1">
        <v>21348</v>
      </c>
      <c r="O43">
        <v>7.0000000000000007E-2</v>
      </c>
      <c r="P43">
        <v>0.10100000000000001</v>
      </c>
      <c r="Q43">
        <v>0</v>
      </c>
      <c r="R43" s="1">
        <v>0.71</v>
      </c>
      <c r="S43" t="s">
        <v>45</v>
      </c>
      <c r="T43" s="1"/>
    </row>
    <row r="44" spans="1:24" x14ac:dyDescent="0.25">
      <c r="A44" t="s">
        <v>46</v>
      </c>
      <c r="B44" s="1">
        <v>50394</v>
      </c>
      <c r="C44">
        <v>0.874</v>
      </c>
      <c r="D44">
        <v>0.16700000000000001</v>
      </c>
      <c r="E44">
        <v>1.2E-2</v>
      </c>
      <c r="F44">
        <v>1</v>
      </c>
      <c r="G44" t="s">
        <v>46</v>
      </c>
      <c r="H44" s="1">
        <v>29046</v>
      </c>
      <c r="I44">
        <v>0.871</v>
      </c>
      <c r="J44">
        <v>0.17100000000000001</v>
      </c>
      <c r="K44">
        <v>1.2E-2</v>
      </c>
      <c r="L44">
        <v>1</v>
      </c>
      <c r="M44" t="s">
        <v>46</v>
      </c>
      <c r="N44" s="1">
        <v>21348</v>
      </c>
      <c r="O44">
        <v>0.878</v>
      </c>
      <c r="P44">
        <v>0.16200000000000001</v>
      </c>
      <c r="Q44">
        <v>7.3999999999999996E-2</v>
      </c>
      <c r="R44">
        <v>1</v>
      </c>
      <c r="S44" t="s">
        <v>46</v>
      </c>
      <c r="T44" s="1"/>
    </row>
    <row r="45" spans="1:24" x14ac:dyDescent="0.25">
      <c r="A45" t="s">
        <v>47</v>
      </c>
      <c r="B45" s="1">
        <v>50394</v>
      </c>
      <c r="C45">
        <v>0.125</v>
      </c>
      <c r="D45">
        <v>0.16600000000000001</v>
      </c>
      <c r="E45">
        <v>0</v>
      </c>
      <c r="F45">
        <v>0.93</v>
      </c>
      <c r="G45" t="s">
        <v>47</v>
      </c>
      <c r="H45" s="1">
        <v>29046</v>
      </c>
      <c r="I45">
        <v>0.128</v>
      </c>
      <c r="J45">
        <v>0.17</v>
      </c>
      <c r="K45">
        <v>0</v>
      </c>
      <c r="L45">
        <v>0.93</v>
      </c>
      <c r="M45" t="s">
        <v>47</v>
      </c>
      <c r="N45" s="1">
        <v>21348</v>
      </c>
      <c r="O45">
        <v>0.121</v>
      </c>
      <c r="P45">
        <v>0.16</v>
      </c>
      <c r="Q45">
        <v>0</v>
      </c>
      <c r="R45">
        <v>0.92600000000000005</v>
      </c>
      <c r="S45" t="s">
        <v>47</v>
      </c>
      <c r="T45" s="1"/>
    </row>
    <row r="46" spans="1:24" x14ac:dyDescent="0.25">
      <c r="A46" t="s">
        <v>48</v>
      </c>
      <c r="B46" s="1">
        <v>50394</v>
      </c>
      <c r="C46" s="2">
        <v>0.63900000000000001</v>
      </c>
      <c r="D46" s="2">
        <v>0.20699999999999999</v>
      </c>
      <c r="E46" s="2">
        <v>0</v>
      </c>
      <c r="F46" s="2">
        <v>1</v>
      </c>
      <c r="G46" t="s">
        <v>48</v>
      </c>
      <c r="H46" s="1">
        <v>29046</v>
      </c>
      <c r="I46">
        <v>0.625</v>
      </c>
      <c r="J46">
        <v>0.20499999999999999</v>
      </c>
      <c r="K46">
        <v>0</v>
      </c>
      <c r="L46">
        <v>1</v>
      </c>
      <c r="M46" t="s">
        <v>48</v>
      </c>
      <c r="N46" s="1">
        <v>21348</v>
      </c>
      <c r="O46" s="2">
        <v>0.65800000000000003</v>
      </c>
      <c r="P46" s="2">
        <v>0.20799999999999999</v>
      </c>
      <c r="Q46" s="2">
        <v>0</v>
      </c>
      <c r="R46" s="2">
        <v>1</v>
      </c>
      <c r="S46" t="s">
        <v>48</v>
      </c>
      <c r="T46" s="1"/>
    </row>
    <row r="47" spans="1:24" x14ac:dyDescent="0.25">
      <c r="A47" t="s">
        <v>49</v>
      </c>
      <c r="B47" s="1">
        <v>50394</v>
      </c>
      <c r="C47" s="2">
        <v>0.36</v>
      </c>
      <c r="D47" s="2">
        <v>0.20699999999999999</v>
      </c>
      <c r="E47" s="2">
        <v>0</v>
      </c>
      <c r="F47" s="2">
        <v>1</v>
      </c>
      <c r="G47" t="s">
        <v>49</v>
      </c>
      <c r="H47" s="1">
        <v>29046</v>
      </c>
      <c r="I47">
        <v>0.374</v>
      </c>
      <c r="J47">
        <v>0.20499999999999999</v>
      </c>
      <c r="K47">
        <v>0</v>
      </c>
      <c r="L47">
        <v>1</v>
      </c>
      <c r="M47" t="s">
        <v>49</v>
      </c>
      <c r="N47" s="1">
        <v>21348</v>
      </c>
      <c r="O47" s="2">
        <v>0.34100000000000003</v>
      </c>
      <c r="P47" s="2">
        <v>0.20699999999999999</v>
      </c>
      <c r="Q47" s="2">
        <v>0</v>
      </c>
      <c r="R47" s="2">
        <v>1</v>
      </c>
      <c r="S47" t="s">
        <v>49</v>
      </c>
      <c r="T47" s="1"/>
    </row>
    <row r="48" spans="1:24" x14ac:dyDescent="0.25">
      <c r="A48" t="s">
        <v>50</v>
      </c>
      <c r="B48" s="1">
        <v>50394</v>
      </c>
      <c r="C48">
        <v>18.093</v>
      </c>
      <c r="D48">
        <v>47.426000000000002</v>
      </c>
      <c r="E48">
        <v>0</v>
      </c>
      <c r="F48" s="1">
        <v>1000</v>
      </c>
      <c r="G48" t="s">
        <v>50</v>
      </c>
      <c r="H48" s="1">
        <v>29046</v>
      </c>
      <c r="I48">
        <v>17.908000000000001</v>
      </c>
      <c r="J48">
        <v>45.731000000000002</v>
      </c>
      <c r="K48">
        <v>0</v>
      </c>
      <c r="L48">
        <v>667</v>
      </c>
      <c r="M48" t="s">
        <v>50</v>
      </c>
      <c r="N48" s="1">
        <v>21348</v>
      </c>
      <c r="O48">
        <v>18.344999999999999</v>
      </c>
      <c r="P48">
        <v>49.640999999999998</v>
      </c>
      <c r="Q48">
        <v>0</v>
      </c>
      <c r="R48" s="1">
        <v>1000</v>
      </c>
      <c r="S48" t="s">
        <v>50</v>
      </c>
      <c r="T48" s="1"/>
      <c r="X48" s="1"/>
    </row>
    <row r="49" spans="1:24" x14ac:dyDescent="0.25">
      <c r="A49" t="s">
        <v>51</v>
      </c>
      <c r="B49" s="1">
        <v>50394</v>
      </c>
      <c r="C49" s="2">
        <v>0.67300000000000004</v>
      </c>
      <c r="D49" s="2">
        <v>1.474</v>
      </c>
      <c r="E49" s="2">
        <v>0</v>
      </c>
      <c r="F49" s="2">
        <v>36</v>
      </c>
      <c r="G49" t="s">
        <v>51</v>
      </c>
      <c r="H49" s="1">
        <v>29046</v>
      </c>
      <c r="I49">
        <v>0.65400000000000003</v>
      </c>
      <c r="J49">
        <v>1.4650000000000001</v>
      </c>
      <c r="K49">
        <v>0</v>
      </c>
      <c r="L49">
        <v>36</v>
      </c>
      <c r="M49" t="s">
        <v>51</v>
      </c>
      <c r="N49" s="1">
        <v>21348</v>
      </c>
      <c r="O49" s="2">
        <v>0.69799999999999995</v>
      </c>
      <c r="P49" s="2">
        <v>1.486</v>
      </c>
      <c r="Q49" s="2">
        <v>0</v>
      </c>
      <c r="R49" s="2">
        <v>23</v>
      </c>
      <c r="S49" t="s">
        <v>51</v>
      </c>
      <c r="T49" s="1"/>
    </row>
    <row r="50" spans="1:24" x14ac:dyDescent="0.25">
      <c r="A50" t="s">
        <v>52</v>
      </c>
      <c r="B50" s="1">
        <v>50394</v>
      </c>
      <c r="C50" s="2">
        <v>0.40400000000000003</v>
      </c>
      <c r="D50" s="2">
        <v>0.49099999999999999</v>
      </c>
      <c r="E50" s="2">
        <v>0</v>
      </c>
      <c r="F50" s="2">
        <v>1</v>
      </c>
      <c r="G50" t="s">
        <v>52</v>
      </c>
      <c r="H50" s="1">
        <v>29046</v>
      </c>
      <c r="I50">
        <v>0.38200000000000001</v>
      </c>
      <c r="J50">
        <v>0.48599999999999999</v>
      </c>
      <c r="K50">
        <v>0</v>
      </c>
      <c r="L50">
        <v>1</v>
      </c>
      <c r="M50" t="s">
        <v>52</v>
      </c>
      <c r="N50" s="1">
        <v>21348</v>
      </c>
      <c r="O50" s="2">
        <v>0.433</v>
      </c>
      <c r="P50" s="2">
        <v>0.496</v>
      </c>
      <c r="Q50" s="2">
        <v>0</v>
      </c>
      <c r="R50" s="2">
        <v>1</v>
      </c>
      <c r="S50" t="s">
        <v>52</v>
      </c>
      <c r="T50" s="1"/>
    </row>
    <row r="51" spans="1:24" x14ac:dyDescent="0.25">
      <c r="A51" t="s">
        <v>53</v>
      </c>
      <c r="B51" s="1">
        <v>50394</v>
      </c>
      <c r="C51" s="2">
        <v>2361455</v>
      </c>
      <c r="D51" s="2">
        <v>7600.4970000000003</v>
      </c>
      <c r="E51" s="2">
        <v>2350907</v>
      </c>
      <c r="F51" s="2">
        <v>2400056</v>
      </c>
      <c r="G51" t="s">
        <v>53</v>
      </c>
      <c r="H51" s="1">
        <v>29046</v>
      </c>
      <c r="I51" s="2">
        <v>2361497</v>
      </c>
      <c r="J51" s="2">
        <v>7545.8220000000001</v>
      </c>
      <c r="K51" s="2">
        <v>2350907</v>
      </c>
      <c r="L51" s="2">
        <v>2400056</v>
      </c>
      <c r="M51" t="s">
        <v>53</v>
      </c>
      <c r="N51" s="1">
        <v>21348</v>
      </c>
      <c r="O51" s="2">
        <v>2361397</v>
      </c>
      <c r="P51" s="2">
        <v>7674.0640000000003</v>
      </c>
      <c r="Q51" s="2">
        <v>2350907</v>
      </c>
      <c r="R51" s="2">
        <v>2400056</v>
      </c>
      <c r="S51" t="s">
        <v>53</v>
      </c>
      <c r="T51" s="1"/>
      <c r="U51" s="2"/>
      <c r="V51" s="2"/>
      <c r="W51" s="2"/>
      <c r="X51" s="2"/>
    </row>
    <row r="52" spans="1:24" x14ac:dyDescent="0.25">
      <c r="A52" t="s">
        <v>54</v>
      </c>
      <c r="B52" s="1">
        <v>50394</v>
      </c>
      <c r="C52" s="2">
        <v>612703.6</v>
      </c>
      <c r="D52" s="2">
        <v>13314.19</v>
      </c>
      <c r="E52" s="2">
        <v>579824.19999999995</v>
      </c>
      <c r="F52" s="2">
        <v>638667.69999999995</v>
      </c>
      <c r="G52" t="s">
        <v>54</v>
      </c>
      <c r="H52" s="1">
        <v>29046</v>
      </c>
      <c r="I52" s="2">
        <v>612486.30000000005</v>
      </c>
      <c r="J52" s="2">
        <v>13220.43</v>
      </c>
      <c r="K52" s="2">
        <v>579824.19999999995</v>
      </c>
      <c r="L52" s="2">
        <v>638667.69999999995</v>
      </c>
      <c r="M52" t="s">
        <v>54</v>
      </c>
      <c r="N52" s="1">
        <v>21348</v>
      </c>
      <c r="O52" s="2">
        <v>612999.19999999995</v>
      </c>
      <c r="P52" s="2">
        <v>13435.37</v>
      </c>
      <c r="Q52" s="2">
        <v>579905.6</v>
      </c>
      <c r="R52" s="2">
        <v>638597.19999999995</v>
      </c>
      <c r="S52" t="s">
        <v>54</v>
      </c>
      <c r="T52" s="1"/>
      <c r="U52" s="2"/>
      <c r="V52" s="2"/>
      <c r="W52" s="2"/>
      <c r="X52" s="2"/>
    </row>
    <row r="53" spans="1:24" x14ac:dyDescent="0.25">
      <c r="A53" t="s">
        <v>56</v>
      </c>
      <c r="B53" s="1">
        <v>50394</v>
      </c>
      <c r="C53">
        <v>0.54400000000000004</v>
      </c>
      <c r="D53">
        <v>0.498</v>
      </c>
      <c r="E53">
        <v>0</v>
      </c>
      <c r="F53">
        <v>1</v>
      </c>
      <c r="G53" t="s">
        <v>56</v>
      </c>
      <c r="H53" s="1">
        <v>29046</v>
      </c>
      <c r="I53" s="2">
        <v>0.54300000000000004</v>
      </c>
      <c r="J53" s="2">
        <v>0.498</v>
      </c>
      <c r="K53" s="2">
        <v>0</v>
      </c>
      <c r="L53" s="2">
        <v>1</v>
      </c>
      <c r="M53" t="s">
        <v>56</v>
      </c>
      <c r="N53" s="1">
        <v>21348</v>
      </c>
      <c r="O53">
        <v>0.54600000000000004</v>
      </c>
      <c r="P53">
        <v>0.498</v>
      </c>
      <c r="Q53">
        <v>0</v>
      </c>
      <c r="R53">
        <v>1</v>
      </c>
      <c r="S53" t="s">
        <v>56</v>
      </c>
      <c r="T53" s="1"/>
    </row>
    <row r="54" spans="1:24" x14ac:dyDescent="0.25">
      <c r="A54" t="s">
        <v>57</v>
      </c>
      <c r="B54" s="1">
        <v>50394</v>
      </c>
      <c r="C54" s="2">
        <v>0.45600000000000002</v>
      </c>
      <c r="D54">
        <v>0.498</v>
      </c>
      <c r="E54" s="1">
        <v>0</v>
      </c>
      <c r="F54" s="1">
        <v>1</v>
      </c>
      <c r="G54" t="s">
        <v>57</v>
      </c>
      <c r="H54" s="1">
        <v>29046</v>
      </c>
      <c r="I54" s="2">
        <v>0.45700000000000002</v>
      </c>
      <c r="J54" s="2">
        <v>0.498</v>
      </c>
      <c r="K54" s="2">
        <v>0</v>
      </c>
      <c r="L54" s="2">
        <v>1</v>
      </c>
      <c r="M54" t="s">
        <v>57</v>
      </c>
      <c r="N54" s="1">
        <v>21348</v>
      </c>
      <c r="O54" s="2">
        <v>0.45400000000000001</v>
      </c>
      <c r="P54">
        <v>0.498</v>
      </c>
      <c r="Q54" s="1">
        <v>0</v>
      </c>
      <c r="R54" s="1">
        <v>1</v>
      </c>
      <c r="S54" t="s">
        <v>57</v>
      </c>
      <c r="T54" s="1"/>
    </row>
    <row r="55" spans="1:24" x14ac:dyDescent="0.25">
      <c r="A55" t="s">
        <v>58</v>
      </c>
      <c r="B55" s="1">
        <v>50394</v>
      </c>
      <c r="C55">
        <v>0.34200000000000003</v>
      </c>
      <c r="D55">
        <v>0.47399999999999998</v>
      </c>
      <c r="E55">
        <v>0</v>
      </c>
      <c r="F55">
        <v>1</v>
      </c>
      <c r="G55" t="s">
        <v>58</v>
      </c>
      <c r="H55" s="1">
        <v>29046</v>
      </c>
      <c r="I55" s="2">
        <v>0.34799999999999998</v>
      </c>
      <c r="J55" s="2">
        <v>0.47599999999999998</v>
      </c>
      <c r="K55" s="2">
        <v>0</v>
      </c>
      <c r="L55" s="2">
        <v>1</v>
      </c>
      <c r="M55" t="s">
        <v>58</v>
      </c>
      <c r="N55" s="1">
        <v>21348</v>
      </c>
      <c r="O55">
        <v>0.33300000000000002</v>
      </c>
      <c r="P55">
        <v>0.47099999999999997</v>
      </c>
      <c r="Q55">
        <v>0</v>
      </c>
      <c r="R55">
        <v>1</v>
      </c>
      <c r="S55" t="s">
        <v>58</v>
      </c>
      <c r="T55" s="1"/>
    </row>
    <row r="56" spans="1:24" x14ac:dyDescent="0.25">
      <c r="A56" t="s">
        <v>59</v>
      </c>
      <c r="B56" s="1">
        <v>50394</v>
      </c>
      <c r="C56">
        <v>0.35</v>
      </c>
      <c r="D56">
        <v>0.47699999999999998</v>
      </c>
      <c r="E56">
        <v>0</v>
      </c>
      <c r="F56">
        <v>1</v>
      </c>
      <c r="G56" t="s">
        <v>59</v>
      </c>
      <c r="H56" s="1">
        <v>29046</v>
      </c>
      <c r="I56" s="2">
        <v>0.35399999999999998</v>
      </c>
      <c r="J56" s="2">
        <v>0.47799999999999998</v>
      </c>
      <c r="K56" s="2">
        <v>0</v>
      </c>
      <c r="L56" s="2">
        <v>1</v>
      </c>
      <c r="M56" t="s">
        <v>59</v>
      </c>
      <c r="N56" s="1">
        <v>21348</v>
      </c>
      <c r="O56">
        <v>0.34399999999999997</v>
      </c>
      <c r="P56">
        <v>0.47499999999999998</v>
      </c>
      <c r="Q56">
        <v>0</v>
      </c>
      <c r="R56">
        <v>1</v>
      </c>
      <c r="S56" t="s">
        <v>59</v>
      </c>
      <c r="T56" s="1"/>
    </row>
    <row r="57" spans="1:24" x14ac:dyDescent="0.25">
      <c r="A57" t="s">
        <v>60</v>
      </c>
      <c r="B57" s="1">
        <v>50394</v>
      </c>
      <c r="C57" s="2">
        <v>0.308</v>
      </c>
      <c r="D57">
        <v>0.46200000000000002</v>
      </c>
      <c r="E57" s="1">
        <v>0</v>
      </c>
      <c r="F57" s="1">
        <v>1</v>
      </c>
      <c r="G57" t="s">
        <v>60</v>
      </c>
      <c r="H57" s="1">
        <v>29046</v>
      </c>
      <c r="I57">
        <v>0.29699999999999999</v>
      </c>
      <c r="J57">
        <v>0.45700000000000002</v>
      </c>
      <c r="K57">
        <v>0</v>
      </c>
      <c r="L57">
        <v>1</v>
      </c>
      <c r="M57" t="s">
        <v>60</v>
      </c>
      <c r="N57" s="1">
        <v>21348</v>
      </c>
      <c r="O57" s="2">
        <v>0.32300000000000001</v>
      </c>
      <c r="P57">
        <v>0.46800000000000003</v>
      </c>
      <c r="Q57" s="1">
        <v>0</v>
      </c>
      <c r="R57" s="1">
        <v>1</v>
      </c>
      <c r="S57" t="s">
        <v>60</v>
      </c>
      <c r="T57" s="1"/>
    </row>
    <row r="58" spans="1:24" x14ac:dyDescent="0.25">
      <c r="A58" t="s">
        <v>61</v>
      </c>
      <c r="B58" s="1">
        <v>50394</v>
      </c>
      <c r="C58" s="2">
        <v>2019.048</v>
      </c>
      <c r="D58">
        <v>2.0089999999999999</v>
      </c>
      <c r="E58" s="1">
        <v>2016</v>
      </c>
      <c r="F58" s="1">
        <v>2023</v>
      </c>
      <c r="G58" t="s">
        <v>61</v>
      </c>
      <c r="H58" s="1">
        <v>29046</v>
      </c>
      <c r="I58" s="2">
        <v>2017.568</v>
      </c>
      <c r="J58">
        <v>1.173</v>
      </c>
      <c r="K58" s="1">
        <v>2016</v>
      </c>
      <c r="L58" s="1">
        <v>2020</v>
      </c>
      <c r="M58" t="s">
        <v>61</v>
      </c>
      <c r="N58" s="1">
        <v>21348</v>
      </c>
      <c r="O58" s="2">
        <v>2021.0609999999999</v>
      </c>
      <c r="P58">
        <v>0.78900000000000003</v>
      </c>
      <c r="Q58" s="1">
        <v>2020</v>
      </c>
      <c r="R58" s="1">
        <v>2023</v>
      </c>
      <c r="S58" t="s">
        <v>61</v>
      </c>
      <c r="T58" s="1"/>
      <c r="U58" s="2"/>
      <c r="W58" s="1"/>
      <c r="X58" s="1"/>
    </row>
    <row r="59" spans="1:24" x14ac:dyDescent="0.25">
      <c r="A59" t="s">
        <v>62</v>
      </c>
      <c r="B59" s="1">
        <v>50394</v>
      </c>
      <c r="C59" s="2">
        <v>0.45800000000000002</v>
      </c>
      <c r="D59">
        <v>0.498</v>
      </c>
      <c r="E59" s="1">
        <v>0</v>
      </c>
      <c r="F59" s="1">
        <v>1</v>
      </c>
      <c r="G59" t="s">
        <v>62</v>
      </c>
      <c r="H59" s="1">
        <v>29046</v>
      </c>
      <c r="I59" s="2">
        <v>0.45800000000000002</v>
      </c>
      <c r="J59">
        <v>0.498</v>
      </c>
      <c r="K59" s="1">
        <v>0</v>
      </c>
      <c r="L59" s="1">
        <v>1</v>
      </c>
      <c r="M59" t="s">
        <v>62</v>
      </c>
      <c r="N59" s="1">
        <v>21348</v>
      </c>
      <c r="O59" s="2">
        <v>0.45700000000000002</v>
      </c>
      <c r="P59">
        <v>0.498</v>
      </c>
      <c r="Q59" s="1">
        <v>0</v>
      </c>
      <c r="R59" s="1">
        <v>1</v>
      </c>
      <c r="S59" t="s">
        <v>62</v>
      </c>
      <c r="T59" s="1"/>
    </row>
    <row r="60" spans="1:24" x14ac:dyDescent="0.25">
      <c r="A60" t="s">
        <v>63</v>
      </c>
      <c r="B60" s="1">
        <v>50394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29046</v>
      </c>
      <c r="I60" s="2">
        <v>8.0000000000000002E-3</v>
      </c>
      <c r="J60">
        <v>0.09</v>
      </c>
      <c r="K60" s="1">
        <v>0</v>
      </c>
      <c r="L60" s="1">
        <v>1</v>
      </c>
      <c r="M60" t="s">
        <v>63</v>
      </c>
      <c r="N60" s="1">
        <v>21348</v>
      </c>
      <c r="O60">
        <v>8.0000000000000002E-3</v>
      </c>
      <c r="P60">
        <v>8.8999999999999996E-2</v>
      </c>
      <c r="Q60">
        <v>0</v>
      </c>
      <c r="R60">
        <v>1</v>
      </c>
      <c r="S60" t="s">
        <v>63</v>
      </c>
      <c r="T60" s="1"/>
    </row>
    <row r="61" spans="1:24" x14ac:dyDescent="0.25">
      <c r="A61" t="s">
        <v>64</v>
      </c>
      <c r="B61" s="1">
        <v>50394</v>
      </c>
      <c r="C61">
        <v>2.9000000000000001E-2</v>
      </c>
      <c r="D61">
        <v>0.16800000000000001</v>
      </c>
      <c r="E61">
        <v>0</v>
      </c>
      <c r="F61">
        <v>1</v>
      </c>
      <c r="G61" t="s">
        <v>64</v>
      </c>
      <c r="H61" s="1">
        <v>29046</v>
      </c>
      <c r="I61" s="2">
        <v>2.8000000000000001E-2</v>
      </c>
      <c r="J61">
        <v>0.16400000000000001</v>
      </c>
      <c r="K61" s="1">
        <v>0</v>
      </c>
      <c r="L61" s="1">
        <v>1</v>
      </c>
      <c r="M61" t="s">
        <v>64</v>
      </c>
      <c r="N61" s="1">
        <v>21348</v>
      </c>
      <c r="O61">
        <v>3.1E-2</v>
      </c>
      <c r="P61">
        <v>0.17399999999999999</v>
      </c>
      <c r="Q61">
        <v>0</v>
      </c>
      <c r="R61">
        <v>1</v>
      </c>
      <c r="S61" t="s">
        <v>64</v>
      </c>
      <c r="T61" s="1"/>
    </row>
    <row r="62" spans="1:24" x14ac:dyDescent="0.25">
      <c r="A62" t="s">
        <v>65</v>
      </c>
      <c r="B62" s="1">
        <v>50394</v>
      </c>
      <c r="C62">
        <v>0.161</v>
      </c>
      <c r="D62">
        <v>0.36699999999999999</v>
      </c>
      <c r="E62">
        <v>0</v>
      </c>
      <c r="F62">
        <v>1</v>
      </c>
      <c r="G62" t="s">
        <v>65</v>
      </c>
      <c r="H62" s="1">
        <v>29046</v>
      </c>
      <c r="I62" s="2">
        <v>0.16600000000000001</v>
      </c>
      <c r="J62">
        <v>0.372</v>
      </c>
      <c r="K62" s="1">
        <v>0</v>
      </c>
      <c r="L62" s="1">
        <v>1</v>
      </c>
      <c r="M62" t="s">
        <v>65</v>
      </c>
      <c r="N62" s="1">
        <v>21348</v>
      </c>
      <c r="O62">
        <v>0.153</v>
      </c>
      <c r="P62">
        <v>0.36</v>
      </c>
      <c r="Q62">
        <v>0</v>
      </c>
      <c r="R62">
        <v>1</v>
      </c>
      <c r="S62" t="s">
        <v>65</v>
      </c>
      <c r="T62" s="1"/>
    </row>
    <row r="63" spans="1:24" x14ac:dyDescent="0.25">
      <c r="A63" t="s">
        <v>66</v>
      </c>
      <c r="B63" s="1">
        <v>50394</v>
      </c>
      <c r="C63">
        <v>0.16400000000000001</v>
      </c>
      <c r="D63">
        <v>0.37</v>
      </c>
      <c r="E63">
        <v>0</v>
      </c>
      <c r="F63">
        <v>1</v>
      </c>
      <c r="G63" t="s">
        <v>66</v>
      </c>
      <c r="H63" s="1">
        <v>29046</v>
      </c>
      <c r="I63" s="2">
        <v>0.159</v>
      </c>
      <c r="J63">
        <v>0.36599999999999999</v>
      </c>
      <c r="K63" s="1">
        <v>0</v>
      </c>
      <c r="L63" s="1">
        <v>1</v>
      </c>
      <c r="M63" t="s">
        <v>66</v>
      </c>
      <c r="N63" s="1">
        <v>21348</v>
      </c>
      <c r="O63">
        <v>0.17100000000000001</v>
      </c>
      <c r="P63">
        <v>0.376</v>
      </c>
      <c r="Q63">
        <v>0</v>
      </c>
      <c r="R63">
        <v>1</v>
      </c>
      <c r="S63" t="s">
        <v>66</v>
      </c>
      <c r="T63" s="1"/>
    </row>
    <row r="64" spans="1:24" x14ac:dyDescent="0.25">
      <c r="A64" t="s">
        <v>67</v>
      </c>
      <c r="B64" s="1">
        <v>50394</v>
      </c>
      <c r="C64">
        <v>3.5999999999999997E-2</v>
      </c>
      <c r="D64">
        <v>0.187</v>
      </c>
      <c r="E64">
        <v>0</v>
      </c>
      <c r="F64">
        <v>1</v>
      </c>
      <c r="G64" t="s">
        <v>67</v>
      </c>
      <c r="H64" s="1">
        <v>29046</v>
      </c>
      <c r="I64">
        <v>3.6999999999999998E-2</v>
      </c>
      <c r="J64">
        <v>0.189</v>
      </c>
      <c r="K64">
        <v>0</v>
      </c>
      <c r="L64">
        <v>1</v>
      </c>
      <c r="M64" t="s">
        <v>67</v>
      </c>
      <c r="N64" s="1">
        <v>21348</v>
      </c>
      <c r="O64">
        <v>3.5000000000000003E-2</v>
      </c>
      <c r="P64">
        <v>0.185</v>
      </c>
      <c r="Q64">
        <v>0</v>
      </c>
      <c r="R64">
        <v>1</v>
      </c>
      <c r="S64" t="s">
        <v>67</v>
      </c>
      <c r="T64" s="1"/>
    </row>
    <row r="65" spans="1:20" x14ac:dyDescent="0.25">
      <c r="A65" t="s">
        <v>68</v>
      </c>
      <c r="B65" s="1">
        <v>50394</v>
      </c>
      <c r="C65">
        <v>0.113</v>
      </c>
      <c r="D65">
        <v>0.317</v>
      </c>
      <c r="E65">
        <v>0</v>
      </c>
      <c r="F65">
        <v>1</v>
      </c>
      <c r="G65" t="s">
        <v>68</v>
      </c>
      <c r="H65" s="1">
        <v>29046</v>
      </c>
      <c r="I65">
        <v>0.11</v>
      </c>
      <c r="J65">
        <v>0.313</v>
      </c>
      <c r="K65">
        <v>0</v>
      </c>
      <c r="L65">
        <v>1</v>
      </c>
      <c r="M65" t="s">
        <v>68</v>
      </c>
      <c r="N65" s="1">
        <v>21348</v>
      </c>
      <c r="O65">
        <v>0.11799999999999999</v>
      </c>
      <c r="P65">
        <v>0.32200000000000001</v>
      </c>
      <c r="Q65">
        <v>0</v>
      </c>
      <c r="R65">
        <v>1</v>
      </c>
      <c r="S65" t="s">
        <v>68</v>
      </c>
      <c r="T65" s="1"/>
    </row>
    <row r="66" spans="1:20" x14ac:dyDescent="0.25">
      <c r="A66" t="s">
        <v>69</v>
      </c>
      <c r="B66" s="1">
        <v>50394</v>
      </c>
      <c r="C66">
        <v>3.1E-2</v>
      </c>
      <c r="D66">
        <v>0.17199999999999999</v>
      </c>
      <c r="E66">
        <v>0</v>
      </c>
      <c r="F66">
        <v>1</v>
      </c>
      <c r="G66" t="s">
        <v>69</v>
      </c>
      <c r="H66" s="1">
        <v>29046</v>
      </c>
      <c r="I66">
        <v>3.3000000000000002E-2</v>
      </c>
      <c r="J66">
        <v>0.17899999999999999</v>
      </c>
      <c r="K66">
        <v>0</v>
      </c>
      <c r="L66">
        <v>1</v>
      </c>
      <c r="M66" t="s">
        <v>69</v>
      </c>
      <c r="N66" s="1">
        <v>21348</v>
      </c>
      <c r="O66">
        <v>2.7E-2</v>
      </c>
      <c r="P66">
        <v>0.16200000000000001</v>
      </c>
      <c r="Q66">
        <v>0</v>
      </c>
      <c r="R66">
        <v>1</v>
      </c>
      <c r="S66" t="s">
        <v>69</v>
      </c>
      <c r="T66" s="1"/>
    </row>
    <row r="67" spans="1:20" x14ac:dyDescent="0.25">
      <c r="A67" t="s">
        <v>70</v>
      </c>
      <c r="B67" s="1">
        <v>50394</v>
      </c>
      <c r="C67">
        <v>0.193</v>
      </c>
      <c r="D67">
        <v>0.39500000000000002</v>
      </c>
      <c r="E67">
        <v>0</v>
      </c>
      <c r="F67">
        <v>1</v>
      </c>
      <c r="G67" t="s">
        <v>70</v>
      </c>
      <c r="H67" s="1">
        <v>29046</v>
      </c>
      <c r="I67">
        <v>0.191</v>
      </c>
      <c r="J67">
        <v>0.39300000000000002</v>
      </c>
      <c r="K67">
        <v>0</v>
      </c>
      <c r="L67">
        <v>1</v>
      </c>
      <c r="M67" t="s">
        <v>70</v>
      </c>
      <c r="N67" s="1">
        <v>21348</v>
      </c>
      <c r="O67">
        <v>0.19600000000000001</v>
      </c>
      <c r="P67">
        <v>0.39700000000000002</v>
      </c>
      <c r="Q67">
        <v>0</v>
      </c>
      <c r="R67">
        <v>1</v>
      </c>
      <c r="S67" t="s">
        <v>70</v>
      </c>
      <c r="T67" s="1"/>
    </row>
    <row r="68" spans="1:20" x14ac:dyDescent="0.25">
      <c r="A68" t="s">
        <v>71</v>
      </c>
      <c r="B68" s="1">
        <v>50394</v>
      </c>
      <c r="C68">
        <v>0.33300000000000002</v>
      </c>
      <c r="D68">
        <v>0.47099999999999997</v>
      </c>
      <c r="E68">
        <v>0</v>
      </c>
      <c r="F68">
        <v>1</v>
      </c>
      <c r="G68" t="s">
        <v>71</v>
      </c>
      <c r="H68" s="1">
        <v>29046</v>
      </c>
      <c r="I68">
        <v>0.34899999999999998</v>
      </c>
      <c r="J68">
        <v>0.47699999999999998</v>
      </c>
      <c r="K68">
        <v>0</v>
      </c>
      <c r="L68">
        <v>1</v>
      </c>
      <c r="M68" t="s">
        <v>71</v>
      </c>
      <c r="N68" s="1">
        <v>21348</v>
      </c>
      <c r="O68">
        <v>0.312</v>
      </c>
      <c r="P68">
        <v>0.46300000000000002</v>
      </c>
      <c r="Q68">
        <v>0</v>
      </c>
      <c r="R68">
        <v>1</v>
      </c>
      <c r="S68" t="s">
        <v>71</v>
      </c>
      <c r="T68" s="1"/>
    </row>
    <row r="69" spans="1:20" x14ac:dyDescent="0.25">
      <c r="A69" t="s">
        <v>72</v>
      </c>
      <c r="B69" s="1">
        <v>50394</v>
      </c>
      <c r="C69">
        <v>0.42599999999999999</v>
      </c>
      <c r="D69">
        <v>0.495</v>
      </c>
      <c r="E69">
        <v>0</v>
      </c>
      <c r="F69">
        <v>1</v>
      </c>
      <c r="G69" t="s">
        <v>72</v>
      </c>
      <c r="H69" s="1">
        <v>29046</v>
      </c>
      <c r="I69">
        <v>0.41099999999999998</v>
      </c>
      <c r="J69">
        <v>0.49199999999999999</v>
      </c>
      <c r="K69">
        <v>0</v>
      </c>
      <c r="L69">
        <v>1</v>
      </c>
      <c r="M69" t="s">
        <v>72</v>
      </c>
      <c r="N69" s="1">
        <v>21348</v>
      </c>
      <c r="O69">
        <v>0.44600000000000001</v>
      </c>
      <c r="P69">
        <v>0.497</v>
      </c>
      <c r="Q69">
        <v>0</v>
      </c>
      <c r="R69">
        <v>1</v>
      </c>
      <c r="S69" t="s">
        <v>72</v>
      </c>
      <c r="T69" s="1"/>
    </row>
    <row r="70" spans="1:20" x14ac:dyDescent="0.25">
      <c r="A70" t="s">
        <v>73</v>
      </c>
      <c r="B70" s="1">
        <v>50394</v>
      </c>
      <c r="C70">
        <v>4.7E-2</v>
      </c>
      <c r="D70">
        <v>0.21199999999999999</v>
      </c>
      <c r="E70">
        <v>0</v>
      </c>
      <c r="F70">
        <v>1</v>
      </c>
      <c r="G70" t="s">
        <v>73</v>
      </c>
      <c r="H70" s="1">
        <v>29046</v>
      </c>
      <c r="I70">
        <v>4.9000000000000002E-2</v>
      </c>
      <c r="J70">
        <v>0.215</v>
      </c>
      <c r="K70">
        <v>0</v>
      </c>
      <c r="L70">
        <v>1</v>
      </c>
      <c r="M70" t="s">
        <v>73</v>
      </c>
      <c r="N70" s="1">
        <v>21348</v>
      </c>
      <c r="O70">
        <v>4.4999999999999998E-2</v>
      </c>
      <c r="P70">
        <v>0.20799999999999999</v>
      </c>
      <c r="Q70">
        <v>0</v>
      </c>
      <c r="R70">
        <v>1</v>
      </c>
      <c r="S70" t="s">
        <v>73</v>
      </c>
      <c r="T70" s="1"/>
    </row>
    <row r="71" spans="1:20" x14ac:dyDescent="0.25">
      <c r="A71" t="s">
        <v>165</v>
      </c>
      <c r="B71" s="1">
        <v>50394</v>
      </c>
      <c r="C71">
        <v>5.7000000000000002E-2</v>
      </c>
      <c r="D71">
        <v>0.23100000000000001</v>
      </c>
      <c r="E71">
        <v>0</v>
      </c>
      <c r="F71">
        <v>1</v>
      </c>
      <c r="G71" t="s">
        <v>165</v>
      </c>
      <c r="H71" s="1">
        <v>29046</v>
      </c>
      <c r="I71">
        <v>5.8000000000000003E-2</v>
      </c>
      <c r="J71">
        <v>0.23400000000000001</v>
      </c>
      <c r="K71">
        <v>0</v>
      </c>
      <c r="L71">
        <v>1</v>
      </c>
      <c r="M71" t="s">
        <v>165</v>
      </c>
      <c r="N71" s="1">
        <v>21348</v>
      </c>
      <c r="O71">
        <v>5.3999999999999999E-2</v>
      </c>
      <c r="P71">
        <v>0.22700000000000001</v>
      </c>
      <c r="Q71">
        <v>0</v>
      </c>
      <c r="R71">
        <v>1</v>
      </c>
      <c r="S71" t="s">
        <v>165</v>
      </c>
      <c r="T71" s="1"/>
    </row>
    <row r="72" spans="1:20" x14ac:dyDescent="0.25">
      <c r="A72" t="s">
        <v>166</v>
      </c>
      <c r="B72" s="1">
        <v>50394</v>
      </c>
      <c r="C72">
        <v>0.254</v>
      </c>
      <c r="D72">
        <v>0.435</v>
      </c>
      <c r="E72">
        <v>0</v>
      </c>
      <c r="F72">
        <v>1</v>
      </c>
      <c r="G72" t="s">
        <v>166</v>
      </c>
      <c r="H72" s="1">
        <v>29046</v>
      </c>
      <c r="I72">
        <v>0.251</v>
      </c>
      <c r="J72">
        <v>0.434</v>
      </c>
      <c r="K72">
        <v>0</v>
      </c>
      <c r="L72">
        <v>1</v>
      </c>
      <c r="M72" t="s">
        <v>166</v>
      </c>
      <c r="N72" s="1">
        <v>21348</v>
      </c>
      <c r="O72">
        <v>0.25800000000000001</v>
      </c>
      <c r="P72">
        <v>0.438</v>
      </c>
      <c r="Q72">
        <v>0</v>
      </c>
      <c r="R72">
        <v>1</v>
      </c>
      <c r="S72" t="s">
        <v>166</v>
      </c>
      <c r="T72" s="1"/>
    </row>
    <row r="73" spans="1:20" x14ac:dyDescent="0.25">
      <c r="A73" t="s">
        <v>167</v>
      </c>
      <c r="B73" s="1">
        <v>50394</v>
      </c>
      <c r="C73">
        <v>0.47199999999999998</v>
      </c>
      <c r="D73">
        <v>0.499</v>
      </c>
      <c r="E73">
        <v>0</v>
      </c>
      <c r="F73">
        <v>1</v>
      </c>
      <c r="G73" t="s">
        <v>167</v>
      </c>
      <c r="H73" s="1">
        <v>29046</v>
      </c>
      <c r="I73">
        <v>0.48899999999999999</v>
      </c>
      <c r="J73">
        <v>0.5</v>
      </c>
      <c r="K73">
        <v>0</v>
      </c>
      <c r="L73">
        <v>1</v>
      </c>
      <c r="M73" t="s">
        <v>167</v>
      </c>
      <c r="N73" s="1">
        <v>21348</v>
      </c>
      <c r="O73">
        <v>0.44900000000000001</v>
      </c>
      <c r="P73">
        <v>0.497</v>
      </c>
      <c r="Q73">
        <v>0</v>
      </c>
      <c r="R73">
        <v>1</v>
      </c>
      <c r="S73" t="s">
        <v>167</v>
      </c>
      <c r="T73" s="1"/>
    </row>
    <row r="74" spans="1:20" x14ac:dyDescent="0.25">
      <c r="A74" t="s">
        <v>168</v>
      </c>
      <c r="B74" s="1">
        <v>50394</v>
      </c>
      <c r="C74">
        <v>6.0999999999999999E-2</v>
      </c>
      <c r="D74">
        <v>0.23899999999999999</v>
      </c>
      <c r="E74">
        <v>0</v>
      </c>
      <c r="F74">
        <v>1</v>
      </c>
      <c r="G74" t="s">
        <v>168</v>
      </c>
      <c r="H74" s="1">
        <v>29046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21348</v>
      </c>
      <c r="O74">
        <v>6.4000000000000001E-2</v>
      </c>
      <c r="P74">
        <v>0.24399999999999999</v>
      </c>
      <c r="Q74">
        <v>0</v>
      </c>
      <c r="R74">
        <v>1</v>
      </c>
      <c r="S74" t="s">
        <v>168</v>
      </c>
      <c r="T74" s="1"/>
    </row>
    <row r="75" spans="1:20" x14ac:dyDescent="0.25">
      <c r="A75" t="s">
        <v>169</v>
      </c>
      <c r="B75" s="1">
        <v>50394</v>
      </c>
      <c r="C75">
        <v>0.12</v>
      </c>
      <c r="D75">
        <v>0.32500000000000001</v>
      </c>
      <c r="E75">
        <v>0</v>
      </c>
      <c r="F75">
        <v>1</v>
      </c>
      <c r="G75" t="s">
        <v>169</v>
      </c>
      <c r="H75" s="1">
        <v>29046</v>
      </c>
      <c r="I75">
        <v>0.112</v>
      </c>
      <c r="J75">
        <v>0.315</v>
      </c>
      <c r="K75">
        <v>0</v>
      </c>
      <c r="L75">
        <v>1</v>
      </c>
      <c r="M75" t="s">
        <v>169</v>
      </c>
      <c r="N75" s="1">
        <v>21348</v>
      </c>
      <c r="O75">
        <v>0.13100000000000001</v>
      </c>
      <c r="P75">
        <v>0.33800000000000002</v>
      </c>
      <c r="Q75">
        <v>0</v>
      </c>
      <c r="R75">
        <v>1</v>
      </c>
      <c r="S75" t="s">
        <v>169</v>
      </c>
      <c r="T75" s="1"/>
    </row>
    <row r="76" spans="1:20" x14ac:dyDescent="0.25">
      <c r="A76" t="s">
        <v>170</v>
      </c>
      <c r="B76" s="1">
        <v>50394</v>
      </c>
      <c r="C76">
        <v>3.6999999999999998E-2</v>
      </c>
      <c r="D76">
        <v>0.188</v>
      </c>
      <c r="E76">
        <v>0</v>
      </c>
      <c r="F76">
        <v>1</v>
      </c>
      <c r="G76" t="s">
        <v>170</v>
      </c>
      <c r="H76" s="1">
        <v>29046</v>
      </c>
      <c r="I76">
        <v>3.2000000000000001E-2</v>
      </c>
      <c r="J76">
        <v>0.17499999999999999</v>
      </c>
      <c r="K76">
        <v>0</v>
      </c>
      <c r="L76">
        <v>1</v>
      </c>
      <c r="M76" t="s">
        <v>170</v>
      </c>
      <c r="N76" s="1">
        <v>21348</v>
      </c>
      <c r="O76">
        <v>4.3999999999999997E-2</v>
      </c>
      <c r="P76">
        <v>0.20499999999999999</v>
      </c>
      <c r="Q76">
        <v>0</v>
      </c>
      <c r="R76">
        <v>1</v>
      </c>
      <c r="S76" t="s">
        <v>170</v>
      </c>
      <c r="T76" s="1"/>
    </row>
    <row r="77" spans="1:20" x14ac:dyDescent="0.25">
      <c r="A77" t="s">
        <v>79</v>
      </c>
      <c r="B77" s="1">
        <v>50394</v>
      </c>
      <c r="C77">
        <v>0.123</v>
      </c>
      <c r="D77">
        <v>0.32900000000000001</v>
      </c>
      <c r="E77">
        <v>0</v>
      </c>
      <c r="F77">
        <v>1</v>
      </c>
      <c r="G77" t="s">
        <v>79</v>
      </c>
      <c r="H77" s="1">
        <v>29046</v>
      </c>
      <c r="I77">
        <v>0.123</v>
      </c>
      <c r="J77">
        <v>0.32900000000000001</v>
      </c>
      <c r="K77">
        <v>0</v>
      </c>
      <c r="L77">
        <v>1</v>
      </c>
      <c r="M77" t="s">
        <v>79</v>
      </c>
      <c r="N77" s="1">
        <v>21348</v>
      </c>
      <c r="O77">
        <v>0.123</v>
      </c>
      <c r="P77">
        <v>0.32800000000000001</v>
      </c>
      <c r="Q77">
        <v>0</v>
      </c>
      <c r="R77">
        <v>1</v>
      </c>
      <c r="S77" t="s">
        <v>79</v>
      </c>
      <c r="T77" s="1"/>
    </row>
    <row r="78" spans="1:20" x14ac:dyDescent="0.25">
      <c r="A78" t="s">
        <v>80</v>
      </c>
      <c r="B78" s="1">
        <v>50394</v>
      </c>
      <c r="C78">
        <v>6.0000000000000001E-3</v>
      </c>
      <c r="D78">
        <v>7.5999999999999998E-2</v>
      </c>
      <c r="E78">
        <v>0</v>
      </c>
      <c r="F78">
        <v>1</v>
      </c>
      <c r="G78" t="s">
        <v>80</v>
      </c>
      <c r="H78" s="1">
        <v>29046</v>
      </c>
      <c r="I78">
        <v>5.0000000000000001E-3</v>
      </c>
      <c r="J78">
        <v>7.1999999999999995E-2</v>
      </c>
      <c r="K78">
        <v>0</v>
      </c>
      <c r="L78">
        <v>1</v>
      </c>
      <c r="M78" t="s">
        <v>80</v>
      </c>
      <c r="N78" s="1">
        <v>21348</v>
      </c>
      <c r="O78">
        <v>7.0000000000000001E-3</v>
      </c>
      <c r="P78">
        <v>8.1000000000000003E-2</v>
      </c>
      <c r="Q78">
        <v>0</v>
      </c>
      <c r="R78">
        <v>1</v>
      </c>
      <c r="S78" t="s">
        <v>80</v>
      </c>
      <c r="T78" s="1"/>
    </row>
    <row r="79" spans="1:20" x14ac:dyDescent="0.25">
      <c r="A79" t="s">
        <v>81</v>
      </c>
      <c r="B79" s="1">
        <v>50394</v>
      </c>
      <c r="C79">
        <v>2E-3</v>
      </c>
      <c r="D79">
        <v>4.2999999999999997E-2</v>
      </c>
      <c r="E79">
        <v>0</v>
      </c>
      <c r="F79">
        <v>1</v>
      </c>
      <c r="G79" t="s">
        <v>81</v>
      </c>
      <c r="H79" s="1">
        <v>29046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21348</v>
      </c>
      <c r="O79">
        <v>2E-3</v>
      </c>
      <c r="P79">
        <v>4.2999999999999997E-2</v>
      </c>
      <c r="Q79">
        <v>0</v>
      </c>
      <c r="R79">
        <v>1</v>
      </c>
      <c r="S79" t="s">
        <v>81</v>
      </c>
      <c r="T79" s="1"/>
    </row>
    <row r="80" spans="1:20" x14ac:dyDescent="0.25">
      <c r="A80" t="s">
        <v>82</v>
      </c>
      <c r="B80" s="1">
        <v>50394</v>
      </c>
      <c r="C80">
        <v>4.2000000000000003E-2</v>
      </c>
      <c r="D80">
        <v>0.20100000000000001</v>
      </c>
      <c r="E80">
        <v>0</v>
      </c>
      <c r="F80">
        <v>1</v>
      </c>
      <c r="G80" t="s">
        <v>82</v>
      </c>
      <c r="H80" s="1">
        <v>29046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21348</v>
      </c>
      <c r="O80">
        <v>4.2000000000000003E-2</v>
      </c>
      <c r="P80">
        <v>0.20200000000000001</v>
      </c>
      <c r="Q80">
        <v>0</v>
      </c>
      <c r="R80">
        <v>1</v>
      </c>
      <c r="S80" t="s">
        <v>82</v>
      </c>
      <c r="T80" s="1"/>
    </row>
    <row r="81" spans="1:20" x14ac:dyDescent="0.25">
      <c r="A81" t="s">
        <v>83</v>
      </c>
      <c r="B81" s="1">
        <v>50394</v>
      </c>
      <c r="C81">
        <v>0.41899999999999998</v>
      </c>
      <c r="D81">
        <v>0.49299999999999999</v>
      </c>
      <c r="E81">
        <v>0</v>
      </c>
      <c r="F81">
        <v>1</v>
      </c>
      <c r="G81" t="s">
        <v>83</v>
      </c>
      <c r="H81" s="1">
        <v>29046</v>
      </c>
      <c r="I81">
        <v>0.42799999999999999</v>
      </c>
      <c r="J81">
        <v>0.495</v>
      </c>
      <c r="K81">
        <v>0</v>
      </c>
      <c r="L81">
        <v>1</v>
      </c>
      <c r="M81" t="s">
        <v>83</v>
      </c>
      <c r="N81" s="1">
        <v>21348</v>
      </c>
      <c r="O81">
        <v>0.40699999999999997</v>
      </c>
      <c r="P81">
        <v>0.49099999999999999</v>
      </c>
      <c r="Q81">
        <v>0</v>
      </c>
      <c r="R81">
        <v>1</v>
      </c>
      <c r="S81" t="s">
        <v>83</v>
      </c>
      <c r="T81" s="1"/>
    </row>
    <row r="82" spans="1:20" x14ac:dyDescent="0.25">
      <c r="A82" t="s">
        <v>84</v>
      </c>
      <c r="B82" s="1">
        <v>50394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29046</v>
      </c>
      <c r="I82">
        <v>7.0000000000000001E-3</v>
      </c>
      <c r="J82">
        <v>8.1000000000000003E-2</v>
      </c>
      <c r="K82">
        <v>0</v>
      </c>
      <c r="L82">
        <v>1</v>
      </c>
      <c r="M82" t="s">
        <v>84</v>
      </c>
      <c r="N82" s="1">
        <v>21348</v>
      </c>
      <c r="O82">
        <v>8.9999999999999993E-3</v>
      </c>
      <c r="P82">
        <v>9.4E-2</v>
      </c>
      <c r="Q82">
        <v>0</v>
      </c>
      <c r="R82">
        <v>1</v>
      </c>
      <c r="S82" t="s">
        <v>84</v>
      </c>
      <c r="T82" s="1"/>
    </row>
    <row r="83" spans="1:20" x14ac:dyDescent="0.25">
      <c r="A83" t="s">
        <v>85</v>
      </c>
      <c r="B83" s="1">
        <v>50394</v>
      </c>
      <c r="C83">
        <v>0.4</v>
      </c>
      <c r="D83">
        <v>0.49</v>
      </c>
      <c r="E83">
        <v>0</v>
      </c>
      <c r="F83">
        <v>1</v>
      </c>
      <c r="G83" t="s">
        <v>85</v>
      </c>
      <c r="H83" s="1">
        <v>29046</v>
      </c>
      <c r="I83">
        <v>0.39300000000000002</v>
      </c>
      <c r="J83">
        <v>0.48799999999999999</v>
      </c>
      <c r="K83">
        <v>0</v>
      </c>
      <c r="L83">
        <v>1</v>
      </c>
      <c r="M83" t="s">
        <v>85</v>
      </c>
      <c r="N83" s="1">
        <v>21348</v>
      </c>
      <c r="O83">
        <v>0.41</v>
      </c>
      <c r="P83">
        <v>0.49199999999999999</v>
      </c>
      <c r="Q83">
        <v>0</v>
      </c>
      <c r="R83">
        <v>1</v>
      </c>
      <c r="S83" t="s">
        <v>85</v>
      </c>
      <c r="T83" s="1"/>
    </row>
    <row r="84" spans="1:20" x14ac:dyDescent="0.25">
      <c r="A84" t="s">
        <v>6</v>
      </c>
      <c r="B84" s="1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9</v>
      </c>
      <c r="R84" t="s">
        <v>9</v>
      </c>
      <c r="S84" t="s">
        <v>6</v>
      </c>
    </row>
    <row r="85" spans="1:20" x14ac:dyDescent="0.25">
      <c r="A85" t="s">
        <v>6</v>
      </c>
      <c r="B85" t="s">
        <v>7</v>
      </c>
      <c r="C85" t="s">
        <v>8</v>
      </c>
      <c r="D85" t="s">
        <v>162</v>
      </c>
      <c r="E85" t="s">
        <v>9</v>
      </c>
      <c r="F85" t="s">
        <v>9</v>
      </c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  <c r="M85" t="s">
        <v>6</v>
      </c>
      <c r="N85" t="s">
        <v>7</v>
      </c>
      <c r="O85" t="s">
        <v>8</v>
      </c>
      <c r="P85" t="s">
        <v>162</v>
      </c>
      <c r="Q85" t="s">
        <v>9</v>
      </c>
      <c r="R85" t="s">
        <v>9</v>
      </c>
    </row>
    <row r="86" spans="1:20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  <row r="87" spans="1:20" x14ac:dyDescent="0.25">
      <c r="G87" t="s">
        <v>6</v>
      </c>
      <c r="H87" s="1" t="s">
        <v>7</v>
      </c>
      <c r="I87" t="s">
        <v>8</v>
      </c>
      <c r="J87" t="s">
        <v>162</v>
      </c>
      <c r="K87" t="s">
        <v>8</v>
      </c>
      <c r="L87" t="s">
        <v>9</v>
      </c>
    </row>
    <row r="88" spans="1:20" x14ac:dyDescent="0.25">
      <c r="G88" t="s">
        <v>85</v>
      </c>
      <c r="H88" s="1">
        <v>29452</v>
      </c>
      <c r="I88">
        <v>0.38700000000000001</v>
      </c>
      <c r="J88">
        <v>0.48699999999999999</v>
      </c>
      <c r="K88">
        <v>0</v>
      </c>
      <c r="L88">
        <v>1</v>
      </c>
    </row>
    <row r="89" spans="1:20" x14ac:dyDescent="0.25">
      <c r="G89" t="s">
        <v>6</v>
      </c>
      <c r="H89" t="s">
        <v>7</v>
      </c>
      <c r="I89" t="s">
        <v>8</v>
      </c>
      <c r="J89" t="s">
        <v>162</v>
      </c>
      <c r="K89" t="s">
        <v>8</v>
      </c>
      <c r="L89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CAFA6-6F06-468D-83F9-43D84046052E}">
  <sheetPr codeName="Sheet2"/>
  <dimension ref="A1:R88"/>
  <sheetViews>
    <sheetView workbookViewId="0">
      <selection activeCell="W16" sqref="W16"/>
    </sheetView>
  </sheetViews>
  <sheetFormatPr defaultRowHeight="15" x14ac:dyDescent="0.25"/>
  <cols>
    <col min="3" max="3" width="11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27429</v>
      </c>
      <c r="C3">
        <v>1.33</v>
      </c>
      <c r="D3">
        <v>0.56000000000000005</v>
      </c>
      <c r="E3">
        <v>1</v>
      </c>
      <c r="F3">
        <v>5</v>
      </c>
      <c r="G3" t="s">
        <v>10</v>
      </c>
      <c r="H3" s="1">
        <v>15783</v>
      </c>
      <c r="I3">
        <v>1.333</v>
      </c>
      <c r="J3">
        <v>0.56399999999999995</v>
      </c>
      <c r="K3">
        <v>1</v>
      </c>
      <c r="L3">
        <v>5</v>
      </c>
      <c r="M3" t="s">
        <v>10</v>
      </c>
      <c r="N3" s="1">
        <v>11646</v>
      </c>
      <c r="O3">
        <v>1.3260000000000001</v>
      </c>
      <c r="P3">
        <v>0.55400000000000005</v>
      </c>
      <c r="Q3">
        <v>1</v>
      </c>
      <c r="R3">
        <v>5</v>
      </c>
    </row>
    <row r="4" spans="1:18" x14ac:dyDescent="0.25">
      <c r="A4" t="s">
        <v>11</v>
      </c>
      <c r="B4" s="1">
        <v>27429</v>
      </c>
      <c r="C4">
        <v>0.42499999999999999</v>
      </c>
      <c r="D4">
        <v>0.49399999999999999</v>
      </c>
      <c r="E4">
        <v>0</v>
      </c>
      <c r="F4">
        <v>1</v>
      </c>
      <c r="G4" t="s">
        <v>11</v>
      </c>
      <c r="H4" s="1">
        <v>15783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11646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27429</v>
      </c>
      <c r="C5">
        <v>0.38200000000000001</v>
      </c>
      <c r="D5">
        <v>0.48599999999999999</v>
      </c>
      <c r="E5">
        <v>0</v>
      </c>
      <c r="F5">
        <v>1</v>
      </c>
      <c r="G5" t="s">
        <v>12</v>
      </c>
      <c r="H5" s="1">
        <v>15783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11646</v>
      </c>
      <c r="O5">
        <v>0.89900000000000002</v>
      </c>
      <c r="P5">
        <v>0.30199999999999999</v>
      </c>
      <c r="Q5">
        <v>0</v>
      </c>
      <c r="R5">
        <v>1</v>
      </c>
    </row>
    <row r="6" spans="1:18" x14ac:dyDescent="0.25">
      <c r="A6" t="s">
        <v>36</v>
      </c>
      <c r="B6" s="1">
        <v>11646</v>
      </c>
      <c r="C6">
        <v>311.565</v>
      </c>
      <c r="D6">
        <v>571.59900000000005</v>
      </c>
      <c r="E6">
        <v>0</v>
      </c>
      <c r="F6" s="1">
        <v>4021</v>
      </c>
      <c r="H6" s="1"/>
      <c r="M6" t="s">
        <v>36</v>
      </c>
      <c r="N6" s="1">
        <v>11646</v>
      </c>
      <c r="O6">
        <v>311.565</v>
      </c>
      <c r="P6">
        <v>571.59900000000005</v>
      </c>
      <c r="Q6">
        <v>0</v>
      </c>
      <c r="R6" s="1">
        <v>4021</v>
      </c>
    </row>
    <row r="7" spans="1:18" x14ac:dyDescent="0.25">
      <c r="A7" t="s">
        <v>13</v>
      </c>
      <c r="B7" s="1">
        <v>27429</v>
      </c>
      <c r="C7">
        <v>1.504</v>
      </c>
      <c r="D7">
        <v>0.55500000000000005</v>
      </c>
      <c r="E7">
        <v>0</v>
      </c>
      <c r="F7">
        <v>6</v>
      </c>
      <c r="G7" t="s">
        <v>13</v>
      </c>
      <c r="H7" s="1">
        <v>15783</v>
      </c>
      <c r="I7">
        <v>1.506</v>
      </c>
      <c r="J7">
        <v>0.55400000000000005</v>
      </c>
      <c r="K7">
        <v>0</v>
      </c>
      <c r="L7">
        <v>5</v>
      </c>
      <c r="M7" t="s">
        <v>13</v>
      </c>
      <c r="N7" s="1">
        <v>11646</v>
      </c>
      <c r="O7">
        <v>1.502</v>
      </c>
      <c r="P7">
        <v>0.55600000000000005</v>
      </c>
      <c r="Q7">
        <v>0</v>
      </c>
      <c r="R7">
        <v>6</v>
      </c>
    </row>
    <row r="8" spans="1:18" x14ac:dyDescent="0.25">
      <c r="A8" t="s">
        <v>14</v>
      </c>
      <c r="B8" s="1">
        <v>27429</v>
      </c>
      <c r="C8">
        <v>0.17799999999999999</v>
      </c>
      <c r="D8">
        <v>0.38900000000000001</v>
      </c>
      <c r="E8">
        <v>0</v>
      </c>
      <c r="F8">
        <v>5</v>
      </c>
      <c r="G8" t="s">
        <v>14</v>
      </c>
      <c r="H8" s="1">
        <v>15783</v>
      </c>
      <c r="I8">
        <v>0.18</v>
      </c>
      <c r="J8">
        <v>0.39</v>
      </c>
      <c r="K8">
        <v>0</v>
      </c>
      <c r="L8">
        <v>5</v>
      </c>
      <c r="M8" t="s">
        <v>14</v>
      </c>
      <c r="N8" s="1">
        <v>11646</v>
      </c>
      <c r="O8">
        <v>0.17499999999999999</v>
      </c>
      <c r="P8">
        <v>0.38700000000000001</v>
      </c>
      <c r="Q8">
        <v>0</v>
      </c>
      <c r="R8">
        <v>4</v>
      </c>
    </row>
    <row r="9" spans="1:18" x14ac:dyDescent="0.25">
      <c r="A9" t="s">
        <v>15</v>
      </c>
      <c r="B9" s="1">
        <v>27429</v>
      </c>
      <c r="C9">
        <v>1.821</v>
      </c>
      <c r="D9">
        <v>0.92200000000000004</v>
      </c>
      <c r="E9">
        <v>0</v>
      </c>
      <c r="F9">
        <v>8</v>
      </c>
      <c r="G9" t="s">
        <v>15</v>
      </c>
      <c r="H9" s="1">
        <v>15783</v>
      </c>
      <c r="I9">
        <v>1.83</v>
      </c>
      <c r="J9">
        <v>0.92</v>
      </c>
      <c r="K9">
        <v>0</v>
      </c>
      <c r="L9">
        <v>5</v>
      </c>
      <c r="M9" t="s">
        <v>15</v>
      </c>
      <c r="N9" s="1">
        <v>11646</v>
      </c>
      <c r="O9">
        <v>1.81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27429</v>
      </c>
      <c r="C10">
        <v>46.061999999999998</v>
      </c>
      <c r="D10">
        <v>60.622999999999998</v>
      </c>
      <c r="E10">
        <v>0</v>
      </c>
      <c r="F10">
        <v>946</v>
      </c>
      <c r="G10" t="s">
        <v>16</v>
      </c>
      <c r="H10" s="1">
        <v>15783</v>
      </c>
      <c r="I10">
        <v>50.706000000000003</v>
      </c>
      <c r="J10">
        <v>58.341999999999999</v>
      </c>
      <c r="K10">
        <v>0</v>
      </c>
      <c r="L10">
        <v>785</v>
      </c>
      <c r="M10" t="s">
        <v>16</v>
      </c>
      <c r="N10" s="1">
        <v>11646</v>
      </c>
      <c r="O10">
        <v>39.768000000000001</v>
      </c>
      <c r="P10">
        <v>63.042999999999999</v>
      </c>
      <c r="Q10">
        <v>0</v>
      </c>
      <c r="R10">
        <v>946</v>
      </c>
    </row>
    <row r="11" spans="1:18" x14ac:dyDescent="0.25">
      <c r="A11" t="s">
        <v>163</v>
      </c>
      <c r="B11" s="1">
        <v>27429</v>
      </c>
      <c r="C11" s="2">
        <v>881.91499999999996</v>
      </c>
      <c r="D11">
        <v>386.72800000000001</v>
      </c>
      <c r="E11">
        <v>120</v>
      </c>
      <c r="F11" s="1">
        <v>10740</v>
      </c>
      <c r="G11" t="s">
        <v>163</v>
      </c>
      <c r="H11" s="1">
        <v>15783</v>
      </c>
      <c r="I11">
        <v>883.75900000000001</v>
      </c>
      <c r="J11">
        <v>382.00299999999999</v>
      </c>
      <c r="K11">
        <v>160</v>
      </c>
      <c r="L11" s="1">
        <v>6273</v>
      </c>
      <c r="M11" t="s">
        <v>163</v>
      </c>
      <c r="N11" s="1">
        <v>11646</v>
      </c>
      <c r="O11" s="2">
        <v>879.41600000000005</v>
      </c>
      <c r="P11">
        <v>393.04399999999998</v>
      </c>
      <c r="Q11">
        <v>120</v>
      </c>
      <c r="R11" s="1">
        <v>10740</v>
      </c>
    </row>
    <row r="12" spans="1:18" x14ac:dyDescent="0.25">
      <c r="A12" t="s">
        <v>17</v>
      </c>
      <c r="B12" s="1">
        <v>27429</v>
      </c>
      <c r="C12">
        <v>26.521999999999998</v>
      </c>
      <c r="D12">
        <v>96.867000000000004</v>
      </c>
      <c r="E12">
        <v>0</v>
      </c>
      <c r="F12" s="1">
        <v>1380</v>
      </c>
      <c r="G12" t="s">
        <v>17</v>
      </c>
      <c r="H12" s="1">
        <v>15783</v>
      </c>
      <c r="I12">
        <v>22.521000000000001</v>
      </c>
      <c r="J12">
        <v>89.209000000000003</v>
      </c>
      <c r="K12">
        <v>0</v>
      </c>
      <c r="L12" s="1">
        <v>942</v>
      </c>
      <c r="M12" t="s">
        <v>17</v>
      </c>
      <c r="N12" s="1">
        <v>11646</v>
      </c>
      <c r="O12">
        <v>31.943999999999999</v>
      </c>
      <c r="P12">
        <v>106.133</v>
      </c>
      <c r="Q12">
        <v>0</v>
      </c>
      <c r="R12" s="1">
        <v>1380</v>
      </c>
    </row>
    <row r="13" spans="1:18" x14ac:dyDescent="0.25">
      <c r="A13" t="s">
        <v>19</v>
      </c>
      <c r="B13" s="1">
        <v>27429</v>
      </c>
      <c r="C13" s="2">
        <v>665537</v>
      </c>
      <c r="D13" s="2">
        <v>598576.9</v>
      </c>
      <c r="E13" s="2">
        <v>85418.51</v>
      </c>
      <c r="F13" s="2">
        <v>28197546</v>
      </c>
      <c r="G13" t="s">
        <v>19</v>
      </c>
      <c r="H13" s="1">
        <v>15783</v>
      </c>
      <c r="I13" s="2">
        <v>665932.4</v>
      </c>
      <c r="J13" s="2">
        <v>611997.9</v>
      </c>
      <c r="K13" s="2">
        <v>99684.44</v>
      </c>
      <c r="L13" s="1">
        <v>28197546</v>
      </c>
      <c r="M13" t="s">
        <v>19</v>
      </c>
      <c r="N13" s="1">
        <v>11646</v>
      </c>
      <c r="O13" s="2">
        <v>665001.1</v>
      </c>
      <c r="P13" s="2">
        <v>579918.5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27429</v>
      </c>
      <c r="C14" s="2">
        <v>656731</v>
      </c>
      <c r="D14" s="2">
        <v>571733.80000000005</v>
      </c>
      <c r="E14" s="2">
        <v>85418.51</v>
      </c>
      <c r="F14" s="2">
        <v>28197546</v>
      </c>
      <c r="G14" t="s">
        <v>20</v>
      </c>
      <c r="H14" s="1">
        <v>15783</v>
      </c>
      <c r="I14" s="2">
        <v>654251.1</v>
      </c>
      <c r="J14" s="2">
        <v>590406.80000000005</v>
      </c>
      <c r="K14" s="2">
        <v>118448.6</v>
      </c>
      <c r="L14" s="1">
        <v>28197546</v>
      </c>
      <c r="M14" t="s">
        <v>20</v>
      </c>
      <c r="N14" s="1">
        <v>11646</v>
      </c>
      <c r="O14" s="2">
        <v>660091.9</v>
      </c>
      <c r="P14" s="2">
        <v>545415.30000000005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27429</v>
      </c>
      <c r="C15" s="2">
        <v>7324.9960000000001</v>
      </c>
      <c r="D15" s="2">
        <v>47457.29</v>
      </c>
      <c r="E15" s="2">
        <v>-300000</v>
      </c>
      <c r="F15" s="2">
        <v>4750000</v>
      </c>
      <c r="G15" t="s">
        <v>190</v>
      </c>
      <c r="H15" s="1">
        <v>15783</v>
      </c>
      <c r="I15" s="2">
        <v>9597.2139999999999</v>
      </c>
      <c r="J15" s="2">
        <v>32027.74</v>
      </c>
      <c r="K15" s="2">
        <v>-152000</v>
      </c>
      <c r="L15" s="1">
        <v>750000</v>
      </c>
      <c r="M15" t="s">
        <v>190</v>
      </c>
      <c r="N15" s="1">
        <v>11646</v>
      </c>
      <c r="O15" s="2">
        <v>4245.62</v>
      </c>
      <c r="P15" s="2">
        <v>62434.13</v>
      </c>
      <c r="Q15" s="2">
        <v>-300000</v>
      </c>
      <c r="R15" s="2">
        <v>4750000</v>
      </c>
    </row>
    <row r="16" spans="1:18" x14ac:dyDescent="0.25">
      <c r="A16" t="s">
        <v>21</v>
      </c>
      <c r="B16" s="1">
        <v>27429</v>
      </c>
      <c r="C16">
        <v>1E-3</v>
      </c>
      <c r="D16">
        <v>3.6999999999999998E-2</v>
      </c>
      <c r="E16">
        <v>0</v>
      </c>
      <c r="F16">
        <v>1</v>
      </c>
      <c r="G16" t="s">
        <v>21</v>
      </c>
      <c r="H16" s="1">
        <v>15783</v>
      </c>
      <c r="I16" s="2">
        <v>1E-3</v>
      </c>
      <c r="J16" s="2">
        <v>3.4000000000000002E-2</v>
      </c>
      <c r="K16" s="2">
        <v>0</v>
      </c>
      <c r="L16" s="1">
        <v>1</v>
      </c>
      <c r="M16" t="s">
        <v>21</v>
      </c>
      <c r="N16" s="1">
        <v>11646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27429</v>
      </c>
      <c r="C17">
        <v>2.9000000000000001E-2</v>
      </c>
      <c r="D17">
        <v>0.16700000000000001</v>
      </c>
      <c r="E17">
        <v>0</v>
      </c>
      <c r="F17">
        <v>1</v>
      </c>
      <c r="G17" t="s">
        <v>22</v>
      </c>
      <c r="H17" s="1">
        <v>15783</v>
      </c>
      <c r="I17" s="2">
        <v>3.1E-2</v>
      </c>
      <c r="J17" s="2">
        <v>0.17199999999999999</v>
      </c>
      <c r="K17" s="2">
        <v>0</v>
      </c>
      <c r="L17" s="1">
        <v>1</v>
      </c>
      <c r="M17" t="s">
        <v>22</v>
      </c>
      <c r="N17" s="1">
        <v>11646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27429</v>
      </c>
      <c r="C18">
        <v>6.0000000000000001E-3</v>
      </c>
      <c r="D18">
        <v>7.8E-2</v>
      </c>
      <c r="E18">
        <v>0</v>
      </c>
      <c r="F18">
        <v>1</v>
      </c>
      <c r="G18" t="s">
        <v>23</v>
      </c>
      <c r="H18" s="1">
        <v>15783</v>
      </c>
      <c r="I18" s="2">
        <v>7.0000000000000001E-3</v>
      </c>
      <c r="J18" s="2">
        <v>8.5000000000000006E-2</v>
      </c>
      <c r="K18" s="2">
        <v>0</v>
      </c>
      <c r="L18" s="2">
        <v>1</v>
      </c>
      <c r="M18" t="s">
        <v>23</v>
      </c>
      <c r="N18" s="1">
        <v>11646</v>
      </c>
      <c r="O18">
        <v>5.0000000000000001E-3</v>
      </c>
      <c r="P18">
        <v>6.8000000000000005E-2</v>
      </c>
      <c r="Q18">
        <v>0</v>
      </c>
      <c r="R18">
        <v>1</v>
      </c>
    </row>
    <row r="19" spans="1:18" x14ac:dyDescent="0.25">
      <c r="A19" t="s">
        <v>24</v>
      </c>
      <c r="B19" s="1">
        <v>27429</v>
      </c>
      <c r="C19">
        <v>0.17</v>
      </c>
      <c r="D19">
        <v>0.376</v>
      </c>
      <c r="E19">
        <v>0</v>
      </c>
      <c r="F19">
        <v>1</v>
      </c>
      <c r="G19" t="s">
        <v>24</v>
      </c>
      <c r="H19" s="1">
        <v>15783</v>
      </c>
      <c r="I19" s="2">
        <v>0.17599999999999999</v>
      </c>
      <c r="J19" s="2">
        <v>0.38100000000000001</v>
      </c>
      <c r="K19" s="2">
        <v>0</v>
      </c>
      <c r="L19" s="2">
        <v>1</v>
      </c>
      <c r="M19" t="s">
        <v>24</v>
      </c>
      <c r="N19" s="1">
        <v>11646</v>
      </c>
      <c r="O19">
        <v>0.16300000000000001</v>
      </c>
      <c r="P19">
        <v>0.36899999999999999</v>
      </c>
      <c r="Q19">
        <v>0</v>
      </c>
      <c r="R19">
        <v>1</v>
      </c>
    </row>
    <row r="20" spans="1:18" x14ac:dyDescent="0.25">
      <c r="A20" t="s">
        <v>25</v>
      </c>
      <c r="B20" s="1">
        <v>27429</v>
      </c>
      <c r="C20">
        <v>0.51600000000000001</v>
      </c>
      <c r="D20">
        <v>0.5</v>
      </c>
      <c r="E20">
        <v>0</v>
      </c>
      <c r="F20">
        <v>1</v>
      </c>
      <c r="G20" t="s">
        <v>25</v>
      </c>
      <c r="H20" s="1">
        <v>15783</v>
      </c>
      <c r="I20">
        <v>0.504</v>
      </c>
      <c r="J20">
        <v>0.5</v>
      </c>
      <c r="K20">
        <v>0</v>
      </c>
      <c r="L20">
        <v>1</v>
      </c>
      <c r="M20" t="s">
        <v>25</v>
      </c>
      <c r="N20" s="1">
        <v>11646</v>
      </c>
      <c r="O20">
        <v>0.53400000000000003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27429</v>
      </c>
      <c r="C21">
        <v>0.315</v>
      </c>
      <c r="D21">
        <v>0.46500000000000002</v>
      </c>
      <c r="E21">
        <v>0</v>
      </c>
      <c r="F21">
        <v>1</v>
      </c>
      <c r="G21" t="s">
        <v>26</v>
      </c>
      <c r="H21" s="1">
        <v>15783</v>
      </c>
      <c r="I21">
        <v>0.32300000000000001</v>
      </c>
      <c r="J21">
        <v>0.46800000000000003</v>
      </c>
      <c r="K21">
        <v>0</v>
      </c>
      <c r="L21">
        <v>1</v>
      </c>
      <c r="M21" t="s">
        <v>26</v>
      </c>
      <c r="N21" s="1">
        <v>11646</v>
      </c>
      <c r="O21">
        <v>0.30399999999999999</v>
      </c>
      <c r="P21">
        <v>0.46</v>
      </c>
      <c r="Q21">
        <v>0</v>
      </c>
      <c r="R21">
        <v>1</v>
      </c>
    </row>
    <row r="22" spans="1:18" x14ac:dyDescent="0.25">
      <c r="A22" t="s">
        <v>27</v>
      </c>
      <c r="B22" s="1">
        <v>27429</v>
      </c>
      <c r="C22">
        <v>6.5000000000000002E-2</v>
      </c>
      <c r="D22">
        <v>0.246</v>
      </c>
      <c r="E22">
        <v>0</v>
      </c>
      <c r="F22">
        <v>1</v>
      </c>
      <c r="G22" t="s">
        <v>27</v>
      </c>
      <c r="H22" s="1">
        <v>15783</v>
      </c>
      <c r="I22">
        <v>6.6000000000000003E-2</v>
      </c>
      <c r="J22">
        <v>0.249</v>
      </c>
      <c r="K22">
        <v>0</v>
      </c>
      <c r="L22">
        <v>1</v>
      </c>
      <c r="M22" t="s">
        <v>27</v>
      </c>
      <c r="N22" s="1">
        <v>11646</v>
      </c>
      <c r="O22">
        <v>6.2E-2</v>
      </c>
      <c r="P22">
        <v>0.24199999999999999</v>
      </c>
      <c r="Q22">
        <v>0</v>
      </c>
      <c r="R22">
        <v>1</v>
      </c>
    </row>
    <row r="23" spans="1:18" x14ac:dyDescent="0.25">
      <c r="A23" t="s">
        <v>28</v>
      </c>
      <c r="B23" s="1">
        <v>27429</v>
      </c>
      <c r="C23">
        <v>3.0000000000000001E-3</v>
      </c>
      <c r="D23">
        <v>5.8000000000000003E-2</v>
      </c>
      <c r="E23">
        <v>0</v>
      </c>
      <c r="F23">
        <v>1</v>
      </c>
      <c r="G23" t="s">
        <v>28</v>
      </c>
      <c r="H23" s="1">
        <v>15783</v>
      </c>
      <c r="I23">
        <v>4.0000000000000001E-3</v>
      </c>
      <c r="J23">
        <v>0.06</v>
      </c>
      <c r="K23">
        <v>0</v>
      </c>
      <c r="L23">
        <v>1</v>
      </c>
      <c r="M23" t="s">
        <v>28</v>
      </c>
      <c r="N23" s="1">
        <v>11646</v>
      </c>
      <c r="O23">
        <v>3.0000000000000001E-3</v>
      </c>
      <c r="P23">
        <v>5.5E-2</v>
      </c>
      <c r="Q23">
        <v>0</v>
      </c>
      <c r="R23">
        <v>1</v>
      </c>
    </row>
    <row r="24" spans="1:18" x14ac:dyDescent="0.25">
      <c r="A24" t="s">
        <v>29</v>
      </c>
      <c r="B24" s="1">
        <v>27429</v>
      </c>
      <c r="C24">
        <v>1E-4</v>
      </c>
      <c r="D24">
        <v>0.01</v>
      </c>
      <c r="E24">
        <v>0</v>
      </c>
      <c r="F24">
        <v>1</v>
      </c>
      <c r="G24" t="s">
        <v>29</v>
      </c>
      <c r="H24" s="1">
        <v>15783</v>
      </c>
      <c r="I24">
        <v>2.0000000000000001E-4</v>
      </c>
      <c r="J24">
        <v>1.4E-2</v>
      </c>
      <c r="K24">
        <v>0</v>
      </c>
      <c r="L24">
        <v>1</v>
      </c>
      <c r="M24" t="s">
        <v>29</v>
      </c>
      <c r="N24" s="1">
        <v>11646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27429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15783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11646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27429</v>
      </c>
      <c r="C26">
        <v>8.3000000000000004E-2</v>
      </c>
      <c r="D26">
        <v>0.27600000000000002</v>
      </c>
      <c r="E26">
        <v>0</v>
      </c>
      <c r="F26">
        <v>1</v>
      </c>
      <c r="G26" t="s">
        <v>31</v>
      </c>
      <c r="H26" s="1">
        <v>15783</v>
      </c>
      <c r="I26">
        <v>8.5000000000000006E-2</v>
      </c>
      <c r="J26">
        <v>0.27900000000000003</v>
      </c>
      <c r="K26">
        <v>0</v>
      </c>
      <c r="L26">
        <v>1</v>
      </c>
      <c r="M26" t="s">
        <v>31</v>
      </c>
      <c r="N26" s="1">
        <v>11646</v>
      </c>
      <c r="O26">
        <v>0.08</v>
      </c>
      <c r="P26">
        <v>0.27100000000000002</v>
      </c>
      <c r="Q26">
        <v>0</v>
      </c>
      <c r="R26">
        <v>1</v>
      </c>
    </row>
    <row r="27" spans="1:18" x14ac:dyDescent="0.25">
      <c r="A27" t="s">
        <v>32</v>
      </c>
      <c r="B27" s="1">
        <v>27429</v>
      </c>
      <c r="C27">
        <v>1E-3</v>
      </c>
      <c r="D27">
        <v>3.7999999999999999E-2</v>
      </c>
      <c r="E27">
        <v>0</v>
      </c>
      <c r="F27">
        <v>1</v>
      </c>
      <c r="G27" t="s">
        <v>32</v>
      </c>
      <c r="H27" s="1">
        <v>15783</v>
      </c>
      <c r="I27">
        <v>1E-3</v>
      </c>
      <c r="J27">
        <v>3.6999999999999998E-2</v>
      </c>
      <c r="K27">
        <v>0</v>
      </c>
      <c r="L27">
        <v>1</v>
      </c>
      <c r="M27" t="s">
        <v>32</v>
      </c>
      <c r="N27" s="1">
        <v>11646</v>
      </c>
      <c r="O27">
        <v>1E-3</v>
      </c>
      <c r="P27">
        <v>3.7999999999999999E-2</v>
      </c>
      <c r="Q27">
        <v>0</v>
      </c>
      <c r="R27">
        <v>1</v>
      </c>
    </row>
    <row r="28" spans="1:18" x14ac:dyDescent="0.25">
      <c r="A28" t="s">
        <v>33</v>
      </c>
      <c r="B28" s="1">
        <v>27429</v>
      </c>
      <c r="C28">
        <v>35.384999999999998</v>
      </c>
      <c r="D28">
        <v>15.997999999999999</v>
      </c>
      <c r="E28">
        <v>0</v>
      </c>
      <c r="F28">
        <v>90</v>
      </c>
      <c r="G28" t="s">
        <v>33</v>
      </c>
      <c r="H28" s="1">
        <v>15783</v>
      </c>
      <c r="I28">
        <v>34.122</v>
      </c>
      <c r="J28">
        <v>15.638</v>
      </c>
      <c r="K28">
        <v>0</v>
      </c>
      <c r="L28">
        <v>90</v>
      </c>
      <c r="M28" t="s">
        <v>33</v>
      </c>
      <c r="N28" s="1">
        <v>11646</v>
      </c>
      <c r="O28">
        <v>37.097000000000001</v>
      </c>
      <c r="P28">
        <v>16.318999999999999</v>
      </c>
      <c r="Q28">
        <v>0</v>
      </c>
      <c r="R28">
        <v>83</v>
      </c>
    </row>
    <row r="29" spans="1:18" x14ac:dyDescent="0.25">
      <c r="A29" t="s">
        <v>34</v>
      </c>
      <c r="B29" s="1">
        <v>27429</v>
      </c>
      <c r="C29">
        <v>1.508</v>
      </c>
      <c r="D29">
        <v>1.0149999999999999</v>
      </c>
      <c r="E29">
        <v>0</v>
      </c>
      <c r="F29">
        <v>8.1</v>
      </c>
      <c r="G29" t="s">
        <v>34</v>
      </c>
      <c r="H29" s="1">
        <v>15783</v>
      </c>
      <c r="I29">
        <v>1.409</v>
      </c>
      <c r="J29">
        <v>0.96399999999999997</v>
      </c>
      <c r="K29">
        <v>0</v>
      </c>
      <c r="L29">
        <v>8.1</v>
      </c>
      <c r="M29" t="s">
        <v>34</v>
      </c>
      <c r="N29" s="1">
        <v>11646</v>
      </c>
      <c r="O29">
        <v>1.6419999999999999</v>
      </c>
      <c r="P29">
        <v>1.0649999999999999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27429</v>
      </c>
      <c r="C30" s="2">
        <v>1.446</v>
      </c>
      <c r="D30" s="2">
        <v>4.0419999999999998</v>
      </c>
      <c r="E30">
        <v>0</v>
      </c>
      <c r="F30" s="1">
        <v>57</v>
      </c>
      <c r="G30" t="s">
        <v>35</v>
      </c>
      <c r="H30" s="1">
        <v>15783</v>
      </c>
      <c r="I30">
        <v>1.3740000000000001</v>
      </c>
      <c r="J30">
        <v>3.875</v>
      </c>
      <c r="K30">
        <v>0</v>
      </c>
      <c r="L30">
        <v>57</v>
      </c>
      <c r="M30" t="s">
        <v>35</v>
      </c>
      <c r="N30" s="1">
        <v>11646</v>
      </c>
      <c r="O30" s="2">
        <v>1.544</v>
      </c>
      <c r="P30" s="2">
        <v>4.2569999999999997</v>
      </c>
      <c r="Q30">
        <v>0</v>
      </c>
      <c r="R30" s="1">
        <v>45</v>
      </c>
    </row>
    <row r="31" spans="1:18" x14ac:dyDescent="0.25">
      <c r="A31" t="s">
        <v>18</v>
      </c>
      <c r="B31" s="1">
        <v>27429</v>
      </c>
      <c r="C31" s="2">
        <v>963.10299999999995</v>
      </c>
      <c r="D31" s="2">
        <v>437.41300000000001</v>
      </c>
      <c r="E31">
        <v>175</v>
      </c>
      <c r="F31" s="1">
        <v>11155</v>
      </c>
      <c r="G31" t="s">
        <v>18</v>
      </c>
      <c r="H31" s="1">
        <v>15783</v>
      </c>
      <c r="I31">
        <v>965.56899999999996</v>
      </c>
      <c r="J31">
        <v>434.83300000000003</v>
      </c>
      <c r="K31">
        <v>195</v>
      </c>
      <c r="L31" s="1">
        <v>7582</v>
      </c>
      <c r="M31" t="s">
        <v>18</v>
      </c>
      <c r="N31" s="1">
        <v>11646</v>
      </c>
      <c r="O31" s="2">
        <v>959.76099999999997</v>
      </c>
      <c r="P31" s="2">
        <v>440.88200000000001</v>
      </c>
      <c r="Q31">
        <v>175</v>
      </c>
      <c r="R31" s="1">
        <v>11155</v>
      </c>
    </row>
    <row r="32" spans="1:18" x14ac:dyDescent="0.25">
      <c r="A32" t="s">
        <v>37</v>
      </c>
      <c r="B32" s="1">
        <v>27429</v>
      </c>
      <c r="C32">
        <v>4.9660000000000002</v>
      </c>
      <c r="D32">
        <v>6.91</v>
      </c>
      <c r="E32">
        <v>1.4E-2</v>
      </c>
      <c r="F32">
        <v>111.96899999999999</v>
      </c>
      <c r="G32" t="s">
        <v>37</v>
      </c>
      <c r="H32" s="1">
        <v>15783</v>
      </c>
      <c r="I32">
        <v>4.9489999999999998</v>
      </c>
      <c r="J32">
        <v>6.8550000000000004</v>
      </c>
      <c r="K32">
        <v>1.4E-2</v>
      </c>
      <c r="L32" s="1">
        <v>52.774999999999999</v>
      </c>
      <c r="M32" t="s">
        <v>37</v>
      </c>
      <c r="N32" s="1">
        <v>11646</v>
      </c>
      <c r="O32">
        <v>4.9880000000000004</v>
      </c>
      <c r="P32">
        <v>6.9829999999999997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27429</v>
      </c>
      <c r="C33">
        <v>1.7689999999999999</v>
      </c>
      <c r="D33">
        <v>2.27</v>
      </c>
      <c r="E33">
        <v>0</v>
      </c>
      <c r="F33">
        <v>12.788</v>
      </c>
      <c r="G33" t="s">
        <v>164</v>
      </c>
      <c r="H33" s="1">
        <v>15783</v>
      </c>
      <c r="I33">
        <v>1.804</v>
      </c>
      <c r="J33">
        <v>2.3199999999999998</v>
      </c>
      <c r="K33">
        <v>0</v>
      </c>
      <c r="L33" s="1">
        <v>12.788</v>
      </c>
      <c r="M33" t="s">
        <v>164</v>
      </c>
      <c r="N33" s="1">
        <v>11646</v>
      </c>
      <c r="O33">
        <v>1.722</v>
      </c>
      <c r="P33">
        <v>2.2000000000000002</v>
      </c>
      <c r="Q33">
        <v>0</v>
      </c>
      <c r="R33">
        <v>12.788</v>
      </c>
    </row>
    <row r="34" spans="1:18" x14ac:dyDescent="0.25">
      <c r="A34" t="s">
        <v>39</v>
      </c>
      <c r="B34" s="1">
        <v>27429</v>
      </c>
      <c r="C34">
        <v>0.34100000000000003</v>
      </c>
      <c r="D34">
        <v>0.27100000000000002</v>
      </c>
      <c r="E34">
        <v>0</v>
      </c>
      <c r="F34">
        <v>2.165</v>
      </c>
      <c r="G34" t="s">
        <v>39</v>
      </c>
      <c r="H34" s="1">
        <v>15783</v>
      </c>
      <c r="I34">
        <v>0.33600000000000002</v>
      </c>
      <c r="J34">
        <v>0.26500000000000001</v>
      </c>
      <c r="K34">
        <v>1.2E-2</v>
      </c>
      <c r="L34" s="1">
        <v>1.7529999999999999</v>
      </c>
      <c r="M34" t="s">
        <v>39</v>
      </c>
      <c r="N34" s="1">
        <v>11646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27429</v>
      </c>
      <c r="C35">
        <v>3.206</v>
      </c>
      <c r="D35">
        <v>3.464</v>
      </c>
      <c r="E35">
        <v>1.4999999999999999E-2</v>
      </c>
      <c r="F35">
        <v>20.402999999999999</v>
      </c>
      <c r="G35" t="s">
        <v>40</v>
      </c>
      <c r="H35" s="1">
        <v>15783</v>
      </c>
      <c r="I35" s="2">
        <v>3.1640000000000001</v>
      </c>
      <c r="J35" s="2">
        <v>3.351</v>
      </c>
      <c r="K35">
        <v>1.4999999999999999E-2</v>
      </c>
      <c r="L35" s="1">
        <v>20.402999999999999</v>
      </c>
      <c r="M35" t="s">
        <v>40</v>
      </c>
      <c r="N35" s="1">
        <v>11646</v>
      </c>
      <c r="O35">
        <v>3.262</v>
      </c>
      <c r="P35">
        <v>3.6120000000000001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27429</v>
      </c>
      <c r="C36">
        <v>7.657</v>
      </c>
      <c r="D36">
        <v>5.1769999999999996</v>
      </c>
      <c r="E36">
        <v>0.99299999999999999</v>
      </c>
      <c r="F36">
        <v>25.135999999999999</v>
      </c>
      <c r="G36" t="s">
        <v>41</v>
      </c>
      <c r="H36" s="1">
        <v>15783</v>
      </c>
      <c r="I36">
        <v>7.7060000000000004</v>
      </c>
      <c r="J36">
        <v>5.202</v>
      </c>
      <c r="K36">
        <v>0.99299999999999999</v>
      </c>
      <c r="L36">
        <v>25.135999999999999</v>
      </c>
      <c r="M36" t="s">
        <v>41</v>
      </c>
      <c r="N36" s="1">
        <v>11646</v>
      </c>
      <c r="O36">
        <v>7.5910000000000002</v>
      </c>
      <c r="P36">
        <v>5.1429999999999998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27429</v>
      </c>
      <c r="C37">
        <v>1.262</v>
      </c>
      <c r="D37">
        <v>6.0789999999999997</v>
      </c>
      <c r="E37">
        <v>4.2999999999999997E-2</v>
      </c>
      <c r="F37">
        <v>196.49</v>
      </c>
      <c r="G37" t="s">
        <v>173</v>
      </c>
      <c r="H37" s="1">
        <v>15783</v>
      </c>
      <c r="I37">
        <v>1.2829999999999999</v>
      </c>
      <c r="J37">
        <v>6.2839999999999998</v>
      </c>
      <c r="K37">
        <v>4.2999999999999997E-2</v>
      </c>
      <c r="L37">
        <v>196.49</v>
      </c>
      <c r="M37" t="s">
        <v>173</v>
      </c>
      <c r="N37" s="1">
        <v>11646</v>
      </c>
      <c r="O37">
        <v>1.2330000000000001</v>
      </c>
      <c r="P37">
        <v>5.7889999999999997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27429</v>
      </c>
      <c r="C38">
        <v>1.9670000000000001</v>
      </c>
      <c r="D38">
        <v>1.3380000000000001</v>
      </c>
      <c r="E38">
        <v>7.0999999999999994E-2</v>
      </c>
      <c r="F38">
        <v>7.2789999999999999</v>
      </c>
      <c r="G38" t="s">
        <v>174</v>
      </c>
      <c r="H38" s="1">
        <v>15783</v>
      </c>
      <c r="I38">
        <v>1.964</v>
      </c>
      <c r="J38">
        <v>1.3440000000000001</v>
      </c>
      <c r="K38">
        <v>7.3999999999999996E-2</v>
      </c>
      <c r="L38">
        <v>7.2789999999999999</v>
      </c>
      <c r="M38" t="s">
        <v>174</v>
      </c>
      <c r="N38" s="1">
        <v>11646</v>
      </c>
      <c r="O38">
        <v>1.9710000000000001</v>
      </c>
      <c r="P38">
        <v>1.33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27429</v>
      </c>
      <c r="C39">
        <v>1.8460000000000001</v>
      </c>
      <c r="D39">
        <v>1.2170000000000001</v>
      </c>
      <c r="E39">
        <v>3.4000000000000002E-2</v>
      </c>
      <c r="F39">
        <v>6.8040000000000003</v>
      </c>
      <c r="G39" t="s">
        <v>175</v>
      </c>
      <c r="H39" s="1">
        <v>15783</v>
      </c>
      <c r="I39">
        <v>1.86</v>
      </c>
      <c r="J39">
        <v>1.2190000000000001</v>
      </c>
      <c r="K39">
        <v>3.4000000000000002E-2</v>
      </c>
      <c r="L39">
        <v>6.8040000000000003</v>
      </c>
      <c r="M39" t="s">
        <v>175</v>
      </c>
      <c r="N39" s="1">
        <v>11646</v>
      </c>
      <c r="O39">
        <v>1.8280000000000001</v>
      </c>
      <c r="P39">
        <v>1.214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27429</v>
      </c>
      <c r="C40">
        <v>0.27700000000000002</v>
      </c>
      <c r="D40">
        <v>0.17399999999999999</v>
      </c>
      <c r="E40">
        <v>0</v>
      </c>
      <c r="F40">
        <v>1</v>
      </c>
      <c r="G40" t="s">
        <v>42</v>
      </c>
      <c r="H40" s="1">
        <v>15783</v>
      </c>
      <c r="I40">
        <v>0.28299999999999997</v>
      </c>
      <c r="J40">
        <v>0.17199999999999999</v>
      </c>
      <c r="K40">
        <v>0</v>
      </c>
      <c r="L40">
        <v>1</v>
      </c>
      <c r="M40" t="s">
        <v>42</v>
      </c>
      <c r="N40" s="1">
        <v>11646</v>
      </c>
      <c r="O40">
        <v>0.26800000000000002</v>
      </c>
      <c r="P40">
        <v>0.17699999999999999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27429</v>
      </c>
      <c r="C41">
        <v>2.3E-2</v>
      </c>
      <c r="D41">
        <v>3.5000000000000003E-2</v>
      </c>
      <c r="E41">
        <v>0</v>
      </c>
      <c r="F41">
        <v>0.77600000000000002</v>
      </c>
      <c r="G41" t="s">
        <v>43</v>
      </c>
      <c r="H41" s="1">
        <v>15783</v>
      </c>
      <c r="I41">
        <v>2.4E-2</v>
      </c>
      <c r="J41">
        <v>3.1E-2</v>
      </c>
      <c r="K41">
        <v>0</v>
      </c>
      <c r="L41">
        <v>0.77600000000000002</v>
      </c>
      <c r="M41" t="s">
        <v>43</v>
      </c>
      <c r="N41" s="1">
        <v>11646</v>
      </c>
      <c r="O41">
        <v>2.3E-2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27429</v>
      </c>
      <c r="C42">
        <v>0.433</v>
      </c>
      <c r="D42">
        <v>0.183</v>
      </c>
      <c r="E42">
        <v>0</v>
      </c>
      <c r="F42">
        <v>1</v>
      </c>
      <c r="G42" t="s">
        <v>44</v>
      </c>
      <c r="H42" s="1">
        <v>15783</v>
      </c>
      <c r="I42">
        <v>0.42699999999999999</v>
      </c>
      <c r="J42">
        <v>0.17699999999999999</v>
      </c>
      <c r="K42">
        <v>0</v>
      </c>
      <c r="L42">
        <v>1</v>
      </c>
      <c r="M42" t="s">
        <v>44</v>
      </c>
      <c r="N42" s="1">
        <v>11646</v>
      </c>
      <c r="O42">
        <v>0.442</v>
      </c>
      <c r="P42">
        <v>0.191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27429</v>
      </c>
      <c r="C43">
        <v>5.8999999999999997E-2</v>
      </c>
      <c r="D43">
        <v>7.6999999999999999E-2</v>
      </c>
      <c r="E43">
        <v>0</v>
      </c>
      <c r="F43">
        <v>0.64</v>
      </c>
      <c r="G43" t="s">
        <v>45</v>
      </c>
      <c r="H43" s="1">
        <v>15783</v>
      </c>
      <c r="I43">
        <v>0.06</v>
      </c>
      <c r="J43">
        <v>6.9000000000000006E-2</v>
      </c>
      <c r="K43">
        <v>0</v>
      </c>
      <c r="L43">
        <v>0.55700000000000005</v>
      </c>
      <c r="M43" t="s">
        <v>45</v>
      </c>
      <c r="N43" s="1">
        <v>11646</v>
      </c>
      <c r="O43">
        <v>5.8999999999999997E-2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27429</v>
      </c>
      <c r="C44">
        <v>0.82199999999999995</v>
      </c>
      <c r="D44">
        <v>0.2</v>
      </c>
      <c r="E44">
        <v>7.0000000000000007E-2</v>
      </c>
      <c r="F44">
        <v>1</v>
      </c>
      <c r="G44" t="s">
        <v>46</v>
      </c>
      <c r="H44" s="1">
        <v>15783</v>
      </c>
      <c r="I44">
        <v>0.81599999999999995</v>
      </c>
      <c r="J44">
        <v>0.20599999999999999</v>
      </c>
      <c r="K44">
        <v>7.0000000000000007E-2</v>
      </c>
      <c r="L44">
        <v>1</v>
      </c>
      <c r="M44" t="s">
        <v>46</v>
      </c>
      <c r="N44" s="1">
        <v>11646</v>
      </c>
      <c r="O44">
        <v>0.83099999999999996</v>
      </c>
      <c r="P44">
        <v>0.191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27429</v>
      </c>
      <c r="C45">
        <v>0.17699999999999999</v>
      </c>
      <c r="D45">
        <v>0.19900000000000001</v>
      </c>
      <c r="E45">
        <v>0</v>
      </c>
      <c r="F45">
        <v>0.93</v>
      </c>
      <c r="G45" t="s">
        <v>47</v>
      </c>
      <c r="H45" s="1">
        <v>15783</v>
      </c>
      <c r="I45">
        <v>0.184</v>
      </c>
      <c r="J45">
        <v>0.20599999999999999</v>
      </c>
      <c r="K45">
        <v>0</v>
      </c>
      <c r="L45">
        <v>0.93</v>
      </c>
      <c r="M45" t="s">
        <v>47</v>
      </c>
      <c r="N45" s="1">
        <v>11646</v>
      </c>
      <c r="O45">
        <v>0.16800000000000001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27429</v>
      </c>
      <c r="C46" s="2">
        <v>0.54800000000000004</v>
      </c>
      <c r="D46" s="2">
        <v>0.193</v>
      </c>
      <c r="E46" s="2">
        <v>0</v>
      </c>
      <c r="F46" s="2">
        <v>1</v>
      </c>
      <c r="G46" t="s">
        <v>48</v>
      </c>
      <c r="H46" s="1">
        <v>15783</v>
      </c>
      <c r="I46">
        <v>0.53</v>
      </c>
      <c r="J46">
        <v>0.19</v>
      </c>
      <c r="K46">
        <v>0</v>
      </c>
      <c r="L46">
        <v>1</v>
      </c>
      <c r="M46" t="s">
        <v>48</v>
      </c>
      <c r="N46" s="1">
        <v>11646</v>
      </c>
      <c r="O46" s="2">
        <v>0.57199999999999995</v>
      </c>
      <c r="P46" s="2">
        <v>0.19500000000000001</v>
      </c>
      <c r="Q46" s="2">
        <v>0</v>
      </c>
      <c r="R46" s="2">
        <v>1</v>
      </c>
    </row>
    <row r="47" spans="1:18" x14ac:dyDescent="0.25">
      <c r="A47" t="s">
        <v>49</v>
      </c>
      <c r="B47" s="1">
        <v>27429</v>
      </c>
      <c r="C47" s="2">
        <v>0.45100000000000001</v>
      </c>
      <c r="D47" s="2">
        <v>0.193</v>
      </c>
      <c r="E47" s="2">
        <v>0</v>
      </c>
      <c r="F47" s="2">
        <v>1</v>
      </c>
      <c r="G47" t="s">
        <v>49</v>
      </c>
      <c r="H47" s="1">
        <v>15783</v>
      </c>
      <c r="I47">
        <v>0.46899999999999997</v>
      </c>
      <c r="J47">
        <v>0.19</v>
      </c>
      <c r="K47">
        <v>0</v>
      </c>
      <c r="L47">
        <v>1</v>
      </c>
      <c r="M47" t="s">
        <v>49</v>
      </c>
      <c r="N47" s="1">
        <v>11646</v>
      </c>
      <c r="O47" s="2">
        <v>0.42699999999999999</v>
      </c>
      <c r="P47" s="2">
        <v>0.19500000000000001</v>
      </c>
      <c r="Q47" s="2">
        <v>0</v>
      </c>
      <c r="R47" s="2">
        <v>1</v>
      </c>
    </row>
    <row r="48" spans="1:18" x14ac:dyDescent="0.25">
      <c r="A48" t="s">
        <v>50</v>
      </c>
      <c r="B48" s="1">
        <v>27429</v>
      </c>
      <c r="C48">
        <v>12.478999999999999</v>
      </c>
      <c r="D48">
        <v>41.975999999999999</v>
      </c>
      <c r="E48">
        <v>0</v>
      </c>
      <c r="F48" s="1">
        <v>1000</v>
      </c>
      <c r="G48" t="s">
        <v>50</v>
      </c>
      <c r="H48" s="1">
        <v>15783</v>
      </c>
      <c r="I48">
        <v>12.003</v>
      </c>
      <c r="J48">
        <v>39.927</v>
      </c>
      <c r="K48">
        <v>0</v>
      </c>
      <c r="L48">
        <v>651</v>
      </c>
      <c r="M48" t="s">
        <v>50</v>
      </c>
      <c r="N48" s="1">
        <v>11646</v>
      </c>
      <c r="O48">
        <v>13.124000000000001</v>
      </c>
      <c r="P48">
        <v>44.595999999999997</v>
      </c>
      <c r="Q48">
        <v>0</v>
      </c>
      <c r="R48" s="1">
        <v>1000</v>
      </c>
    </row>
    <row r="49" spans="1:18" x14ac:dyDescent="0.25">
      <c r="A49" t="s">
        <v>51</v>
      </c>
      <c r="B49" s="1">
        <v>27429</v>
      </c>
      <c r="C49" s="2">
        <v>1.218</v>
      </c>
      <c r="D49" s="2">
        <v>1.823</v>
      </c>
      <c r="E49" s="2">
        <v>0</v>
      </c>
      <c r="F49" s="2">
        <v>36</v>
      </c>
      <c r="G49" t="s">
        <v>51</v>
      </c>
      <c r="H49" s="1">
        <v>15783</v>
      </c>
      <c r="I49">
        <v>1.2030000000000001</v>
      </c>
      <c r="J49">
        <v>1.8140000000000001</v>
      </c>
      <c r="K49">
        <v>0</v>
      </c>
      <c r="L49">
        <v>36</v>
      </c>
      <c r="M49" t="s">
        <v>51</v>
      </c>
      <c r="N49" s="1">
        <v>11646</v>
      </c>
      <c r="O49" s="2">
        <v>1.2390000000000001</v>
      </c>
      <c r="P49" s="2">
        <v>1.835</v>
      </c>
      <c r="Q49" s="2">
        <v>0</v>
      </c>
      <c r="R49" s="2">
        <v>23</v>
      </c>
    </row>
    <row r="50" spans="1:18" x14ac:dyDescent="0.25">
      <c r="A50" t="s">
        <v>52</v>
      </c>
      <c r="B50" s="1">
        <v>27429</v>
      </c>
      <c r="C50" s="2">
        <v>0.373</v>
      </c>
      <c r="D50" s="2">
        <v>0.48399999999999999</v>
      </c>
      <c r="E50" s="2">
        <v>0</v>
      </c>
      <c r="F50" s="2">
        <v>1</v>
      </c>
      <c r="G50" t="s">
        <v>52</v>
      </c>
      <c r="H50" s="1">
        <v>15783</v>
      </c>
      <c r="I50">
        <v>0.36199999999999999</v>
      </c>
      <c r="J50">
        <v>0.48099999999999998</v>
      </c>
      <c r="K50">
        <v>0</v>
      </c>
      <c r="L50">
        <v>1</v>
      </c>
      <c r="M50" t="s">
        <v>52</v>
      </c>
      <c r="N50" s="1">
        <v>11646</v>
      </c>
      <c r="O50" s="2">
        <v>0.38800000000000001</v>
      </c>
      <c r="P50" s="2">
        <v>0.48699999999999999</v>
      </c>
      <c r="Q50" s="2">
        <v>0</v>
      </c>
      <c r="R50" s="2">
        <v>1</v>
      </c>
    </row>
    <row r="51" spans="1:18" x14ac:dyDescent="0.25">
      <c r="A51" t="s">
        <v>53</v>
      </c>
      <c r="B51" s="1">
        <v>27429</v>
      </c>
      <c r="C51" s="2">
        <v>2359771</v>
      </c>
      <c r="D51" s="2">
        <v>6929.8639999999996</v>
      </c>
      <c r="E51" s="2">
        <v>2351041</v>
      </c>
      <c r="F51" s="2">
        <v>2400056</v>
      </c>
      <c r="G51" t="s">
        <v>53</v>
      </c>
      <c r="H51" s="1">
        <v>15783</v>
      </c>
      <c r="I51" s="2">
        <v>2359851</v>
      </c>
      <c r="J51" s="2">
        <v>6988.9409999999998</v>
      </c>
      <c r="K51" s="2">
        <v>2351041</v>
      </c>
      <c r="L51" s="2">
        <v>2400056</v>
      </c>
      <c r="M51" t="s">
        <v>53</v>
      </c>
      <c r="N51" s="1">
        <v>11646</v>
      </c>
      <c r="O51" s="2">
        <v>2359663</v>
      </c>
      <c r="P51" s="2">
        <v>6847.8040000000001</v>
      </c>
      <c r="Q51" s="2">
        <v>2351041</v>
      </c>
      <c r="R51" s="2">
        <v>2400056</v>
      </c>
    </row>
    <row r="52" spans="1:18" x14ac:dyDescent="0.25">
      <c r="A52" t="s">
        <v>54</v>
      </c>
      <c r="B52" s="1">
        <v>27429</v>
      </c>
      <c r="C52" s="2">
        <v>614141.9</v>
      </c>
      <c r="D52" s="2">
        <v>11656.9</v>
      </c>
      <c r="E52" s="2">
        <v>580446.1</v>
      </c>
      <c r="F52" s="2">
        <v>637819.69999999995</v>
      </c>
      <c r="G52" t="s">
        <v>54</v>
      </c>
      <c r="H52" s="1">
        <v>15783</v>
      </c>
      <c r="I52" s="2">
        <v>614083.19999999995</v>
      </c>
      <c r="J52" s="2">
        <v>11551.72</v>
      </c>
      <c r="K52" s="2">
        <v>580446.1</v>
      </c>
      <c r="L52" s="2">
        <v>637819.69999999995</v>
      </c>
      <c r="M52" t="s">
        <v>54</v>
      </c>
      <c r="N52" s="1">
        <v>11646</v>
      </c>
      <c r="O52" s="2">
        <v>614221.4</v>
      </c>
      <c r="P52" s="2">
        <v>11797.98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27429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15783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11646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27429</v>
      </c>
      <c r="C54" s="2">
        <v>0</v>
      </c>
      <c r="D54">
        <v>0</v>
      </c>
      <c r="E54" s="1">
        <v>0</v>
      </c>
      <c r="F54" s="1">
        <v>0</v>
      </c>
      <c r="G54" t="s">
        <v>57</v>
      </c>
      <c r="H54" s="1">
        <v>15783</v>
      </c>
      <c r="I54" s="2">
        <v>0</v>
      </c>
      <c r="J54" s="2">
        <v>0</v>
      </c>
      <c r="K54" s="2">
        <v>0</v>
      </c>
      <c r="L54" s="2">
        <v>0</v>
      </c>
      <c r="M54" t="s">
        <v>57</v>
      </c>
      <c r="N54" s="1">
        <v>11646</v>
      </c>
      <c r="O54" s="2">
        <v>0</v>
      </c>
      <c r="P54">
        <v>0</v>
      </c>
      <c r="Q54" s="1">
        <v>0</v>
      </c>
      <c r="R54" s="1">
        <v>0</v>
      </c>
    </row>
    <row r="55" spans="1:18" x14ac:dyDescent="0.25">
      <c r="A55" t="s">
        <v>58</v>
      </c>
      <c r="B55" s="1">
        <v>27429</v>
      </c>
      <c r="C55">
        <v>0.26200000000000001</v>
      </c>
      <c r="D55">
        <v>0.44</v>
      </c>
      <c r="E55">
        <v>0</v>
      </c>
      <c r="F55">
        <v>1</v>
      </c>
      <c r="G55" t="s">
        <v>58</v>
      </c>
      <c r="H55" s="1">
        <v>15783</v>
      </c>
      <c r="I55" s="2">
        <v>0.27600000000000002</v>
      </c>
      <c r="J55" s="2">
        <v>0.44700000000000001</v>
      </c>
      <c r="K55" s="2">
        <v>0</v>
      </c>
      <c r="L55" s="2">
        <v>1</v>
      </c>
      <c r="M55" t="s">
        <v>58</v>
      </c>
      <c r="N55" s="1">
        <v>11646</v>
      </c>
      <c r="O55">
        <v>0.24399999999999999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27429</v>
      </c>
      <c r="C56">
        <v>0.214</v>
      </c>
      <c r="D56">
        <v>0.41</v>
      </c>
      <c r="E56">
        <v>0</v>
      </c>
      <c r="F56">
        <v>1</v>
      </c>
      <c r="G56" t="s">
        <v>59</v>
      </c>
      <c r="H56" s="1">
        <v>15783</v>
      </c>
      <c r="I56" s="2">
        <v>0.217</v>
      </c>
      <c r="J56" s="2">
        <v>0.41199999999999998</v>
      </c>
      <c r="K56" s="2">
        <v>0</v>
      </c>
      <c r="L56" s="2">
        <v>1</v>
      </c>
      <c r="M56" t="s">
        <v>59</v>
      </c>
      <c r="N56" s="1">
        <v>11646</v>
      </c>
      <c r="O56">
        <v>0.21099999999999999</v>
      </c>
      <c r="P56">
        <v>0.40799999999999997</v>
      </c>
      <c r="Q56">
        <v>0</v>
      </c>
      <c r="R56">
        <v>1</v>
      </c>
    </row>
    <row r="57" spans="1:18" x14ac:dyDescent="0.25">
      <c r="A57" t="s">
        <v>60</v>
      </c>
      <c r="B57" s="1">
        <v>27429</v>
      </c>
      <c r="C57" s="2">
        <v>0.52300000000000002</v>
      </c>
      <c r="D57">
        <v>0.499</v>
      </c>
      <c r="E57" s="1">
        <v>0</v>
      </c>
      <c r="F57" s="1">
        <v>1</v>
      </c>
      <c r="G57" t="s">
        <v>60</v>
      </c>
      <c r="H57" s="1">
        <v>15783</v>
      </c>
      <c r="I57">
        <v>0.50700000000000001</v>
      </c>
      <c r="J57">
        <v>0.5</v>
      </c>
      <c r="K57">
        <v>0</v>
      </c>
      <c r="L57">
        <v>1</v>
      </c>
      <c r="M57" t="s">
        <v>60</v>
      </c>
      <c r="N57" s="1">
        <v>11646</v>
      </c>
      <c r="O57" s="2">
        <v>0.54500000000000004</v>
      </c>
      <c r="P57">
        <v>0.498</v>
      </c>
      <c r="Q57" s="1">
        <v>0</v>
      </c>
      <c r="R57" s="1">
        <v>1</v>
      </c>
    </row>
    <row r="58" spans="1:18" x14ac:dyDescent="0.25">
      <c r="A58" t="s">
        <v>61</v>
      </c>
      <c r="B58" s="1">
        <v>27429</v>
      </c>
      <c r="C58" s="2">
        <v>2019.056</v>
      </c>
      <c r="D58">
        <v>2.0099999999999998</v>
      </c>
      <c r="E58" s="1">
        <v>2016</v>
      </c>
      <c r="F58" s="1">
        <v>2023</v>
      </c>
      <c r="G58" t="s">
        <v>61</v>
      </c>
      <c r="H58" s="1">
        <v>15783</v>
      </c>
      <c r="I58" s="2">
        <v>2017.5650000000001</v>
      </c>
      <c r="J58">
        <v>1.167</v>
      </c>
      <c r="K58" s="1">
        <v>2016</v>
      </c>
      <c r="L58" s="1">
        <v>2020</v>
      </c>
      <c r="M58" t="s">
        <v>61</v>
      </c>
      <c r="N58" s="1">
        <v>11646</v>
      </c>
      <c r="O58" s="2">
        <v>2021.077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27429</v>
      </c>
      <c r="C59" s="2">
        <v>0.111</v>
      </c>
      <c r="D59">
        <v>0.314</v>
      </c>
      <c r="E59" s="1">
        <v>0</v>
      </c>
      <c r="F59" s="1">
        <v>1</v>
      </c>
      <c r="G59" t="s">
        <v>62</v>
      </c>
      <c r="H59" s="1">
        <v>15783</v>
      </c>
      <c r="I59" s="2">
        <v>0.114</v>
      </c>
      <c r="J59">
        <v>0.317</v>
      </c>
      <c r="K59" s="1">
        <v>0</v>
      </c>
      <c r="L59" s="1">
        <v>1</v>
      </c>
      <c r="M59" t="s">
        <v>62</v>
      </c>
      <c r="N59" s="1">
        <v>11646</v>
      </c>
      <c r="O59" s="2">
        <v>0.107</v>
      </c>
      <c r="P59">
        <v>0.309</v>
      </c>
      <c r="Q59" s="1">
        <v>0</v>
      </c>
      <c r="R59" s="1">
        <v>1</v>
      </c>
    </row>
    <row r="60" spans="1:18" x14ac:dyDescent="0.25">
      <c r="A60" t="s">
        <v>63</v>
      </c>
      <c r="B60" s="1">
        <v>27429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15783</v>
      </c>
      <c r="I60" s="2">
        <v>2.9999999999999997E-4</v>
      </c>
      <c r="J60">
        <v>1.7999999999999999E-2</v>
      </c>
      <c r="K60" s="1">
        <v>0</v>
      </c>
      <c r="L60" s="1">
        <v>1</v>
      </c>
      <c r="M60" t="s">
        <v>63</v>
      </c>
      <c r="N60" s="1">
        <v>11646</v>
      </c>
      <c r="O60">
        <v>1E-3</v>
      </c>
      <c r="P60">
        <v>2.9000000000000001E-2</v>
      </c>
      <c r="Q60">
        <v>0</v>
      </c>
      <c r="R60">
        <v>1</v>
      </c>
    </row>
    <row r="61" spans="1:18" x14ac:dyDescent="0.25">
      <c r="A61" t="s">
        <v>64</v>
      </c>
      <c r="B61" s="1">
        <v>27429</v>
      </c>
      <c r="C61">
        <v>5.2999999999999999E-2</v>
      </c>
      <c r="D61">
        <v>0.22500000000000001</v>
      </c>
      <c r="E61">
        <v>0</v>
      </c>
      <c r="F61">
        <v>1</v>
      </c>
      <c r="G61" t="s">
        <v>64</v>
      </c>
      <c r="H61" s="1">
        <v>15783</v>
      </c>
      <c r="I61" s="2">
        <v>5.0999999999999997E-2</v>
      </c>
      <c r="J61">
        <v>0.219</v>
      </c>
      <c r="K61" s="1">
        <v>0</v>
      </c>
      <c r="L61" s="1">
        <v>1</v>
      </c>
      <c r="M61" t="s">
        <v>64</v>
      </c>
      <c r="N61" s="1">
        <v>11646</v>
      </c>
      <c r="O61">
        <v>5.7000000000000002E-2</v>
      </c>
      <c r="P61">
        <v>0.23200000000000001</v>
      </c>
      <c r="Q61">
        <v>0</v>
      </c>
      <c r="R61">
        <v>1</v>
      </c>
    </row>
    <row r="62" spans="1:18" x14ac:dyDescent="0.25">
      <c r="A62" t="s">
        <v>65</v>
      </c>
      <c r="B62" s="1">
        <v>27429</v>
      </c>
      <c r="C62">
        <v>0.23</v>
      </c>
      <c r="D62">
        <v>0.42099999999999999</v>
      </c>
      <c r="E62">
        <v>0</v>
      </c>
      <c r="F62">
        <v>1</v>
      </c>
      <c r="G62" t="s">
        <v>65</v>
      </c>
      <c r="H62" s="1">
        <v>15783</v>
      </c>
      <c r="I62" s="2">
        <v>0.23799999999999999</v>
      </c>
      <c r="J62">
        <v>0.42599999999999999</v>
      </c>
      <c r="K62" s="1">
        <v>0</v>
      </c>
      <c r="L62" s="1">
        <v>1</v>
      </c>
      <c r="M62" t="s">
        <v>65</v>
      </c>
      <c r="N62" s="1">
        <v>11646</v>
      </c>
      <c r="O62">
        <v>0.22</v>
      </c>
      <c r="P62">
        <v>0.41399999999999998</v>
      </c>
      <c r="Q62">
        <v>0</v>
      </c>
      <c r="R62">
        <v>1</v>
      </c>
    </row>
    <row r="63" spans="1:18" x14ac:dyDescent="0.25">
      <c r="A63" t="s">
        <v>66</v>
      </c>
      <c r="B63" s="1">
        <v>27429</v>
      </c>
      <c r="C63">
        <v>0.28599999999999998</v>
      </c>
      <c r="D63">
        <v>0.45200000000000001</v>
      </c>
      <c r="E63">
        <v>0</v>
      </c>
      <c r="F63">
        <v>1</v>
      </c>
      <c r="G63" t="s">
        <v>66</v>
      </c>
      <c r="H63" s="1">
        <v>15783</v>
      </c>
      <c r="I63" s="2">
        <v>0.27800000000000002</v>
      </c>
      <c r="J63">
        <v>0.44800000000000001</v>
      </c>
      <c r="K63" s="1">
        <v>0</v>
      </c>
      <c r="L63" s="1">
        <v>1</v>
      </c>
      <c r="M63" t="s">
        <v>66</v>
      </c>
      <c r="N63" s="1">
        <v>11646</v>
      </c>
      <c r="O63">
        <v>0.29799999999999999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27429</v>
      </c>
      <c r="C64">
        <v>6.6000000000000003E-2</v>
      </c>
      <c r="D64">
        <v>0.249</v>
      </c>
      <c r="E64">
        <v>0</v>
      </c>
      <c r="F64">
        <v>1</v>
      </c>
      <c r="G64" t="s">
        <v>67</v>
      </c>
      <c r="H64" s="1">
        <v>15783</v>
      </c>
      <c r="I64">
        <v>6.8000000000000005E-2</v>
      </c>
      <c r="J64">
        <v>0.252</v>
      </c>
      <c r="K64">
        <v>0</v>
      </c>
      <c r="L64">
        <v>1</v>
      </c>
      <c r="M64" t="s">
        <v>67</v>
      </c>
      <c r="N64" s="1">
        <v>11646</v>
      </c>
      <c r="O64">
        <v>6.4000000000000001E-2</v>
      </c>
      <c r="P64">
        <v>0.246</v>
      </c>
      <c r="Q64">
        <v>0</v>
      </c>
      <c r="R64">
        <v>1</v>
      </c>
    </row>
    <row r="65" spans="1:18" x14ac:dyDescent="0.25">
      <c r="A65" t="s">
        <v>68</v>
      </c>
      <c r="B65" s="1">
        <v>27429</v>
      </c>
      <c r="C65">
        <v>0.19700000000000001</v>
      </c>
      <c r="D65">
        <v>0.39700000000000002</v>
      </c>
      <c r="E65">
        <v>0</v>
      </c>
      <c r="F65">
        <v>1</v>
      </c>
      <c r="G65" t="s">
        <v>68</v>
      </c>
      <c r="H65" s="1">
        <v>15783</v>
      </c>
      <c r="I65">
        <v>0.191</v>
      </c>
      <c r="J65">
        <v>0.39300000000000002</v>
      </c>
      <c r="K65">
        <v>0</v>
      </c>
      <c r="L65">
        <v>1</v>
      </c>
      <c r="M65" t="s">
        <v>68</v>
      </c>
      <c r="N65" s="1">
        <v>11646</v>
      </c>
      <c r="O65">
        <v>0.20399999999999999</v>
      </c>
      <c r="P65">
        <v>0.40300000000000002</v>
      </c>
      <c r="Q65">
        <v>0</v>
      </c>
      <c r="R65">
        <v>1</v>
      </c>
    </row>
    <row r="66" spans="1:18" x14ac:dyDescent="0.25">
      <c r="A66" t="s">
        <v>69</v>
      </c>
      <c r="B66" s="1">
        <v>27429</v>
      </c>
      <c r="C66">
        <v>5.6000000000000001E-2</v>
      </c>
      <c r="D66">
        <v>0.23</v>
      </c>
      <c r="E66">
        <v>0</v>
      </c>
      <c r="F66">
        <v>1</v>
      </c>
      <c r="G66" t="s">
        <v>69</v>
      </c>
      <c r="H66" s="1">
        <v>15783</v>
      </c>
      <c r="I66">
        <v>6.0999999999999999E-2</v>
      </c>
      <c r="J66">
        <v>0.23899999999999999</v>
      </c>
      <c r="K66">
        <v>0</v>
      </c>
      <c r="L66">
        <v>1</v>
      </c>
      <c r="M66" t="s">
        <v>69</v>
      </c>
      <c r="N66" s="1">
        <v>11646</v>
      </c>
      <c r="O66">
        <v>4.9000000000000002E-2</v>
      </c>
      <c r="P66">
        <v>0.217</v>
      </c>
      <c r="Q66">
        <v>0</v>
      </c>
      <c r="R66">
        <v>1</v>
      </c>
    </row>
    <row r="67" spans="1:18" x14ac:dyDescent="0.25">
      <c r="A67" t="s">
        <v>70</v>
      </c>
      <c r="B67" s="1">
        <v>27429</v>
      </c>
      <c r="C67">
        <v>0.17399999999999999</v>
      </c>
      <c r="D67">
        <v>0.379</v>
      </c>
      <c r="E67">
        <v>0</v>
      </c>
      <c r="F67">
        <v>1</v>
      </c>
      <c r="G67" t="s">
        <v>70</v>
      </c>
      <c r="H67" s="1">
        <v>15783</v>
      </c>
      <c r="I67">
        <v>0.17399999999999999</v>
      </c>
      <c r="J67">
        <v>0.379</v>
      </c>
      <c r="K67">
        <v>0</v>
      </c>
      <c r="L67">
        <v>1</v>
      </c>
      <c r="M67" t="s">
        <v>70</v>
      </c>
      <c r="N67" s="1">
        <v>11646</v>
      </c>
      <c r="O67">
        <v>0.17499999999999999</v>
      </c>
      <c r="P67">
        <v>0.38</v>
      </c>
      <c r="Q67">
        <v>0</v>
      </c>
      <c r="R67">
        <v>1</v>
      </c>
    </row>
    <row r="68" spans="1:18" x14ac:dyDescent="0.25">
      <c r="A68" t="s">
        <v>71</v>
      </c>
      <c r="B68" s="1">
        <v>27429</v>
      </c>
      <c r="C68">
        <v>0.36</v>
      </c>
      <c r="D68">
        <v>0.48</v>
      </c>
      <c r="E68">
        <v>0</v>
      </c>
      <c r="F68">
        <v>1</v>
      </c>
      <c r="G68" t="s">
        <v>71</v>
      </c>
      <c r="H68" s="1">
        <v>15783</v>
      </c>
      <c r="I68">
        <v>0.375</v>
      </c>
      <c r="J68">
        <v>0.48399999999999999</v>
      </c>
      <c r="K68">
        <v>0</v>
      </c>
      <c r="L68">
        <v>1</v>
      </c>
      <c r="M68" t="s">
        <v>71</v>
      </c>
      <c r="N68" s="1">
        <v>11646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27429</v>
      </c>
      <c r="C69">
        <v>0.441</v>
      </c>
      <c r="D69">
        <v>0.496</v>
      </c>
      <c r="E69">
        <v>0</v>
      </c>
      <c r="F69">
        <v>1</v>
      </c>
      <c r="G69" t="s">
        <v>72</v>
      </c>
      <c r="H69" s="1">
        <v>15783</v>
      </c>
      <c r="I69">
        <v>0.42599999999999999</v>
      </c>
      <c r="J69">
        <v>0.49399999999999999</v>
      </c>
      <c r="K69">
        <v>0</v>
      </c>
      <c r="L69">
        <v>1</v>
      </c>
      <c r="M69" t="s">
        <v>72</v>
      </c>
      <c r="N69" s="1">
        <v>11646</v>
      </c>
      <c r="O69">
        <v>0.46100000000000002</v>
      </c>
      <c r="P69">
        <v>0.498</v>
      </c>
      <c r="Q69">
        <v>0</v>
      </c>
      <c r="R69">
        <v>1</v>
      </c>
    </row>
    <row r="70" spans="1:18" x14ac:dyDescent="0.25">
      <c r="A70" t="s">
        <v>73</v>
      </c>
      <c r="B70" s="1">
        <v>27429</v>
      </c>
      <c r="C70">
        <v>2.5000000000000001E-2</v>
      </c>
      <c r="D70">
        <v>0.156</v>
      </c>
      <c r="E70">
        <v>0</v>
      </c>
      <c r="F70">
        <v>1</v>
      </c>
      <c r="G70" t="s">
        <v>73</v>
      </c>
      <c r="H70" s="1">
        <v>15783</v>
      </c>
      <c r="I70">
        <v>2.5000000000000001E-2</v>
      </c>
      <c r="J70">
        <v>0.157</v>
      </c>
      <c r="K70">
        <v>0</v>
      </c>
      <c r="L70">
        <v>1</v>
      </c>
      <c r="M70" t="s">
        <v>73</v>
      </c>
      <c r="N70" s="1">
        <v>11646</v>
      </c>
      <c r="O70">
        <v>2.5000000000000001E-2</v>
      </c>
      <c r="P70">
        <v>0.155</v>
      </c>
      <c r="Q70">
        <v>0</v>
      </c>
      <c r="R70">
        <v>1</v>
      </c>
    </row>
    <row r="71" spans="1:18" x14ac:dyDescent="0.25">
      <c r="A71" t="s">
        <v>165</v>
      </c>
      <c r="B71" s="1">
        <v>27429</v>
      </c>
      <c r="C71">
        <v>0.1</v>
      </c>
      <c r="D71">
        <v>0.30099999999999999</v>
      </c>
      <c r="E71">
        <v>0</v>
      </c>
      <c r="F71">
        <v>1</v>
      </c>
      <c r="G71" t="s">
        <v>165</v>
      </c>
      <c r="H71" s="1">
        <v>15783</v>
      </c>
      <c r="I71">
        <v>0.10299999999999999</v>
      </c>
      <c r="J71">
        <v>0.30399999999999999</v>
      </c>
      <c r="K71">
        <v>0</v>
      </c>
      <c r="L71">
        <v>1</v>
      </c>
      <c r="M71" t="s">
        <v>165</v>
      </c>
      <c r="N71" s="1">
        <v>11646</v>
      </c>
      <c r="O71">
        <v>9.6000000000000002E-2</v>
      </c>
      <c r="P71">
        <v>0.29499999999999998</v>
      </c>
      <c r="Q71">
        <v>0</v>
      </c>
      <c r="R71">
        <v>1</v>
      </c>
    </row>
    <row r="72" spans="1:18" x14ac:dyDescent="0.25">
      <c r="A72" t="s">
        <v>166</v>
      </c>
      <c r="B72" s="1">
        <v>27429</v>
      </c>
      <c r="C72">
        <v>0.441</v>
      </c>
      <c r="D72">
        <v>0.496</v>
      </c>
      <c r="E72">
        <v>0</v>
      </c>
      <c r="F72">
        <v>1</v>
      </c>
      <c r="G72" t="s">
        <v>166</v>
      </c>
      <c r="H72" s="1">
        <v>15783</v>
      </c>
      <c r="I72">
        <v>0.433</v>
      </c>
      <c r="J72">
        <v>0.495</v>
      </c>
      <c r="K72">
        <v>0</v>
      </c>
      <c r="L72">
        <v>1</v>
      </c>
      <c r="M72" t="s">
        <v>166</v>
      </c>
      <c r="N72" s="1">
        <v>11646</v>
      </c>
      <c r="O72">
        <v>0.45100000000000001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27429</v>
      </c>
      <c r="C73">
        <v>0.44</v>
      </c>
      <c r="D73">
        <v>0.496</v>
      </c>
      <c r="E73">
        <v>0</v>
      </c>
      <c r="F73">
        <v>1</v>
      </c>
      <c r="G73" t="s">
        <v>167</v>
      </c>
      <c r="H73" s="1">
        <v>15783</v>
      </c>
      <c r="I73">
        <v>0.44600000000000001</v>
      </c>
      <c r="J73">
        <v>0.497</v>
      </c>
      <c r="K73">
        <v>0</v>
      </c>
      <c r="L73">
        <v>1</v>
      </c>
      <c r="M73" t="s">
        <v>167</v>
      </c>
      <c r="N73" s="1">
        <v>11646</v>
      </c>
      <c r="O73">
        <v>0.432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27429</v>
      </c>
      <c r="C74">
        <v>8.9999999999999993E-3</v>
      </c>
      <c r="D74">
        <v>9.4E-2</v>
      </c>
      <c r="E74">
        <v>0</v>
      </c>
      <c r="F74">
        <v>1</v>
      </c>
      <c r="G74" t="s">
        <v>168</v>
      </c>
      <c r="H74" s="1">
        <v>15783</v>
      </c>
      <c r="I74">
        <v>8.0000000000000002E-3</v>
      </c>
      <c r="J74">
        <v>9.1999999999999998E-2</v>
      </c>
      <c r="K74">
        <v>0</v>
      </c>
      <c r="L74">
        <v>1</v>
      </c>
      <c r="M74" t="s">
        <v>168</v>
      </c>
      <c r="N74" s="1">
        <v>11646</v>
      </c>
      <c r="O74">
        <v>8.9999999999999993E-3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27429</v>
      </c>
      <c r="C75">
        <v>8.9999999999999993E-3</v>
      </c>
      <c r="D75">
        <v>9.4E-2</v>
      </c>
      <c r="E75">
        <v>0</v>
      </c>
      <c r="F75">
        <v>1</v>
      </c>
      <c r="G75" t="s">
        <v>169</v>
      </c>
      <c r="H75" s="1">
        <v>15783</v>
      </c>
      <c r="I75">
        <v>8.0000000000000002E-3</v>
      </c>
      <c r="J75">
        <v>0.09</v>
      </c>
      <c r="K75">
        <v>0</v>
      </c>
      <c r="L75">
        <v>1</v>
      </c>
      <c r="M75" t="s">
        <v>169</v>
      </c>
      <c r="N75" s="1">
        <v>11646</v>
      </c>
      <c r="O75">
        <v>0.01</v>
      </c>
      <c r="P75">
        <v>0.1</v>
      </c>
      <c r="Q75">
        <v>0</v>
      </c>
      <c r="R75">
        <v>1</v>
      </c>
    </row>
    <row r="76" spans="1:18" x14ac:dyDescent="0.25">
      <c r="A76" t="s">
        <v>170</v>
      </c>
      <c r="B76" s="1">
        <v>27429</v>
      </c>
      <c r="C76">
        <v>1E-3</v>
      </c>
      <c r="D76">
        <v>3.4000000000000002E-2</v>
      </c>
      <c r="E76">
        <v>0</v>
      </c>
      <c r="F76">
        <v>1</v>
      </c>
      <c r="G76" t="s">
        <v>170</v>
      </c>
      <c r="H76" s="1">
        <v>15783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11646</v>
      </c>
      <c r="O76">
        <v>1E-3</v>
      </c>
      <c r="P76">
        <v>3.3000000000000002E-2</v>
      </c>
      <c r="Q76">
        <v>0</v>
      </c>
      <c r="R76">
        <v>1</v>
      </c>
    </row>
    <row r="77" spans="1:18" x14ac:dyDescent="0.25">
      <c r="A77" t="s">
        <v>79</v>
      </c>
      <c r="B77" s="1">
        <v>27429</v>
      </c>
      <c r="C77">
        <v>0.19900000000000001</v>
      </c>
      <c r="D77">
        <v>0.39900000000000002</v>
      </c>
      <c r="E77">
        <v>0</v>
      </c>
      <c r="F77">
        <v>1</v>
      </c>
      <c r="G77" t="s">
        <v>79</v>
      </c>
      <c r="H77" s="1">
        <v>15783</v>
      </c>
      <c r="I77">
        <v>0.20200000000000001</v>
      </c>
      <c r="J77">
        <v>0.40100000000000002</v>
      </c>
      <c r="K77">
        <v>0</v>
      </c>
      <c r="L77">
        <v>1</v>
      </c>
      <c r="M77" t="s">
        <v>79</v>
      </c>
      <c r="N77" s="1">
        <v>11646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27429</v>
      </c>
      <c r="C78">
        <v>0.01</v>
      </c>
      <c r="D78">
        <v>0.10100000000000001</v>
      </c>
      <c r="E78">
        <v>0</v>
      </c>
      <c r="F78">
        <v>1</v>
      </c>
      <c r="G78" t="s">
        <v>80</v>
      </c>
      <c r="H78" s="1">
        <v>15783</v>
      </c>
      <c r="I78">
        <v>8.9999999999999993E-3</v>
      </c>
      <c r="J78">
        <v>9.5000000000000001E-2</v>
      </c>
      <c r="K78">
        <v>0</v>
      </c>
      <c r="L78">
        <v>1</v>
      </c>
      <c r="M78" t="s">
        <v>80</v>
      </c>
      <c r="N78" s="1">
        <v>11646</v>
      </c>
      <c r="O78">
        <v>1.2E-2</v>
      </c>
      <c r="P78">
        <v>0.109</v>
      </c>
      <c r="Q78">
        <v>0</v>
      </c>
      <c r="R78">
        <v>1</v>
      </c>
    </row>
    <row r="79" spans="1:18" x14ac:dyDescent="0.25">
      <c r="A79" t="s">
        <v>81</v>
      </c>
      <c r="B79" s="1">
        <v>27429</v>
      </c>
      <c r="C79">
        <v>1E-3</v>
      </c>
      <c r="D79">
        <v>2.3E-2</v>
      </c>
      <c r="E79">
        <v>0</v>
      </c>
      <c r="F79">
        <v>1</v>
      </c>
      <c r="G79" t="s">
        <v>81</v>
      </c>
      <c r="H79" s="1">
        <v>15783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11646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27429</v>
      </c>
      <c r="C80">
        <v>7.3999999999999996E-2</v>
      </c>
      <c r="D80">
        <v>0.26300000000000001</v>
      </c>
      <c r="E80">
        <v>0</v>
      </c>
      <c r="F80">
        <v>1</v>
      </c>
      <c r="G80" t="s">
        <v>82</v>
      </c>
      <c r="H80" s="1">
        <v>15783</v>
      </c>
      <c r="I80">
        <v>7.3999999999999996E-2</v>
      </c>
      <c r="J80">
        <v>0.26200000000000001</v>
      </c>
      <c r="K80">
        <v>0</v>
      </c>
      <c r="L80">
        <v>1</v>
      </c>
      <c r="M80" t="s">
        <v>82</v>
      </c>
      <c r="N80" s="1">
        <v>11646</v>
      </c>
      <c r="O80">
        <v>7.4999999999999997E-2</v>
      </c>
      <c r="P80">
        <v>0.26300000000000001</v>
      </c>
      <c r="Q80">
        <v>0</v>
      </c>
      <c r="R80">
        <v>1</v>
      </c>
    </row>
    <row r="81" spans="1:18" x14ac:dyDescent="0.25">
      <c r="A81" t="s">
        <v>83</v>
      </c>
      <c r="B81" s="1">
        <v>27429</v>
      </c>
      <c r="C81">
        <v>0.31</v>
      </c>
      <c r="D81">
        <v>0.46300000000000002</v>
      </c>
      <c r="E81">
        <v>0</v>
      </c>
      <c r="F81">
        <v>1</v>
      </c>
      <c r="G81" t="s">
        <v>83</v>
      </c>
      <c r="H81" s="1">
        <v>15783</v>
      </c>
      <c r="I81">
        <v>0.314</v>
      </c>
      <c r="J81">
        <v>0.46400000000000002</v>
      </c>
      <c r="K81">
        <v>0</v>
      </c>
      <c r="L81">
        <v>1</v>
      </c>
      <c r="M81" t="s">
        <v>83</v>
      </c>
      <c r="N81" s="1">
        <v>11646</v>
      </c>
      <c r="O81">
        <v>0.30599999999999999</v>
      </c>
      <c r="P81">
        <v>0.46100000000000002</v>
      </c>
      <c r="Q81">
        <v>0</v>
      </c>
      <c r="R81">
        <v>1</v>
      </c>
    </row>
    <row r="82" spans="1:18" x14ac:dyDescent="0.25">
      <c r="A82" t="s">
        <v>84</v>
      </c>
      <c r="B82" s="1">
        <v>27429</v>
      </c>
      <c r="C82">
        <v>8.0000000000000002E-3</v>
      </c>
      <c r="D82">
        <v>8.7999999999999995E-2</v>
      </c>
      <c r="E82">
        <v>0</v>
      </c>
      <c r="F82">
        <v>1</v>
      </c>
      <c r="G82" t="s">
        <v>84</v>
      </c>
      <c r="H82" s="1">
        <v>15783</v>
      </c>
      <c r="I82">
        <v>7.0000000000000001E-3</v>
      </c>
      <c r="J82">
        <v>8.4000000000000005E-2</v>
      </c>
      <c r="K82">
        <v>0</v>
      </c>
      <c r="L82">
        <v>1</v>
      </c>
      <c r="M82" t="s">
        <v>84</v>
      </c>
      <c r="N82" s="1">
        <v>11646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27429</v>
      </c>
      <c r="C83">
        <v>0.39700000000000002</v>
      </c>
      <c r="D83">
        <v>0.48899999999999999</v>
      </c>
      <c r="E83">
        <v>0</v>
      </c>
      <c r="F83">
        <v>1</v>
      </c>
      <c r="G83" t="s">
        <v>85</v>
      </c>
      <c r="H83" s="1">
        <v>15783</v>
      </c>
      <c r="I83">
        <v>0.39300000000000002</v>
      </c>
      <c r="J83">
        <v>0.48899999999999999</v>
      </c>
      <c r="K83">
        <v>0</v>
      </c>
      <c r="L83">
        <v>1</v>
      </c>
      <c r="M83" t="s">
        <v>85</v>
      </c>
      <c r="N83" s="1">
        <v>11646</v>
      </c>
      <c r="O83">
        <v>0.40300000000000002</v>
      </c>
      <c r="P83">
        <v>0.49</v>
      </c>
      <c r="Q83">
        <v>0</v>
      </c>
      <c r="R83">
        <v>1</v>
      </c>
    </row>
    <row r="84" spans="1:18" x14ac:dyDescent="0.25">
      <c r="A84" t="s">
        <v>6</v>
      </c>
      <c r="B84" s="1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  <row r="87" spans="1:18" x14ac:dyDescent="0.25">
      <c r="G87" t="s">
        <v>6</v>
      </c>
      <c r="H87" s="1" t="s">
        <v>7</v>
      </c>
      <c r="I87" t="s">
        <v>8</v>
      </c>
      <c r="J87" t="s">
        <v>162</v>
      </c>
      <c r="K87" t="s">
        <v>8</v>
      </c>
      <c r="L87" t="s">
        <v>9</v>
      </c>
    </row>
    <row r="88" spans="1:18" x14ac:dyDescent="0.25">
      <c r="H8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5F4A-2124-41D9-98CB-37E518A74EB4}">
  <sheetPr codeName="Sheet3"/>
  <dimension ref="A1:R87"/>
  <sheetViews>
    <sheetView workbookViewId="0">
      <selection activeCell="W19" sqref="W19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22965</v>
      </c>
      <c r="C3">
        <v>1.304</v>
      </c>
      <c r="D3">
        <v>0.53500000000000003</v>
      </c>
      <c r="E3">
        <v>1</v>
      </c>
      <c r="F3">
        <v>4</v>
      </c>
      <c r="G3" t="s">
        <v>10</v>
      </c>
      <c r="H3" s="1">
        <v>13263</v>
      </c>
      <c r="I3">
        <v>1.294</v>
      </c>
      <c r="J3">
        <v>0.52800000000000002</v>
      </c>
      <c r="K3">
        <v>1</v>
      </c>
      <c r="L3">
        <v>4</v>
      </c>
      <c r="M3" t="s">
        <v>10</v>
      </c>
      <c r="N3" s="1">
        <v>9702</v>
      </c>
      <c r="O3">
        <v>1.3169999999999999</v>
      </c>
      <c r="P3">
        <v>0.54500000000000004</v>
      </c>
      <c r="Q3">
        <v>1</v>
      </c>
      <c r="R3">
        <v>4</v>
      </c>
    </row>
    <row r="4" spans="1:18" x14ac:dyDescent="0.25">
      <c r="A4" t="s">
        <v>11</v>
      </c>
      <c r="B4" s="1">
        <v>22965</v>
      </c>
      <c r="C4">
        <v>0.42199999999999999</v>
      </c>
      <c r="D4">
        <v>0.49399999999999999</v>
      </c>
      <c r="E4">
        <v>0</v>
      </c>
      <c r="F4">
        <v>1</v>
      </c>
      <c r="G4" t="s">
        <v>11</v>
      </c>
      <c r="H4" s="1">
        <v>13263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9702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22965</v>
      </c>
      <c r="C5">
        <v>0.36699999999999999</v>
      </c>
      <c r="D5">
        <v>0.48199999999999998</v>
      </c>
      <c r="E5">
        <v>0</v>
      </c>
      <c r="F5">
        <v>1</v>
      </c>
      <c r="G5" t="s">
        <v>12</v>
      </c>
      <c r="H5" s="1">
        <v>13263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9702</v>
      </c>
      <c r="O5">
        <v>0.86699999999999999</v>
      </c>
      <c r="P5">
        <v>0.33900000000000002</v>
      </c>
      <c r="Q5">
        <v>0</v>
      </c>
      <c r="R5">
        <v>1</v>
      </c>
    </row>
    <row r="6" spans="1:18" x14ac:dyDescent="0.25">
      <c r="A6" t="s">
        <v>36</v>
      </c>
      <c r="B6" s="1">
        <v>9702</v>
      </c>
      <c r="C6">
        <v>289.673</v>
      </c>
      <c r="D6">
        <v>542.78300000000002</v>
      </c>
      <c r="E6">
        <v>0</v>
      </c>
      <c r="F6" s="1">
        <v>4021</v>
      </c>
      <c r="H6" s="1"/>
      <c r="M6" t="s">
        <v>36</v>
      </c>
      <c r="N6" s="1">
        <v>9702</v>
      </c>
      <c r="O6">
        <v>289.673</v>
      </c>
      <c r="P6">
        <v>542.78300000000002</v>
      </c>
      <c r="Q6">
        <v>0</v>
      </c>
      <c r="R6" s="1">
        <v>4021</v>
      </c>
    </row>
    <row r="7" spans="1:18" x14ac:dyDescent="0.25">
      <c r="A7" t="s">
        <v>13</v>
      </c>
      <c r="B7" s="1">
        <v>22965</v>
      </c>
      <c r="C7">
        <v>2.39</v>
      </c>
      <c r="D7">
        <v>0.97599999999999998</v>
      </c>
      <c r="E7">
        <v>0</v>
      </c>
      <c r="F7">
        <v>17</v>
      </c>
      <c r="G7" t="s">
        <v>13</v>
      </c>
      <c r="H7" s="1">
        <v>13263</v>
      </c>
      <c r="I7">
        <v>2.3530000000000002</v>
      </c>
      <c r="J7">
        <v>0.94099999999999995</v>
      </c>
      <c r="K7">
        <v>0</v>
      </c>
      <c r="L7">
        <v>17</v>
      </c>
      <c r="M7" t="s">
        <v>13</v>
      </c>
      <c r="N7" s="1">
        <v>9702</v>
      </c>
      <c r="O7">
        <v>2.4409999999999998</v>
      </c>
      <c r="P7">
        <v>1.018</v>
      </c>
      <c r="Q7">
        <v>0</v>
      </c>
      <c r="R7">
        <v>15</v>
      </c>
    </row>
    <row r="8" spans="1:18" x14ac:dyDescent="0.25">
      <c r="A8" t="s">
        <v>14</v>
      </c>
      <c r="B8" s="1">
        <v>22965</v>
      </c>
      <c r="C8">
        <v>0.39300000000000002</v>
      </c>
      <c r="D8">
        <v>0.52500000000000002</v>
      </c>
      <c r="E8">
        <v>0</v>
      </c>
      <c r="F8">
        <v>5</v>
      </c>
      <c r="G8" t="s">
        <v>14</v>
      </c>
      <c r="H8" s="1">
        <v>13263</v>
      </c>
      <c r="I8">
        <v>0.39600000000000002</v>
      </c>
      <c r="J8">
        <v>0.51900000000000002</v>
      </c>
      <c r="K8">
        <v>0</v>
      </c>
      <c r="L8">
        <v>5</v>
      </c>
      <c r="M8" t="s">
        <v>14</v>
      </c>
      <c r="N8" s="1">
        <v>9702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22965</v>
      </c>
      <c r="C9">
        <v>3.7890000000000001</v>
      </c>
      <c r="D9">
        <v>1.2430000000000001</v>
      </c>
      <c r="E9">
        <v>0</v>
      </c>
      <c r="F9">
        <v>25</v>
      </c>
      <c r="G9" t="s">
        <v>15</v>
      </c>
      <c r="H9" s="1">
        <v>13263</v>
      </c>
      <c r="I9">
        <v>3.7410000000000001</v>
      </c>
      <c r="J9">
        <v>1.194</v>
      </c>
      <c r="K9">
        <v>0</v>
      </c>
      <c r="L9">
        <v>18</v>
      </c>
      <c r="M9" t="s">
        <v>15</v>
      </c>
      <c r="N9" s="1">
        <v>9702</v>
      </c>
      <c r="O9">
        <v>3.8540000000000001</v>
      </c>
      <c r="P9">
        <v>1.3049999999999999</v>
      </c>
      <c r="Q9">
        <v>0</v>
      </c>
      <c r="R9">
        <v>25</v>
      </c>
    </row>
    <row r="10" spans="1:18" x14ac:dyDescent="0.25">
      <c r="A10" t="s">
        <v>16</v>
      </c>
      <c r="B10" s="1">
        <v>22965</v>
      </c>
      <c r="C10">
        <v>42.317999999999998</v>
      </c>
      <c r="D10">
        <v>56.517000000000003</v>
      </c>
      <c r="E10">
        <v>0</v>
      </c>
      <c r="F10" s="1">
        <v>1402</v>
      </c>
      <c r="G10" t="s">
        <v>16</v>
      </c>
      <c r="H10" s="1">
        <v>13263</v>
      </c>
      <c r="I10">
        <v>51.587000000000003</v>
      </c>
      <c r="J10">
        <v>59.843000000000004</v>
      </c>
      <c r="K10">
        <v>0</v>
      </c>
      <c r="L10" s="1">
        <v>1402</v>
      </c>
      <c r="M10" t="s">
        <v>16</v>
      </c>
      <c r="N10" s="1">
        <v>9702</v>
      </c>
      <c r="O10">
        <v>29.646000000000001</v>
      </c>
      <c r="P10">
        <v>48.86</v>
      </c>
      <c r="Q10">
        <v>0</v>
      </c>
      <c r="R10">
        <v>593</v>
      </c>
    </row>
    <row r="11" spans="1:18" x14ac:dyDescent="0.25">
      <c r="A11" t="s">
        <v>163</v>
      </c>
      <c r="B11" s="1">
        <v>22965</v>
      </c>
      <c r="C11" s="2">
        <v>1865.72</v>
      </c>
      <c r="D11">
        <v>900.673</v>
      </c>
      <c r="E11">
        <v>220</v>
      </c>
      <c r="F11" s="1">
        <v>17408</v>
      </c>
      <c r="G11" t="s">
        <v>163</v>
      </c>
      <c r="H11" s="1">
        <v>13263</v>
      </c>
      <c r="I11" s="2">
        <v>1836.777</v>
      </c>
      <c r="J11">
        <v>867.12099999999998</v>
      </c>
      <c r="K11">
        <v>420</v>
      </c>
      <c r="L11" s="1">
        <v>17408</v>
      </c>
      <c r="M11" t="s">
        <v>163</v>
      </c>
      <c r="N11" s="1">
        <v>9702</v>
      </c>
      <c r="O11" s="2">
        <v>1905.2860000000001</v>
      </c>
      <c r="P11">
        <v>943.22400000000005</v>
      </c>
      <c r="Q11">
        <v>220</v>
      </c>
      <c r="R11" s="1">
        <v>16703</v>
      </c>
    </row>
    <row r="12" spans="1:18" x14ac:dyDescent="0.25">
      <c r="A12" t="s">
        <v>17</v>
      </c>
      <c r="B12" s="1">
        <v>22965</v>
      </c>
      <c r="C12">
        <v>329.88499999999999</v>
      </c>
      <c r="D12">
        <v>233.65100000000001</v>
      </c>
      <c r="E12">
        <v>0</v>
      </c>
      <c r="F12" s="1">
        <v>5000</v>
      </c>
      <c r="G12" t="s">
        <v>17</v>
      </c>
      <c r="H12" s="1">
        <v>13263</v>
      </c>
      <c r="I12" s="2">
        <v>329.20699999999999</v>
      </c>
      <c r="J12">
        <v>234.36099999999999</v>
      </c>
      <c r="K12">
        <v>0</v>
      </c>
      <c r="L12" s="1">
        <v>5000</v>
      </c>
      <c r="M12" t="s">
        <v>17</v>
      </c>
      <c r="N12" s="1">
        <v>9702</v>
      </c>
      <c r="O12">
        <v>330.81099999999998</v>
      </c>
      <c r="P12">
        <v>232.68600000000001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22965</v>
      </c>
      <c r="C13" s="2">
        <v>1266274</v>
      </c>
      <c r="D13" s="2">
        <v>1031415</v>
      </c>
      <c r="E13" s="2">
        <v>168375.1</v>
      </c>
      <c r="F13" s="2">
        <v>23293838</v>
      </c>
      <c r="G13" t="s">
        <v>19</v>
      </c>
      <c r="H13" s="1">
        <v>13263</v>
      </c>
      <c r="I13" s="2">
        <v>1189371</v>
      </c>
      <c r="J13" s="2">
        <v>977274.5</v>
      </c>
      <c r="K13" s="2">
        <v>168375.1</v>
      </c>
      <c r="L13" s="1">
        <v>23293838</v>
      </c>
      <c r="M13" t="s">
        <v>19</v>
      </c>
      <c r="N13" s="1">
        <v>9702</v>
      </c>
      <c r="O13" s="2">
        <v>1371403</v>
      </c>
      <c r="P13" s="2">
        <v>1092456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22965</v>
      </c>
      <c r="C14" s="2">
        <v>1252725</v>
      </c>
      <c r="D14" s="2">
        <v>958835.8</v>
      </c>
      <c r="E14" s="2">
        <v>180401.9</v>
      </c>
      <c r="F14" s="2">
        <v>22166108</v>
      </c>
      <c r="G14" t="s">
        <v>20</v>
      </c>
      <c r="H14" s="1">
        <v>13263</v>
      </c>
      <c r="I14" s="2">
        <v>1164472</v>
      </c>
      <c r="J14" s="2">
        <v>899936.9</v>
      </c>
      <c r="K14" s="2">
        <v>180401.9</v>
      </c>
      <c r="L14" s="1">
        <v>21058570</v>
      </c>
      <c r="M14" t="s">
        <v>20</v>
      </c>
      <c r="N14" s="1">
        <v>9702</v>
      </c>
      <c r="O14" s="2">
        <v>1373371</v>
      </c>
      <c r="P14" s="2">
        <v>1021725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22965</v>
      </c>
      <c r="C15" s="2">
        <v>10908.83</v>
      </c>
      <c r="D15" s="2">
        <v>121238.6</v>
      </c>
      <c r="E15" s="1">
        <v>-2010000</v>
      </c>
      <c r="F15" s="1">
        <v>6900000</v>
      </c>
      <c r="G15" t="s">
        <v>190</v>
      </c>
      <c r="H15" s="1">
        <v>13263</v>
      </c>
      <c r="I15" s="2">
        <v>20455.11</v>
      </c>
      <c r="J15" s="2">
        <v>94762.67</v>
      </c>
      <c r="K15" s="2">
        <v>-1850000</v>
      </c>
      <c r="L15" s="1">
        <v>2950000</v>
      </c>
      <c r="M15" t="s">
        <v>190</v>
      </c>
      <c r="N15" s="1">
        <v>9702</v>
      </c>
      <c r="O15" s="2">
        <v>-2141.299</v>
      </c>
      <c r="P15" s="2">
        <v>149075.4</v>
      </c>
      <c r="Q15" s="1">
        <v>-2010000</v>
      </c>
      <c r="R15" s="1">
        <v>6900000</v>
      </c>
    </row>
    <row r="16" spans="1:18" x14ac:dyDescent="0.25">
      <c r="A16" t="s">
        <v>21</v>
      </c>
      <c r="B16" s="1">
        <v>22965</v>
      </c>
      <c r="C16">
        <v>2.5999999999999999E-2</v>
      </c>
      <c r="D16">
        <v>0.159</v>
      </c>
      <c r="E16">
        <v>0</v>
      </c>
      <c r="F16">
        <v>1</v>
      </c>
      <c r="G16" t="s">
        <v>21</v>
      </c>
      <c r="H16" s="1">
        <v>13263</v>
      </c>
      <c r="I16" s="2">
        <v>2.3E-2</v>
      </c>
      <c r="J16" s="2">
        <v>0.151</v>
      </c>
      <c r="K16" s="2">
        <v>0</v>
      </c>
      <c r="L16" s="1">
        <v>1</v>
      </c>
      <c r="M16" t="s">
        <v>21</v>
      </c>
      <c r="N16" s="1">
        <v>9702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22965</v>
      </c>
      <c r="C17">
        <v>4.4999999999999998E-2</v>
      </c>
      <c r="D17">
        <v>0.20699999999999999</v>
      </c>
      <c r="E17">
        <v>0</v>
      </c>
      <c r="F17">
        <v>1</v>
      </c>
      <c r="G17" t="s">
        <v>22</v>
      </c>
      <c r="H17" s="1">
        <v>13263</v>
      </c>
      <c r="I17" s="2">
        <v>4.2999999999999997E-2</v>
      </c>
      <c r="J17" s="2">
        <v>0.20200000000000001</v>
      </c>
      <c r="K17" s="2">
        <v>0</v>
      </c>
      <c r="L17" s="2">
        <v>1</v>
      </c>
      <c r="M17" t="s">
        <v>22</v>
      </c>
      <c r="N17" s="1">
        <v>9702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22965</v>
      </c>
      <c r="C18">
        <v>8.9999999999999993E-3</v>
      </c>
      <c r="D18">
        <v>9.5000000000000001E-2</v>
      </c>
      <c r="E18">
        <v>0</v>
      </c>
      <c r="F18">
        <v>1</v>
      </c>
      <c r="G18" t="s">
        <v>23</v>
      </c>
      <c r="H18" s="1">
        <v>13263</v>
      </c>
      <c r="I18" s="2">
        <v>8.9999999999999993E-3</v>
      </c>
      <c r="J18" s="2">
        <v>9.1999999999999998E-2</v>
      </c>
      <c r="K18" s="2">
        <v>0</v>
      </c>
      <c r="L18" s="2">
        <v>1</v>
      </c>
      <c r="M18" t="s">
        <v>23</v>
      </c>
      <c r="N18" s="1">
        <v>9702</v>
      </c>
      <c r="O18">
        <v>0.01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22965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13263</v>
      </c>
      <c r="I19" s="2">
        <v>0</v>
      </c>
      <c r="J19" s="2">
        <v>0</v>
      </c>
      <c r="K19" s="1">
        <v>0</v>
      </c>
      <c r="L19" s="1">
        <v>0</v>
      </c>
      <c r="M19" t="s">
        <v>24</v>
      </c>
      <c r="N19" s="1">
        <v>9702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22965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13263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9702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22965</v>
      </c>
      <c r="C21">
        <v>2.0000000000000001E-4</v>
      </c>
      <c r="D21">
        <v>1.4999999999999999E-2</v>
      </c>
      <c r="E21">
        <v>0</v>
      </c>
      <c r="F21">
        <v>1</v>
      </c>
      <c r="G21" t="s">
        <v>26</v>
      </c>
      <c r="H21" s="1">
        <v>13263</v>
      </c>
      <c r="I21">
        <v>2.0000000000000001E-4</v>
      </c>
      <c r="J21">
        <v>1.4999999999999999E-2</v>
      </c>
      <c r="K21">
        <v>0</v>
      </c>
      <c r="L21">
        <v>1</v>
      </c>
      <c r="M21" t="s">
        <v>26</v>
      </c>
      <c r="N21" s="1">
        <v>9702</v>
      </c>
      <c r="O21">
        <v>2.0000000000000001E-4</v>
      </c>
      <c r="P21">
        <v>1.4E-2</v>
      </c>
      <c r="Q21">
        <v>0</v>
      </c>
      <c r="R21">
        <v>1</v>
      </c>
    </row>
    <row r="22" spans="1:18" x14ac:dyDescent="0.25">
      <c r="A22" t="s">
        <v>27</v>
      </c>
      <c r="B22" s="1">
        <v>22965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13263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9702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22965</v>
      </c>
      <c r="C23">
        <v>0.91800000000000004</v>
      </c>
      <c r="D23">
        <v>0.27400000000000002</v>
      </c>
      <c r="E23">
        <v>0</v>
      </c>
      <c r="F23">
        <v>1</v>
      </c>
      <c r="G23" t="s">
        <v>28</v>
      </c>
      <c r="H23" s="1">
        <v>13263</v>
      </c>
      <c r="I23">
        <v>0.91700000000000004</v>
      </c>
      <c r="J23">
        <v>0.27600000000000002</v>
      </c>
      <c r="K23">
        <v>0</v>
      </c>
      <c r="L23">
        <v>1</v>
      </c>
      <c r="M23" t="s">
        <v>28</v>
      </c>
      <c r="N23" s="1">
        <v>9702</v>
      </c>
      <c r="O23">
        <v>0.92</v>
      </c>
      <c r="P23">
        <v>0.27200000000000002</v>
      </c>
      <c r="Q23">
        <v>0</v>
      </c>
      <c r="R23">
        <v>1</v>
      </c>
    </row>
    <row r="24" spans="1:18" x14ac:dyDescent="0.25">
      <c r="A24" t="s">
        <v>29</v>
      </c>
      <c r="B24" s="1">
        <v>22965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13263</v>
      </c>
      <c r="I24">
        <v>0.02</v>
      </c>
      <c r="J24">
        <v>0.13900000000000001</v>
      </c>
      <c r="K24">
        <v>0</v>
      </c>
      <c r="L24">
        <v>1</v>
      </c>
      <c r="M24" t="s">
        <v>29</v>
      </c>
      <c r="N24" s="1">
        <v>9702</v>
      </c>
      <c r="O24">
        <v>1.7999999999999999E-2</v>
      </c>
      <c r="P24">
        <v>0.13200000000000001</v>
      </c>
      <c r="Q24">
        <v>0</v>
      </c>
      <c r="R24">
        <v>1</v>
      </c>
    </row>
    <row r="25" spans="1:18" x14ac:dyDescent="0.25">
      <c r="A25" t="s">
        <v>30</v>
      </c>
      <c r="B25" s="1">
        <v>22965</v>
      </c>
      <c r="C25">
        <v>3.9E-2</v>
      </c>
      <c r="D25">
        <v>0.193</v>
      </c>
      <c r="E25">
        <v>0</v>
      </c>
      <c r="F25">
        <v>1</v>
      </c>
      <c r="G25" t="s">
        <v>30</v>
      </c>
      <c r="H25" s="1">
        <v>13263</v>
      </c>
      <c r="I25">
        <v>3.4000000000000002E-2</v>
      </c>
      <c r="J25">
        <v>0.18</v>
      </c>
      <c r="K25">
        <v>0</v>
      </c>
      <c r="L25">
        <v>1</v>
      </c>
      <c r="M25" t="s">
        <v>30</v>
      </c>
      <c r="N25" s="1">
        <v>9702</v>
      </c>
      <c r="O25">
        <v>4.5999999999999999E-2</v>
      </c>
      <c r="P25">
        <v>0.20899999999999999</v>
      </c>
      <c r="Q25">
        <v>0</v>
      </c>
      <c r="R25">
        <v>1</v>
      </c>
    </row>
    <row r="26" spans="1:18" x14ac:dyDescent="0.25">
      <c r="A26" t="s">
        <v>31</v>
      </c>
      <c r="B26" s="1">
        <v>22965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13263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9702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22965</v>
      </c>
      <c r="C27">
        <v>1</v>
      </c>
      <c r="D27">
        <v>1.6E-2</v>
      </c>
      <c r="E27">
        <v>0</v>
      </c>
      <c r="F27">
        <v>1</v>
      </c>
      <c r="G27" t="s">
        <v>32</v>
      </c>
      <c r="H27" s="1">
        <v>13263</v>
      </c>
      <c r="I27">
        <v>1</v>
      </c>
      <c r="J27">
        <v>1.7000000000000001E-2</v>
      </c>
      <c r="K27">
        <v>0</v>
      </c>
      <c r="L27">
        <v>1</v>
      </c>
      <c r="M27" t="s">
        <v>32</v>
      </c>
      <c r="N27" s="1">
        <v>9702</v>
      </c>
      <c r="O27">
        <v>1</v>
      </c>
      <c r="P27">
        <v>1.4E-2</v>
      </c>
      <c r="Q27">
        <v>0</v>
      </c>
      <c r="R27">
        <v>1</v>
      </c>
    </row>
    <row r="28" spans="1:18" x14ac:dyDescent="0.25">
      <c r="A28" t="s">
        <v>33</v>
      </c>
      <c r="B28" s="1">
        <v>22965</v>
      </c>
      <c r="C28">
        <v>38.738999999999997</v>
      </c>
      <c r="D28">
        <v>23.155000000000001</v>
      </c>
      <c r="E28">
        <v>0</v>
      </c>
      <c r="F28">
        <v>123</v>
      </c>
      <c r="G28" t="s">
        <v>33</v>
      </c>
      <c r="H28" s="1">
        <v>13263</v>
      </c>
      <c r="I28">
        <v>36.600999999999999</v>
      </c>
      <c r="J28">
        <v>22.884</v>
      </c>
      <c r="K28">
        <v>0</v>
      </c>
      <c r="L28">
        <v>112</v>
      </c>
      <c r="M28" t="s">
        <v>33</v>
      </c>
      <c r="N28" s="1">
        <v>9702</v>
      </c>
      <c r="O28">
        <v>41.662999999999997</v>
      </c>
      <c r="P28">
        <v>23.204999999999998</v>
      </c>
      <c r="Q28">
        <v>0</v>
      </c>
      <c r="R28">
        <v>123</v>
      </c>
    </row>
    <row r="29" spans="1:18" x14ac:dyDescent="0.25">
      <c r="A29" t="s">
        <v>34</v>
      </c>
      <c r="B29" s="1">
        <v>22965</v>
      </c>
      <c r="C29">
        <v>2.0369999999999999</v>
      </c>
      <c r="D29">
        <v>1.988</v>
      </c>
      <c r="E29">
        <v>0</v>
      </c>
      <c r="F29">
        <v>15.129</v>
      </c>
      <c r="G29" t="s">
        <v>34</v>
      </c>
      <c r="H29" s="1">
        <v>13263</v>
      </c>
      <c r="I29">
        <v>1.863</v>
      </c>
      <c r="J29">
        <v>1.8859999999999999</v>
      </c>
      <c r="K29">
        <v>0</v>
      </c>
      <c r="L29">
        <v>12.544</v>
      </c>
      <c r="M29" t="s">
        <v>34</v>
      </c>
      <c r="N29" s="1">
        <v>9702</v>
      </c>
      <c r="O29">
        <v>2.274</v>
      </c>
      <c r="P29">
        <v>2.097</v>
      </c>
      <c r="Q29">
        <v>0</v>
      </c>
      <c r="R29">
        <v>15.129</v>
      </c>
    </row>
    <row r="30" spans="1:18" x14ac:dyDescent="0.25">
      <c r="A30" t="s">
        <v>35</v>
      </c>
      <c r="B30" s="1">
        <v>22965</v>
      </c>
      <c r="C30">
        <v>4.944</v>
      </c>
      <c r="D30">
        <v>12.606999999999999</v>
      </c>
      <c r="E30">
        <v>0</v>
      </c>
      <c r="F30">
        <v>94</v>
      </c>
      <c r="G30" t="s">
        <v>35</v>
      </c>
      <c r="H30" s="1">
        <v>13263</v>
      </c>
      <c r="I30">
        <v>4.5419999999999998</v>
      </c>
      <c r="J30">
        <v>12.061999999999999</v>
      </c>
      <c r="K30">
        <v>0</v>
      </c>
      <c r="L30">
        <v>88</v>
      </c>
      <c r="M30" t="s">
        <v>35</v>
      </c>
      <c r="N30" s="1">
        <v>9702</v>
      </c>
      <c r="O30">
        <v>5.4930000000000003</v>
      </c>
      <c r="P30">
        <v>13.297000000000001</v>
      </c>
      <c r="Q30">
        <v>0</v>
      </c>
      <c r="R30">
        <v>94</v>
      </c>
    </row>
    <row r="31" spans="1:18" x14ac:dyDescent="0.25">
      <c r="A31" t="s">
        <v>18</v>
      </c>
      <c r="B31" s="1">
        <v>22965</v>
      </c>
      <c r="C31" s="2">
        <v>2082.547</v>
      </c>
      <c r="D31" s="2">
        <v>1098.856</v>
      </c>
      <c r="E31">
        <v>220</v>
      </c>
      <c r="F31" s="1">
        <v>23350</v>
      </c>
      <c r="G31" t="s">
        <v>18</v>
      </c>
      <c r="H31" s="1">
        <v>13263</v>
      </c>
      <c r="I31" s="2">
        <v>2046.7760000000001</v>
      </c>
      <c r="J31" s="2">
        <v>1059.19</v>
      </c>
      <c r="K31">
        <v>455</v>
      </c>
      <c r="L31" s="1">
        <v>23350</v>
      </c>
      <c r="M31" t="s">
        <v>18</v>
      </c>
      <c r="N31" s="1">
        <v>9702</v>
      </c>
      <c r="O31" s="2">
        <v>2131.4459999999999</v>
      </c>
      <c r="P31" s="2">
        <v>1149.126</v>
      </c>
      <c r="Q31">
        <v>220</v>
      </c>
      <c r="R31" s="1">
        <v>18919</v>
      </c>
    </row>
    <row r="32" spans="1:18" x14ac:dyDescent="0.25">
      <c r="A32" t="s">
        <v>37</v>
      </c>
      <c r="B32" s="1">
        <v>22965</v>
      </c>
      <c r="C32">
        <v>0.95199999999999996</v>
      </c>
      <c r="D32">
        <v>3.57</v>
      </c>
      <c r="E32">
        <v>2.1000000000000001E-2</v>
      </c>
      <c r="F32">
        <v>128.91800000000001</v>
      </c>
      <c r="G32" t="s">
        <v>37</v>
      </c>
      <c r="H32" s="1">
        <v>13263</v>
      </c>
      <c r="I32" s="2">
        <v>0.97399999999999998</v>
      </c>
      <c r="J32" s="2">
        <v>3.5049999999999999</v>
      </c>
      <c r="K32">
        <v>2.1000000000000001E-2</v>
      </c>
      <c r="L32" s="1">
        <v>128.91800000000001</v>
      </c>
      <c r="M32" t="s">
        <v>37</v>
      </c>
      <c r="N32" s="1">
        <v>9702</v>
      </c>
      <c r="O32">
        <v>0.92200000000000004</v>
      </c>
      <c r="P32">
        <v>3.6560000000000001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22965</v>
      </c>
      <c r="C33">
        <v>2.496</v>
      </c>
      <c r="D33">
        <v>2.58</v>
      </c>
      <c r="E33">
        <v>0</v>
      </c>
      <c r="F33">
        <v>13.552</v>
      </c>
      <c r="G33" t="s">
        <v>164</v>
      </c>
      <c r="H33" s="1">
        <v>13263</v>
      </c>
      <c r="I33" s="2">
        <v>2.5550000000000002</v>
      </c>
      <c r="J33" s="2">
        <v>2.62</v>
      </c>
      <c r="K33">
        <v>0</v>
      </c>
      <c r="L33" s="1">
        <v>13.552</v>
      </c>
      <c r="M33" t="s">
        <v>164</v>
      </c>
      <c r="N33" s="1">
        <v>9702</v>
      </c>
      <c r="O33">
        <v>2.4159999999999999</v>
      </c>
      <c r="P33">
        <v>2.5230000000000001</v>
      </c>
      <c r="Q33">
        <v>0</v>
      </c>
      <c r="R33">
        <v>13.477</v>
      </c>
    </row>
    <row r="34" spans="1:18" x14ac:dyDescent="0.25">
      <c r="A34" t="s">
        <v>39</v>
      </c>
      <c r="B34" s="1">
        <v>22965</v>
      </c>
      <c r="C34">
        <v>0.52900000000000003</v>
      </c>
      <c r="D34">
        <v>0.32800000000000001</v>
      </c>
      <c r="E34">
        <v>0</v>
      </c>
      <c r="F34">
        <v>3.56</v>
      </c>
      <c r="G34" t="s">
        <v>39</v>
      </c>
      <c r="H34" s="1">
        <v>13263</v>
      </c>
      <c r="I34" s="2">
        <v>0.53100000000000003</v>
      </c>
      <c r="J34" s="2">
        <v>0.32400000000000001</v>
      </c>
      <c r="K34">
        <v>0</v>
      </c>
      <c r="L34" s="1">
        <v>3.302</v>
      </c>
      <c r="M34" t="s">
        <v>39</v>
      </c>
      <c r="N34" s="1">
        <v>9702</v>
      </c>
      <c r="O34">
        <v>0.52500000000000002</v>
      </c>
      <c r="P34">
        <v>0.33400000000000002</v>
      </c>
      <c r="Q34">
        <v>0</v>
      </c>
      <c r="R34">
        <v>3.56</v>
      </c>
    </row>
    <row r="35" spans="1:18" x14ac:dyDescent="0.25">
      <c r="A35" t="s">
        <v>40</v>
      </c>
      <c r="B35" s="1">
        <v>22965</v>
      </c>
      <c r="C35">
        <v>5.2629999999999999</v>
      </c>
      <c r="D35">
        <v>4.2350000000000003</v>
      </c>
      <c r="E35">
        <v>0.01</v>
      </c>
      <c r="F35">
        <v>20.997</v>
      </c>
      <c r="G35" t="s">
        <v>40</v>
      </c>
      <c r="H35" s="1">
        <v>13263</v>
      </c>
      <c r="I35" s="2">
        <v>5.2480000000000002</v>
      </c>
      <c r="J35" s="2">
        <v>4.1980000000000004</v>
      </c>
      <c r="K35">
        <v>0.01</v>
      </c>
      <c r="L35" s="1">
        <v>20.997</v>
      </c>
      <c r="M35" t="s">
        <v>40</v>
      </c>
      <c r="N35" s="1">
        <v>9702</v>
      </c>
      <c r="O35">
        <v>5.2839999999999998</v>
      </c>
      <c r="P35">
        <v>4.2859999999999996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22965</v>
      </c>
      <c r="C36">
        <v>10.823</v>
      </c>
      <c r="D36">
        <v>5.5970000000000004</v>
      </c>
      <c r="E36">
        <v>0.32300000000000001</v>
      </c>
      <c r="F36">
        <v>30.986000000000001</v>
      </c>
      <c r="G36" t="s">
        <v>41</v>
      </c>
      <c r="H36" s="1">
        <v>13263</v>
      </c>
      <c r="I36">
        <v>10.755000000000001</v>
      </c>
      <c r="J36">
        <v>5.6029999999999998</v>
      </c>
      <c r="K36">
        <v>0.32300000000000001</v>
      </c>
      <c r="L36">
        <v>30.003</v>
      </c>
      <c r="M36" t="s">
        <v>41</v>
      </c>
      <c r="N36" s="1">
        <v>9702</v>
      </c>
      <c r="O36">
        <v>10.916</v>
      </c>
      <c r="P36">
        <v>5.5869999999999997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22965</v>
      </c>
      <c r="C37">
        <v>1.056</v>
      </c>
      <c r="D37">
        <v>0.82299999999999995</v>
      </c>
      <c r="E37">
        <v>1.6E-2</v>
      </c>
      <c r="F37">
        <v>7.8339999999999996</v>
      </c>
      <c r="G37" t="s">
        <v>173</v>
      </c>
      <c r="H37" s="1">
        <v>13263</v>
      </c>
      <c r="I37">
        <v>1.0489999999999999</v>
      </c>
      <c r="J37">
        <v>0.80200000000000005</v>
      </c>
      <c r="K37">
        <v>2.5999999999999999E-2</v>
      </c>
      <c r="L37">
        <v>7.8339999999999996</v>
      </c>
      <c r="M37" t="s">
        <v>173</v>
      </c>
      <c r="N37" s="1">
        <v>9702</v>
      </c>
      <c r="O37">
        <v>1.0649999999999999</v>
      </c>
      <c r="P37">
        <v>0.85099999999999998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22965</v>
      </c>
      <c r="C38">
        <v>2.4860000000000002</v>
      </c>
      <c r="D38">
        <v>1.8169999999999999</v>
      </c>
      <c r="E38">
        <v>3.6999999999999998E-2</v>
      </c>
      <c r="F38">
        <v>17.684000000000001</v>
      </c>
      <c r="G38" t="s">
        <v>174</v>
      </c>
      <c r="H38" s="1">
        <v>13263</v>
      </c>
      <c r="I38">
        <v>2.4710000000000001</v>
      </c>
      <c r="J38">
        <v>1.798</v>
      </c>
      <c r="K38">
        <v>4.2999999999999997E-2</v>
      </c>
      <c r="L38">
        <v>17.684000000000001</v>
      </c>
      <c r="M38" t="s">
        <v>174</v>
      </c>
      <c r="N38" s="1">
        <v>9702</v>
      </c>
      <c r="O38">
        <v>2.5070000000000001</v>
      </c>
      <c r="P38">
        <v>1.8440000000000001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22965</v>
      </c>
      <c r="C39">
        <v>2.5840000000000001</v>
      </c>
      <c r="D39">
        <v>1.728</v>
      </c>
      <c r="E39">
        <v>3.6999999999999998E-2</v>
      </c>
      <c r="F39">
        <v>17.684000000000001</v>
      </c>
      <c r="G39" t="s">
        <v>175</v>
      </c>
      <c r="H39" s="1">
        <v>13263</v>
      </c>
      <c r="I39">
        <v>2.5640000000000001</v>
      </c>
      <c r="J39">
        <v>1.7010000000000001</v>
      </c>
      <c r="K39">
        <v>4.8000000000000001E-2</v>
      </c>
      <c r="L39">
        <v>17.684000000000001</v>
      </c>
      <c r="M39" t="s">
        <v>175</v>
      </c>
      <c r="N39" s="1">
        <v>9702</v>
      </c>
      <c r="O39">
        <v>2.61</v>
      </c>
      <c r="P39">
        <v>1.7629999999999999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22965</v>
      </c>
      <c r="C40">
        <v>0.219</v>
      </c>
      <c r="D40">
        <v>0.157</v>
      </c>
      <c r="E40">
        <v>0</v>
      </c>
      <c r="F40">
        <v>0.91800000000000004</v>
      </c>
      <c r="G40" t="s">
        <v>42</v>
      </c>
      <c r="H40" s="1">
        <v>13263</v>
      </c>
      <c r="I40">
        <v>0.221</v>
      </c>
      <c r="J40">
        <v>0.152</v>
      </c>
      <c r="K40">
        <v>0</v>
      </c>
      <c r="L40">
        <v>0.85599999999999998</v>
      </c>
      <c r="M40" t="s">
        <v>42</v>
      </c>
      <c r="N40" s="1">
        <v>9702</v>
      </c>
      <c r="O40">
        <v>0.217</v>
      </c>
      <c r="P40">
        <v>0.16400000000000001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22965</v>
      </c>
      <c r="C41">
        <v>0.02</v>
      </c>
      <c r="D41">
        <v>3.4000000000000002E-2</v>
      </c>
      <c r="E41">
        <v>0</v>
      </c>
      <c r="F41">
        <v>0.36299999999999999</v>
      </c>
      <c r="G41" t="s">
        <v>43</v>
      </c>
      <c r="H41" s="1">
        <v>13263</v>
      </c>
      <c r="I41">
        <v>0.02</v>
      </c>
      <c r="J41">
        <v>3.3000000000000002E-2</v>
      </c>
      <c r="K41">
        <v>0</v>
      </c>
      <c r="L41">
        <v>0.36299999999999999</v>
      </c>
      <c r="M41" t="s">
        <v>43</v>
      </c>
      <c r="N41" s="1">
        <v>9702</v>
      </c>
      <c r="O41">
        <v>1.9E-2</v>
      </c>
      <c r="P41">
        <v>3.5999999999999997E-2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22965</v>
      </c>
      <c r="C42">
        <v>0.41399999999999998</v>
      </c>
      <c r="D42">
        <v>0.193</v>
      </c>
      <c r="E42">
        <v>0</v>
      </c>
      <c r="F42">
        <v>0.96899999999999997</v>
      </c>
      <c r="G42" t="s">
        <v>44</v>
      </c>
      <c r="H42" s="1">
        <v>13263</v>
      </c>
      <c r="I42">
        <v>0.41499999999999998</v>
      </c>
      <c r="J42">
        <v>0.188</v>
      </c>
      <c r="K42">
        <v>1E-3</v>
      </c>
      <c r="L42">
        <v>0.96899999999999997</v>
      </c>
      <c r="M42" t="s">
        <v>44</v>
      </c>
      <c r="N42" s="1">
        <v>9702</v>
      </c>
      <c r="O42">
        <v>0.41299999999999998</v>
      </c>
      <c r="P42">
        <v>0.2</v>
      </c>
      <c r="Q42">
        <v>0</v>
      </c>
      <c r="R42">
        <v>0.95699999999999996</v>
      </c>
    </row>
    <row r="43" spans="1:18" x14ac:dyDescent="0.25">
      <c r="A43" t="s">
        <v>45</v>
      </c>
      <c r="B43" s="1">
        <v>22965</v>
      </c>
      <c r="C43">
        <v>8.3000000000000004E-2</v>
      </c>
      <c r="D43">
        <v>0.105</v>
      </c>
      <c r="E43">
        <v>0</v>
      </c>
      <c r="F43">
        <v>0.71</v>
      </c>
      <c r="G43" t="s">
        <v>45</v>
      </c>
      <c r="H43" s="1">
        <v>13263</v>
      </c>
      <c r="I43">
        <v>8.2000000000000003E-2</v>
      </c>
      <c r="J43">
        <v>9.7000000000000003E-2</v>
      </c>
      <c r="K43">
        <v>0</v>
      </c>
      <c r="L43">
        <v>0.60799999999999998</v>
      </c>
      <c r="M43" t="s">
        <v>45</v>
      </c>
      <c r="N43" s="1">
        <v>9702</v>
      </c>
      <c r="O43">
        <v>8.3000000000000004E-2</v>
      </c>
      <c r="P43">
        <v>0.115</v>
      </c>
      <c r="Q43">
        <v>0</v>
      </c>
      <c r="R43">
        <v>0.71</v>
      </c>
    </row>
    <row r="44" spans="1:18" x14ac:dyDescent="0.25">
      <c r="A44" t="s">
        <v>46</v>
      </c>
      <c r="B44" s="1">
        <v>22965</v>
      </c>
      <c r="C44">
        <v>0.93500000000000005</v>
      </c>
      <c r="D44">
        <v>0.08</v>
      </c>
      <c r="E44">
        <v>1.2E-2</v>
      </c>
      <c r="F44">
        <v>1</v>
      </c>
      <c r="G44" t="s">
        <v>46</v>
      </c>
      <c r="H44" s="1">
        <v>13263</v>
      </c>
      <c r="I44">
        <v>0.93600000000000005</v>
      </c>
      <c r="J44">
        <v>7.3999999999999996E-2</v>
      </c>
      <c r="K44">
        <v>1.2E-2</v>
      </c>
      <c r="L44">
        <v>1</v>
      </c>
      <c r="M44" t="s">
        <v>46</v>
      </c>
      <c r="N44" s="1">
        <v>9702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22965</v>
      </c>
      <c r="C45">
        <v>6.3E-2</v>
      </c>
      <c r="D45">
        <v>7.4999999999999997E-2</v>
      </c>
      <c r="E45">
        <v>0</v>
      </c>
      <c r="F45">
        <v>0.69899999999999995</v>
      </c>
      <c r="G45" t="s">
        <v>47</v>
      </c>
      <c r="H45" s="1">
        <v>13263</v>
      </c>
      <c r="I45">
        <v>6.2E-2</v>
      </c>
      <c r="J45">
        <v>6.8000000000000005E-2</v>
      </c>
      <c r="K45">
        <v>0</v>
      </c>
      <c r="L45">
        <v>0.69799999999999995</v>
      </c>
      <c r="M45" t="s">
        <v>47</v>
      </c>
      <c r="N45" s="1">
        <v>9702</v>
      </c>
      <c r="O45">
        <v>6.4000000000000001E-2</v>
      </c>
      <c r="P45">
        <v>8.4000000000000005E-2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22965</v>
      </c>
      <c r="C46">
        <v>0.748</v>
      </c>
      <c r="D46">
        <v>0.16600000000000001</v>
      </c>
      <c r="E46">
        <v>0</v>
      </c>
      <c r="F46">
        <v>1</v>
      </c>
      <c r="G46" t="s">
        <v>48</v>
      </c>
      <c r="H46" s="1">
        <v>13263</v>
      </c>
      <c r="I46">
        <v>0.73799999999999999</v>
      </c>
      <c r="J46">
        <v>0.161</v>
      </c>
      <c r="K46">
        <v>0</v>
      </c>
      <c r="L46">
        <v>1</v>
      </c>
      <c r="M46" t="s">
        <v>48</v>
      </c>
      <c r="N46" s="1">
        <v>9702</v>
      </c>
      <c r="O46">
        <v>0.76100000000000001</v>
      </c>
      <c r="P46">
        <v>0.17199999999999999</v>
      </c>
      <c r="Q46">
        <v>0</v>
      </c>
      <c r="R46">
        <v>1</v>
      </c>
    </row>
    <row r="47" spans="1:18" x14ac:dyDescent="0.25">
      <c r="A47" t="s">
        <v>49</v>
      </c>
      <c r="B47" s="1">
        <v>22965</v>
      </c>
      <c r="C47">
        <v>0.251</v>
      </c>
      <c r="D47">
        <v>0.16500000000000001</v>
      </c>
      <c r="E47">
        <v>0</v>
      </c>
      <c r="F47">
        <v>1</v>
      </c>
      <c r="G47" t="s">
        <v>49</v>
      </c>
      <c r="H47" s="1">
        <v>13263</v>
      </c>
      <c r="I47">
        <v>0.26</v>
      </c>
      <c r="J47">
        <v>0.159</v>
      </c>
      <c r="K47">
        <v>0</v>
      </c>
      <c r="L47">
        <v>1</v>
      </c>
      <c r="M47" t="s">
        <v>49</v>
      </c>
      <c r="N47" s="1">
        <v>9702</v>
      </c>
      <c r="O47">
        <v>0.23799999999999999</v>
      </c>
      <c r="P47">
        <v>0.17100000000000001</v>
      </c>
      <c r="Q47">
        <v>0</v>
      </c>
      <c r="R47">
        <v>1</v>
      </c>
    </row>
    <row r="48" spans="1:18" x14ac:dyDescent="0.25">
      <c r="A48" t="s">
        <v>50</v>
      </c>
      <c r="B48" s="1">
        <v>22965</v>
      </c>
      <c r="C48">
        <v>24.798999999999999</v>
      </c>
      <c r="D48">
        <v>52.429000000000002</v>
      </c>
      <c r="E48">
        <v>0</v>
      </c>
      <c r="F48">
        <v>667</v>
      </c>
      <c r="G48" t="s">
        <v>50</v>
      </c>
      <c r="H48" s="1">
        <v>13263</v>
      </c>
      <c r="I48">
        <v>24.936</v>
      </c>
      <c r="J48">
        <v>50.912999999999997</v>
      </c>
      <c r="K48">
        <v>0</v>
      </c>
      <c r="L48">
        <v>667</v>
      </c>
      <c r="M48" t="s">
        <v>50</v>
      </c>
      <c r="N48" s="1">
        <v>9702</v>
      </c>
      <c r="O48">
        <v>24.611999999999998</v>
      </c>
      <c r="P48">
        <v>54.435000000000002</v>
      </c>
      <c r="Q48">
        <v>0</v>
      </c>
      <c r="R48">
        <v>623</v>
      </c>
    </row>
    <row r="49" spans="1:18" x14ac:dyDescent="0.25">
      <c r="A49" t="s">
        <v>51</v>
      </c>
      <c r="B49" s="1">
        <v>22965</v>
      </c>
      <c r="C49">
        <v>2.1000000000000001E-2</v>
      </c>
      <c r="D49">
        <v>0.14399999999999999</v>
      </c>
      <c r="E49">
        <v>0</v>
      </c>
      <c r="F49">
        <v>1</v>
      </c>
      <c r="G49" t="s">
        <v>51</v>
      </c>
      <c r="H49" s="1">
        <v>13263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9702</v>
      </c>
      <c r="O49">
        <v>0.05</v>
      </c>
      <c r="P49">
        <v>0.218</v>
      </c>
      <c r="Q49">
        <v>0</v>
      </c>
      <c r="R49">
        <v>1</v>
      </c>
    </row>
    <row r="50" spans="1:18" x14ac:dyDescent="0.25">
      <c r="A50" t="s">
        <v>52</v>
      </c>
      <c r="B50" s="1">
        <v>22965</v>
      </c>
      <c r="C50">
        <v>0.441</v>
      </c>
      <c r="D50">
        <v>0.496</v>
      </c>
      <c r="E50">
        <v>0</v>
      </c>
      <c r="F50">
        <v>1</v>
      </c>
      <c r="G50" t="s">
        <v>52</v>
      </c>
      <c r="H50" s="1">
        <v>13263</v>
      </c>
      <c r="I50">
        <v>0.40600000000000003</v>
      </c>
      <c r="J50">
        <v>0.49099999999999999</v>
      </c>
      <c r="K50">
        <v>0</v>
      </c>
      <c r="L50">
        <v>1</v>
      </c>
      <c r="M50" t="s">
        <v>52</v>
      </c>
      <c r="N50" s="1">
        <v>9702</v>
      </c>
      <c r="O50">
        <v>0.48799999999999999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22965</v>
      </c>
      <c r="C51" s="2">
        <v>2363465</v>
      </c>
      <c r="D51" s="2">
        <v>7872.9059999999999</v>
      </c>
      <c r="E51" s="2">
        <v>2350907</v>
      </c>
      <c r="F51" s="2">
        <v>2399920</v>
      </c>
      <c r="G51" t="s">
        <v>53</v>
      </c>
      <c r="H51" s="1">
        <v>13263</v>
      </c>
      <c r="I51" s="2">
        <v>2363456</v>
      </c>
      <c r="J51" s="2">
        <v>7714.6459999999997</v>
      </c>
      <c r="K51" s="2">
        <v>2350907</v>
      </c>
      <c r="L51" s="2">
        <v>2399920</v>
      </c>
      <c r="M51" t="s">
        <v>53</v>
      </c>
      <c r="N51" s="1">
        <v>9702</v>
      </c>
      <c r="O51" s="2">
        <v>2363478</v>
      </c>
      <c r="P51" s="2">
        <v>8084.625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22965</v>
      </c>
      <c r="C52" s="2">
        <v>610985.69999999995</v>
      </c>
      <c r="D52" s="2">
        <v>14875.55</v>
      </c>
      <c r="E52" s="2">
        <v>579824.19999999995</v>
      </c>
      <c r="F52" s="2">
        <v>638667.69999999995</v>
      </c>
      <c r="G52" t="s">
        <v>54</v>
      </c>
      <c r="H52" s="1">
        <v>13263</v>
      </c>
      <c r="I52" s="2">
        <v>610585.9</v>
      </c>
      <c r="J52" s="2">
        <v>14742.42</v>
      </c>
      <c r="K52" s="2">
        <v>579824.19999999995</v>
      </c>
      <c r="L52" s="2">
        <v>638667.69999999995</v>
      </c>
      <c r="M52" t="s">
        <v>54</v>
      </c>
      <c r="N52" s="1">
        <v>9702</v>
      </c>
      <c r="O52" s="2">
        <v>611532.19999999995</v>
      </c>
      <c r="P52" s="2">
        <v>15039.22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22965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13263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9702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22965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13263</v>
      </c>
      <c r="I54" s="2">
        <v>1</v>
      </c>
      <c r="J54" s="2">
        <v>0</v>
      </c>
      <c r="K54" s="2">
        <v>1</v>
      </c>
      <c r="L54" s="2">
        <v>1</v>
      </c>
      <c r="M54" t="s">
        <v>57</v>
      </c>
      <c r="N54" s="1">
        <v>9702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22965</v>
      </c>
      <c r="C55">
        <v>0.437</v>
      </c>
      <c r="D55">
        <v>0.496</v>
      </c>
      <c r="E55">
        <v>0</v>
      </c>
      <c r="F55">
        <v>1</v>
      </c>
      <c r="G55" t="s">
        <v>58</v>
      </c>
      <c r="H55" s="1">
        <v>13263</v>
      </c>
      <c r="I55" s="2">
        <v>0.434</v>
      </c>
      <c r="J55" s="2">
        <v>0.496</v>
      </c>
      <c r="K55" s="2">
        <v>0</v>
      </c>
      <c r="L55" s="2">
        <v>1</v>
      </c>
      <c r="M55" t="s">
        <v>58</v>
      </c>
      <c r="N55" s="1">
        <v>9702</v>
      </c>
      <c r="O55">
        <v>0.44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22965</v>
      </c>
      <c r="C56">
        <v>0.51200000000000001</v>
      </c>
      <c r="D56">
        <v>0.5</v>
      </c>
      <c r="E56">
        <v>0</v>
      </c>
      <c r="F56">
        <v>1</v>
      </c>
      <c r="G56" t="s">
        <v>59</v>
      </c>
      <c r="H56" s="1">
        <v>13263</v>
      </c>
      <c r="I56" s="2">
        <v>0.51700000000000002</v>
      </c>
      <c r="J56" s="2">
        <v>0.5</v>
      </c>
      <c r="K56" s="2">
        <v>0</v>
      </c>
      <c r="L56" s="2">
        <v>1</v>
      </c>
      <c r="M56" t="s">
        <v>59</v>
      </c>
      <c r="N56" s="1">
        <v>9702</v>
      </c>
      <c r="O56">
        <v>0.505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22965</v>
      </c>
      <c r="C57">
        <v>5.0999999999999997E-2</v>
      </c>
      <c r="D57">
        <v>0.221</v>
      </c>
      <c r="E57">
        <v>0</v>
      </c>
      <c r="F57">
        <v>1</v>
      </c>
      <c r="G57" t="s">
        <v>60</v>
      </c>
      <c r="H57" s="1">
        <v>13263</v>
      </c>
      <c r="I57">
        <v>4.8000000000000001E-2</v>
      </c>
      <c r="J57">
        <v>0.214</v>
      </c>
      <c r="K57">
        <v>0</v>
      </c>
      <c r="L57">
        <v>1</v>
      </c>
      <c r="M57" t="s">
        <v>60</v>
      </c>
      <c r="N57" s="1">
        <v>9702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22965</v>
      </c>
      <c r="C58" s="2">
        <v>2019.038</v>
      </c>
      <c r="D58">
        <v>2.0070000000000001</v>
      </c>
      <c r="E58" s="1">
        <v>2016</v>
      </c>
      <c r="F58" s="1">
        <v>2023</v>
      </c>
      <c r="G58" t="s">
        <v>61</v>
      </c>
      <c r="H58" s="1">
        <v>13263</v>
      </c>
      <c r="I58" s="2">
        <v>2017.5719999999999</v>
      </c>
      <c r="J58">
        <v>1.18</v>
      </c>
      <c r="K58" s="1">
        <v>2016</v>
      </c>
      <c r="L58" s="1">
        <v>2020</v>
      </c>
      <c r="M58" t="s">
        <v>61</v>
      </c>
      <c r="N58" s="1">
        <v>9702</v>
      </c>
      <c r="O58" s="2">
        <v>2021.0419999999999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22965</v>
      </c>
      <c r="C59">
        <v>0.873</v>
      </c>
      <c r="D59">
        <v>0.33400000000000002</v>
      </c>
      <c r="E59">
        <v>0</v>
      </c>
      <c r="F59">
        <v>1</v>
      </c>
      <c r="G59" t="s">
        <v>62</v>
      </c>
      <c r="H59" s="1">
        <v>13263</v>
      </c>
      <c r="I59" s="2">
        <v>0.86899999999999999</v>
      </c>
      <c r="J59">
        <v>0.33800000000000002</v>
      </c>
      <c r="K59" s="1">
        <v>0</v>
      </c>
      <c r="L59" s="1">
        <v>1</v>
      </c>
      <c r="M59" t="s">
        <v>62</v>
      </c>
      <c r="N59" s="1">
        <v>9702</v>
      </c>
      <c r="O59">
        <v>0.878</v>
      </c>
      <c r="P59">
        <v>0.32800000000000001</v>
      </c>
      <c r="Q59">
        <v>0</v>
      </c>
      <c r="R59">
        <v>1</v>
      </c>
    </row>
    <row r="60" spans="1:18" x14ac:dyDescent="0.25">
      <c r="A60" t="s">
        <v>63</v>
      </c>
      <c r="B60" s="1">
        <v>22965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13263</v>
      </c>
      <c r="I60" s="2">
        <v>1.7000000000000001E-2</v>
      </c>
      <c r="J60">
        <v>0.13100000000000001</v>
      </c>
      <c r="K60" s="1">
        <v>0</v>
      </c>
      <c r="L60" s="1">
        <v>1</v>
      </c>
      <c r="M60" t="s">
        <v>63</v>
      </c>
      <c r="N60" s="1">
        <v>9702</v>
      </c>
      <c r="O60">
        <v>1.7000000000000001E-2</v>
      </c>
      <c r="P60">
        <v>0.128</v>
      </c>
      <c r="Q60">
        <v>0</v>
      </c>
      <c r="R60">
        <v>1</v>
      </c>
    </row>
    <row r="61" spans="1:18" x14ac:dyDescent="0.25">
      <c r="A61" t="s">
        <v>64</v>
      </c>
      <c r="B61" s="1">
        <v>22965</v>
      </c>
      <c r="C61">
        <v>1E-4</v>
      </c>
      <c r="D61">
        <v>1.0999999999999999E-2</v>
      </c>
      <c r="E61">
        <v>0</v>
      </c>
      <c r="F61">
        <v>1</v>
      </c>
      <c r="G61" t="s">
        <v>64</v>
      </c>
      <c r="H61" s="1">
        <v>13263</v>
      </c>
      <c r="I61" s="2">
        <v>2.0000000000000001E-4</v>
      </c>
      <c r="J61">
        <v>1.2E-2</v>
      </c>
      <c r="K61" s="1">
        <v>0</v>
      </c>
      <c r="L61" s="1">
        <v>1</v>
      </c>
      <c r="M61" t="s">
        <v>64</v>
      </c>
      <c r="N61" s="1">
        <v>9702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22965</v>
      </c>
      <c r="C62">
        <v>7.8E-2</v>
      </c>
      <c r="D62">
        <v>0.26800000000000002</v>
      </c>
      <c r="E62">
        <v>0</v>
      </c>
      <c r="F62">
        <v>1</v>
      </c>
      <c r="G62" t="s">
        <v>65</v>
      </c>
      <c r="H62" s="1">
        <v>13263</v>
      </c>
      <c r="I62" s="2">
        <v>8.2000000000000003E-2</v>
      </c>
      <c r="J62">
        <v>0.27400000000000002</v>
      </c>
      <c r="K62" s="1">
        <v>0</v>
      </c>
      <c r="L62" s="1">
        <v>1</v>
      </c>
      <c r="M62" t="s">
        <v>65</v>
      </c>
      <c r="N62" s="1">
        <v>9702</v>
      </c>
      <c r="O62">
        <v>7.1999999999999995E-2</v>
      </c>
      <c r="P62">
        <v>0.25900000000000001</v>
      </c>
      <c r="Q62">
        <v>0</v>
      </c>
      <c r="R62">
        <v>1</v>
      </c>
    </row>
    <row r="63" spans="1:18" x14ac:dyDescent="0.25">
      <c r="A63" t="s">
        <v>66</v>
      </c>
      <c r="B63" s="1">
        <v>22965</v>
      </c>
      <c r="C63">
        <v>1.7999999999999999E-2</v>
      </c>
      <c r="D63">
        <v>0.13300000000000001</v>
      </c>
      <c r="E63">
        <v>0</v>
      </c>
      <c r="F63">
        <v>1</v>
      </c>
      <c r="G63" t="s">
        <v>66</v>
      </c>
      <c r="H63" s="1">
        <v>13263</v>
      </c>
      <c r="I63">
        <v>1.7999999999999999E-2</v>
      </c>
      <c r="J63">
        <v>0.13200000000000001</v>
      </c>
      <c r="K63">
        <v>0</v>
      </c>
      <c r="L63">
        <v>1</v>
      </c>
      <c r="M63" t="s">
        <v>66</v>
      </c>
      <c r="N63" s="1">
        <v>9702</v>
      </c>
      <c r="O63">
        <v>1.7999999999999999E-2</v>
      </c>
      <c r="P63">
        <v>0.13400000000000001</v>
      </c>
      <c r="Q63">
        <v>0</v>
      </c>
      <c r="R63">
        <v>1</v>
      </c>
    </row>
    <row r="64" spans="1:18" x14ac:dyDescent="0.25">
      <c r="A64" t="s">
        <v>67</v>
      </c>
      <c r="B64" s="1">
        <v>22965</v>
      </c>
      <c r="C64">
        <v>4.0000000000000002E-4</v>
      </c>
      <c r="D64">
        <v>2.1000000000000001E-2</v>
      </c>
      <c r="E64">
        <v>0</v>
      </c>
      <c r="F64">
        <v>1</v>
      </c>
      <c r="G64" t="s">
        <v>67</v>
      </c>
      <c r="H64" s="1">
        <v>13263</v>
      </c>
      <c r="I64">
        <v>5.0000000000000001E-4</v>
      </c>
      <c r="J64">
        <v>2.1000000000000001E-2</v>
      </c>
      <c r="K64">
        <v>0</v>
      </c>
      <c r="L64">
        <v>1</v>
      </c>
      <c r="M64" t="s">
        <v>67</v>
      </c>
      <c r="N64" s="1">
        <v>9702</v>
      </c>
      <c r="O64">
        <v>4.0000000000000002E-4</v>
      </c>
      <c r="P64">
        <v>0.02</v>
      </c>
      <c r="Q64">
        <v>0</v>
      </c>
      <c r="R64">
        <v>1</v>
      </c>
    </row>
    <row r="65" spans="1:18" x14ac:dyDescent="0.25">
      <c r="A65" t="s">
        <v>68</v>
      </c>
      <c r="B65" s="1">
        <v>22965</v>
      </c>
      <c r="C65">
        <v>1.4E-2</v>
      </c>
      <c r="D65">
        <v>0.11700000000000001</v>
      </c>
      <c r="E65">
        <v>0</v>
      </c>
      <c r="F65">
        <v>1</v>
      </c>
      <c r="G65" t="s">
        <v>68</v>
      </c>
      <c r="H65" s="1">
        <v>13263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9702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22965</v>
      </c>
      <c r="C66">
        <v>1E-4</v>
      </c>
      <c r="D66">
        <v>1.0999999999999999E-2</v>
      </c>
      <c r="E66">
        <v>0</v>
      </c>
      <c r="F66">
        <v>1</v>
      </c>
      <c r="G66" t="s">
        <v>69</v>
      </c>
      <c r="H66" s="1">
        <v>13263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9702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22965</v>
      </c>
      <c r="C67">
        <v>0.215</v>
      </c>
      <c r="D67">
        <v>0.41099999999999998</v>
      </c>
      <c r="E67">
        <v>0</v>
      </c>
      <c r="F67">
        <v>1</v>
      </c>
      <c r="G67" t="s">
        <v>70</v>
      </c>
      <c r="H67" s="1">
        <v>13263</v>
      </c>
      <c r="I67">
        <v>0.21</v>
      </c>
      <c r="J67">
        <v>0.40799999999999997</v>
      </c>
      <c r="K67">
        <v>0</v>
      </c>
      <c r="L67">
        <v>1</v>
      </c>
      <c r="M67" t="s">
        <v>70</v>
      </c>
      <c r="N67" s="1">
        <v>9702</v>
      </c>
      <c r="O67">
        <v>0.222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22965</v>
      </c>
      <c r="C68">
        <v>0.30199999999999999</v>
      </c>
      <c r="D68">
        <v>0.45900000000000002</v>
      </c>
      <c r="E68">
        <v>0</v>
      </c>
      <c r="F68">
        <v>1</v>
      </c>
      <c r="G68" t="s">
        <v>71</v>
      </c>
      <c r="H68" s="1">
        <v>13263</v>
      </c>
      <c r="I68">
        <v>0.318</v>
      </c>
      <c r="J68">
        <v>0.46600000000000003</v>
      </c>
      <c r="K68">
        <v>0</v>
      </c>
      <c r="L68">
        <v>1</v>
      </c>
      <c r="M68" t="s">
        <v>71</v>
      </c>
      <c r="N68" s="1">
        <v>9702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22965</v>
      </c>
      <c r="C69">
        <v>0.40899999999999997</v>
      </c>
      <c r="D69">
        <v>0.49199999999999999</v>
      </c>
      <c r="E69">
        <v>0</v>
      </c>
      <c r="F69">
        <v>1</v>
      </c>
      <c r="G69" t="s">
        <v>72</v>
      </c>
      <c r="H69" s="1">
        <v>13263</v>
      </c>
      <c r="I69">
        <v>0.39500000000000002</v>
      </c>
      <c r="J69">
        <v>0.48899999999999999</v>
      </c>
      <c r="K69">
        <v>0</v>
      </c>
      <c r="L69">
        <v>1</v>
      </c>
      <c r="M69" t="s">
        <v>72</v>
      </c>
      <c r="N69" s="1">
        <v>9702</v>
      </c>
      <c r="O69">
        <v>0.42899999999999999</v>
      </c>
      <c r="P69">
        <v>0.495</v>
      </c>
      <c r="Q69">
        <v>0</v>
      </c>
      <c r="R69">
        <v>1</v>
      </c>
    </row>
    <row r="70" spans="1:18" x14ac:dyDescent="0.25">
      <c r="A70" t="s">
        <v>73</v>
      </c>
      <c r="B70" s="1">
        <v>22965</v>
      </c>
      <c r="C70">
        <v>7.3999999999999996E-2</v>
      </c>
      <c r="D70">
        <v>0.26200000000000001</v>
      </c>
      <c r="E70">
        <v>0</v>
      </c>
      <c r="F70">
        <v>1</v>
      </c>
      <c r="G70" t="s">
        <v>73</v>
      </c>
      <c r="H70" s="1">
        <v>13263</v>
      </c>
      <c r="I70">
        <v>7.6999999999999999E-2</v>
      </c>
      <c r="J70">
        <v>0.26600000000000001</v>
      </c>
      <c r="K70">
        <v>0</v>
      </c>
      <c r="L70">
        <v>1</v>
      </c>
      <c r="M70" t="s">
        <v>73</v>
      </c>
      <c r="N70" s="1">
        <v>9702</v>
      </c>
      <c r="O70">
        <v>7.0000000000000007E-2</v>
      </c>
      <c r="P70">
        <v>0.255</v>
      </c>
      <c r="Q70">
        <v>0</v>
      </c>
      <c r="R70">
        <v>1</v>
      </c>
    </row>
    <row r="71" spans="1:18" x14ac:dyDescent="0.25">
      <c r="A71" t="s">
        <v>165</v>
      </c>
      <c r="B71" s="1">
        <v>22965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13263</v>
      </c>
      <c r="I71">
        <v>4.0000000000000001E-3</v>
      </c>
      <c r="J71">
        <v>6.5000000000000002E-2</v>
      </c>
      <c r="K71">
        <v>0</v>
      </c>
      <c r="L71">
        <v>1</v>
      </c>
      <c r="M71" t="s">
        <v>165</v>
      </c>
      <c r="N71" s="1">
        <v>9702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22965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13263</v>
      </c>
      <c r="I72">
        <v>3.5999999999999997E-2</v>
      </c>
      <c r="J72">
        <v>0.185</v>
      </c>
      <c r="K72">
        <v>0</v>
      </c>
      <c r="L72">
        <v>1</v>
      </c>
      <c r="M72" t="s">
        <v>166</v>
      </c>
      <c r="N72" s="1">
        <v>9702</v>
      </c>
      <c r="O72">
        <v>2.7E-2</v>
      </c>
      <c r="P72">
        <v>0.16200000000000001</v>
      </c>
      <c r="Q72">
        <v>0</v>
      </c>
      <c r="R72">
        <v>1</v>
      </c>
    </row>
    <row r="73" spans="1:18" x14ac:dyDescent="0.25">
      <c r="A73" t="s">
        <v>167</v>
      </c>
      <c r="B73" s="1">
        <v>22965</v>
      </c>
      <c r="C73">
        <v>0.51</v>
      </c>
      <c r="D73">
        <v>0.5</v>
      </c>
      <c r="E73">
        <v>0</v>
      </c>
      <c r="F73">
        <v>1</v>
      </c>
      <c r="G73" t="s">
        <v>167</v>
      </c>
      <c r="H73" s="1">
        <v>13263</v>
      </c>
      <c r="I73">
        <v>0.54</v>
      </c>
      <c r="J73">
        <v>0.498</v>
      </c>
      <c r="K73">
        <v>0</v>
      </c>
      <c r="L73">
        <v>1</v>
      </c>
      <c r="M73" t="s">
        <v>167</v>
      </c>
      <c r="N73" s="1">
        <v>9702</v>
      </c>
      <c r="O73">
        <v>0.46800000000000003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22965</v>
      </c>
      <c r="C74">
        <v>0.122</v>
      </c>
      <c r="D74">
        <v>0.32800000000000001</v>
      </c>
      <c r="E74">
        <v>0</v>
      </c>
      <c r="F74">
        <v>1</v>
      </c>
      <c r="G74" t="s">
        <v>168</v>
      </c>
      <c r="H74" s="1">
        <v>13263</v>
      </c>
      <c r="I74">
        <v>0.11799999999999999</v>
      </c>
      <c r="J74">
        <v>0.32200000000000001</v>
      </c>
      <c r="K74">
        <v>0</v>
      </c>
      <c r="L74">
        <v>1</v>
      </c>
      <c r="M74" t="s">
        <v>168</v>
      </c>
      <c r="N74" s="1">
        <v>9702</v>
      </c>
      <c r="O74">
        <v>0.129</v>
      </c>
      <c r="P74">
        <v>0.33500000000000002</v>
      </c>
      <c r="Q74">
        <v>0</v>
      </c>
      <c r="R74">
        <v>1</v>
      </c>
    </row>
    <row r="75" spans="1:18" x14ac:dyDescent="0.25">
      <c r="A75" t="s">
        <v>169</v>
      </c>
      <c r="B75" s="1">
        <v>22965</v>
      </c>
      <c r="C75">
        <v>0.253</v>
      </c>
      <c r="D75">
        <v>0.434</v>
      </c>
      <c r="E75">
        <v>0</v>
      </c>
      <c r="F75">
        <v>1</v>
      </c>
      <c r="G75" t="s">
        <v>169</v>
      </c>
      <c r="H75" s="1">
        <v>13263</v>
      </c>
      <c r="I75">
        <v>0.23499999999999999</v>
      </c>
      <c r="J75">
        <v>0.42399999999999999</v>
      </c>
      <c r="K75">
        <v>0</v>
      </c>
      <c r="L75">
        <v>1</v>
      </c>
      <c r="M75" t="s">
        <v>169</v>
      </c>
      <c r="N75" s="1">
        <v>9702</v>
      </c>
      <c r="O75">
        <v>0.27700000000000002</v>
      </c>
      <c r="P75">
        <v>0.44700000000000001</v>
      </c>
      <c r="Q75">
        <v>0</v>
      </c>
      <c r="R75">
        <v>1</v>
      </c>
    </row>
    <row r="76" spans="1:18" x14ac:dyDescent="0.25">
      <c r="A76" t="s">
        <v>170</v>
      </c>
      <c r="B76" s="1">
        <v>22965</v>
      </c>
      <c r="C76">
        <v>7.9000000000000001E-2</v>
      </c>
      <c r="D76">
        <v>0.27</v>
      </c>
      <c r="E76">
        <v>0</v>
      </c>
      <c r="F76">
        <v>1</v>
      </c>
      <c r="G76" t="s">
        <v>170</v>
      </c>
      <c r="H76" s="1">
        <v>13263</v>
      </c>
      <c r="I76">
        <v>6.8000000000000005E-2</v>
      </c>
      <c r="J76">
        <v>0.252</v>
      </c>
      <c r="K76">
        <v>0</v>
      </c>
      <c r="L76">
        <v>1</v>
      </c>
      <c r="M76" t="s">
        <v>170</v>
      </c>
      <c r="N76" s="1">
        <v>9702</v>
      </c>
      <c r="O76">
        <v>9.5000000000000001E-2</v>
      </c>
      <c r="P76">
        <v>0.29299999999999998</v>
      </c>
      <c r="Q76">
        <v>0</v>
      </c>
      <c r="R76">
        <v>1</v>
      </c>
    </row>
    <row r="77" spans="1:18" x14ac:dyDescent="0.25">
      <c r="A77" t="s">
        <v>79</v>
      </c>
      <c r="B77" s="1">
        <v>22965</v>
      </c>
      <c r="C77">
        <v>3.2000000000000001E-2</v>
      </c>
      <c r="D77">
        <v>0.17699999999999999</v>
      </c>
      <c r="E77">
        <v>0</v>
      </c>
      <c r="F77">
        <v>1</v>
      </c>
      <c r="G77" t="s">
        <v>79</v>
      </c>
      <c r="H77" s="1">
        <v>13263</v>
      </c>
      <c r="I77">
        <v>0.03</v>
      </c>
      <c r="J77">
        <v>0.17</v>
      </c>
      <c r="K77">
        <v>0</v>
      </c>
      <c r="L77">
        <v>1</v>
      </c>
      <c r="M77" t="s">
        <v>79</v>
      </c>
      <c r="N77" s="1">
        <v>9702</v>
      </c>
      <c r="O77">
        <v>3.5999999999999997E-2</v>
      </c>
      <c r="P77">
        <v>0.185</v>
      </c>
      <c r="Q77">
        <v>0</v>
      </c>
      <c r="R77">
        <v>1</v>
      </c>
    </row>
    <row r="78" spans="1:18" x14ac:dyDescent="0.25">
      <c r="A78" t="s">
        <v>80</v>
      </c>
      <c r="B78" s="1">
        <v>22965</v>
      </c>
      <c r="C78">
        <v>2.9999999999999997E-4</v>
      </c>
      <c r="D78">
        <v>1.7000000000000001E-2</v>
      </c>
      <c r="E78">
        <v>0</v>
      </c>
      <c r="F78">
        <v>1</v>
      </c>
      <c r="G78" t="s">
        <v>80</v>
      </c>
      <c r="H78" s="1">
        <v>13263</v>
      </c>
      <c r="I78">
        <v>5.0000000000000001E-4</v>
      </c>
      <c r="J78">
        <v>2.1000000000000001E-2</v>
      </c>
      <c r="K78">
        <v>0</v>
      </c>
      <c r="L78">
        <v>1</v>
      </c>
      <c r="M78" t="s">
        <v>80</v>
      </c>
      <c r="N78" s="1">
        <v>9702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22965</v>
      </c>
      <c r="C79">
        <v>3.0000000000000001E-3</v>
      </c>
      <c r="D79">
        <v>5.8000000000000003E-2</v>
      </c>
      <c r="E79">
        <v>0</v>
      </c>
      <c r="F79">
        <v>1</v>
      </c>
      <c r="G79" t="s">
        <v>81</v>
      </c>
      <c r="H79" s="1">
        <v>13263</v>
      </c>
      <c r="I79">
        <v>3.0000000000000001E-3</v>
      </c>
      <c r="J79">
        <v>5.7000000000000002E-2</v>
      </c>
      <c r="K79">
        <v>0</v>
      </c>
      <c r="L79">
        <v>1</v>
      </c>
      <c r="M79" t="s">
        <v>81</v>
      </c>
      <c r="N79" s="1">
        <v>9702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22965</v>
      </c>
      <c r="C80">
        <v>4.0000000000000001E-3</v>
      </c>
      <c r="D80">
        <v>6.0999999999999999E-2</v>
      </c>
      <c r="E80">
        <v>0</v>
      </c>
      <c r="F80">
        <v>1</v>
      </c>
      <c r="G80" t="s">
        <v>82</v>
      </c>
      <c r="H80" s="1">
        <v>13263</v>
      </c>
      <c r="I80">
        <v>4.0000000000000001E-3</v>
      </c>
      <c r="J80">
        <v>6.2E-2</v>
      </c>
      <c r="K80">
        <v>0</v>
      </c>
      <c r="L80">
        <v>1</v>
      </c>
      <c r="M80" t="s">
        <v>82</v>
      </c>
      <c r="N80" s="1">
        <v>9702</v>
      </c>
      <c r="O80">
        <v>4.0000000000000001E-3</v>
      </c>
      <c r="P80">
        <v>6.0999999999999999E-2</v>
      </c>
      <c r="Q80">
        <v>0</v>
      </c>
      <c r="R80">
        <v>1</v>
      </c>
    </row>
    <row r="81" spans="1:18" x14ac:dyDescent="0.25">
      <c r="A81" t="s">
        <v>83</v>
      </c>
      <c r="B81" s="1">
        <v>22965</v>
      </c>
      <c r="C81">
        <v>0.54900000000000004</v>
      </c>
      <c r="D81">
        <v>0.498</v>
      </c>
      <c r="E81">
        <v>0</v>
      </c>
      <c r="F81">
        <v>1</v>
      </c>
      <c r="G81" t="s">
        <v>83</v>
      </c>
      <c r="H81" s="1">
        <v>13263</v>
      </c>
      <c r="I81">
        <v>0.56399999999999995</v>
      </c>
      <c r="J81">
        <v>0.496</v>
      </c>
      <c r="K81">
        <v>0</v>
      </c>
      <c r="L81">
        <v>1</v>
      </c>
      <c r="M81" t="s">
        <v>83</v>
      </c>
      <c r="N81" s="1">
        <v>9702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22965</v>
      </c>
      <c r="C82">
        <v>8.0000000000000002E-3</v>
      </c>
      <c r="D82">
        <v>8.5999999999999993E-2</v>
      </c>
      <c r="E82">
        <v>0</v>
      </c>
      <c r="F82">
        <v>1</v>
      </c>
      <c r="G82" t="s">
        <v>84</v>
      </c>
      <c r="H82" s="1">
        <v>13263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9702</v>
      </c>
      <c r="O82">
        <v>8.9999999999999993E-3</v>
      </c>
      <c r="P82">
        <v>9.6000000000000002E-2</v>
      </c>
      <c r="Q82">
        <v>0</v>
      </c>
      <c r="R82">
        <v>1</v>
      </c>
    </row>
    <row r="83" spans="1:18" x14ac:dyDescent="0.25">
      <c r="A83" t="s">
        <v>85</v>
      </c>
      <c r="B83" s="1">
        <v>22965</v>
      </c>
      <c r="C83">
        <v>0.40400000000000003</v>
      </c>
      <c r="D83">
        <v>0.49099999999999999</v>
      </c>
      <c r="E83">
        <v>0</v>
      </c>
      <c r="F83">
        <v>1</v>
      </c>
      <c r="G83" t="s">
        <v>85</v>
      </c>
      <c r="H83" s="1">
        <v>13263</v>
      </c>
      <c r="I83">
        <v>0.39200000000000002</v>
      </c>
      <c r="J83">
        <v>0.48799999999999999</v>
      </c>
      <c r="K83">
        <v>0</v>
      </c>
      <c r="L83">
        <v>1</v>
      </c>
      <c r="M83" t="s">
        <v>85</v>
      </c>
      <c r="N83" s="1">
        <v>9702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  <row r="87" spans="1:18" x14ac:dyDescent="0.25">
      <c r="G87" t="s">
        <v>6</v>
      </c>
      <c r="H87" s="1" t="s">
        <v>7</v>
      </c>
      <c r="I87" t="s">
        <v>8</v>
      </c>
      <c r="J87" t="s">
        <v>162</v>
      </c>
      <c r="K87" t="s">
        <v>8</v>
      </c>
      <c r="L87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FEAB-C02E-4F5D-B2BC-78FCB32B1505}">
  <sheetPr codeName="Sheet4"/>
  <dimension ref="A1:R86"/>
  <sheetViews>
    <sheetView workbookViewId="0">
      <selection activeCell="M15" sqref="M15"/>
    </sheetView>
  </sheetViews>
  <sheetFormatPr defaultRowHeight="15" x14ac:dyDescent="0.25"/>
  <cols>
    <col min="1" max="1" width="30.7109375" bestFit="1" customWidth="1"/>
    <col min="2" max="2" width="6.5703125" bestFit="1" customWidth="1"/>
    <col min="3" max="3" width="11.7109375" bestFit="1" customWidth="1"/>
    <col min="4" max="4" width="10.140625" bestFit="1" customWidth="1"/>
    <col min="5" max="5" width="12.42578125" bestFit="1" customWidth="1"/>
    <col min="6" max="6" width="12.7109375" bestFit="1" customWidth="1"/>
    <col min="7" max="7" width="30.7109375" bestFit="1" customWidth="1"/>
    <col min="8" max="8" width="6.5703125" bestFit="1" customWidth="1"/>
    <col min="9" max="9" width="11.7109375" bestFit="1" customWidth="1"/>
    <col min="10" max="10" width="10.140625" bestFit="1" customWidth="1"/>
    <col min="11" max="11" width="11.7109375" bestFit="1" customWidth="1"/>
    <col min="12" max="12" width="12.7109375" bestFit="1" customWidth="1"/>
    <col min="13" max="13" width="30.7109375" bestFit="1" customWidth="1"/>
    <col min="14" max="14" width="6.5703125" bestFit="1" customWidth="1"/>
    <col min="15" max="15" width="11.7109375" bestFit="1" customWidth="1"/>
    <col min="16" max="16" width="10.140625" bestFit="1" customWidth="1"/>
    <col min="17" max="17" width="12.42578125" bestFit="1" customWidth="1"/>
    <col min="18" max="18" width="12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43259</v>
      </c>
      <c r="C3">
        <v>1.175</v>
      </c>
      <c r="D3">
        <v>0.42</v>
      </c>
      <c r="E3">
        <v>1</v>
      </c>
      <c r="F3">
        <v>5</v>
      </c>
      <c r="G3" t="s">
        <v>10</v>
      </c>
      <c r="H3" s="1">
        <v>22663</v>
      </c>
      <c r="I3">
        <v>1.073</v>
      </c>
      <c r="J3">
        <v>0.26500000000000001</v>
      </c>
      <c r="K3">
        <v>1</v>
      </c>
      <c r="L3">
        <v>4</v>
      </c>
      <c r="M3" t="s">
        <v>10</v>
      </c>
      <c r="N3" s="1">
        <v>20596</v>
      </c>
      <c r="O3">
        <v>1.2869999999999999</v>
      </c>
      <c r="P3">
        <v>0.51900000000000002</v>
      </c>
      <c r="Q3">
        <v>1</v>
      </c>
      <c r="R3">
        <v>5</v>
      </c>
    </row>
    <row r="4" spans="1:18" x14ac:dyDescent="0.25">
      <c r="A4" t="s">
        <v>11</v>
      </c>
      <c r="B4" s="1">
        <v>43259</v>
      </c>
      <c r="C4">
        <v>0.47599999999999998</v>
      </c>
      <c r="D4">
        <v>0.499</v>
      </c>
      <c r="E4">
        <v>0</v>
      </c>
      <c r="F4">
        <v>1</v>
      </c>
      <c r="G4" t="s">
        <v>11</v>
      </c>
      <c r="H4" s="1">
        <v>22663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20596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43259</v>
      </c>
      <c r="C5">
        <v>0.42</v>
      </c>
      <c r="D5">
        <v>0.49399999999999999</v>
      </c>
      <c r="E5">
        <v>0</v>
      </c>
      <c r="F5">
        <v>1</v>
      </c>
      <c r="G5" t="s">
        <v>12</v>
      </c>
      <c r="H5" s="1">
        <v>22663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20596</v>
      </c>
      <c r="O5">
        <v>0.88100000000000001</v>
      </c>
      <c r="P5">
        <v>0.32400000000000001</v>
      </c>
      <c r="Q5">
        <v>0</v>
      </c>
      <c r="R5">
        <v>1</v>
      </c>
    </row>
    <row r="6" spans="1:18" x14ac:dyDescent="0.25">
      <c r="A6" t="s">
        <v>36</v>
      </c>
      <c r="B6" s="1">
        <v>20596</v>
      </c>
      <c r="C6">
        <v>306.72300000000001</v>
      </c>
      <c r="D6">
        <v>563.15599999999995</v>
      </c>
      <c r="E6">
        <v>0</v>
      </c>
      <c r="F6" s="1">
        <v>4021</v>
      </c>
      <c r="H6" s="1"/>
      <c r="M6" t="s">
        <v>36</v>
      </c>
      <c r="N6" s="1">
        <v>20596</v>
      </c>
      <c r="O6">
        <v>306.72300000000001</v>
      </c>
      <c r="P6">
        <v>563.15599999999995</v>
      </c>
      <c r="Q6">
        <v>0</v>
      </c>
      <c r="R6" s="1">
        <v>4021</v>
      </c>
    </row>
    <row r="7" spans="1:18" x14ac:dyDescent="0.25">
      <c r="A7" t="s">
        <v>13</v>
      </c>
      <c r="B7" s="1">
        <v>43259</v>
      </c>
      <c r="C7">
        <v>1.91</v>
      </c>
      <c r="D7">
        <v>0.90600000000000003</v>
      </c>
      <c r="E7">
        <v>0</v>
      </c>
      <c r="F7">
        <v>17</v>
      </c>
      <c r="G7" t="s">
        <v>13</v>
      </c>
      <c r="H7" s="1">
        <v>22663</v>
      </c>
      <c r="I7">
        <v>1.893</v>
      </c>
      <c r="J7">
        <v>0.88400000000000001</v>
      </c>
      <c r="K7">
        <v>0</v>
      </c>
      <c r="L7">
        <v>17</v>
      </c>
      <c r="M7" t="s">
        <v>13</v>
      </c>
      <c r="N7" s="1">
        <v>20596</v>
      </c>
      <c r="O7">
        <v>1.929</v>
      </c>
      <c r="P7">
        <v>0.93</v>
      </c>
      <c r="Q7">
        <v>0</v>
      </c>
      <c r="R7">
        <v>15</v>
      </c>
    </row>
    <row r="8" spans="1:18" x14ac:dyDescent="0.25">
      <c r="A8" t="s">
        <v>14</v>
      </c>
      <c r="B8" s="1">
        <v>43259</v>
      </c>
      <c r="C8">
        <v>0.26700000000000002</v>
      </c>
      <c r="D8">
        <v>0.46400000000000002</v>
      </c>
      <c r="E8">
        <v>0</v>
      </c>
      <c r="F8">
        <v>5</v>
      </c>
      <c r="G8" t="s">
        <v>14</v>
      </c>
      <c r="H8" s="1">
        <v>22663</v>
      </c>
      <c r="I8">
        <v>0.26400000000000001</v>
      </c>
      <c r="J8">
        <v>0.46</v>
      </c>
      <c r="K8">
        <v>0</v>
      </c>
      <c r="L8">
        <v>5</v>
      </c>
      <c r="M8" t="s">
        <v>14</v>
      </c>
      <c r="N8" s="1">
        <v>20596</v>
      </c>
      <c r="O8">
        <v>0.27</v>
      </c>
      <c r="P8">
        <v>0.47</v>
      </c>
      <c r="Q8">
        <v>0</v>
      </c>
      <c r="R8">
        <v>5</v>
      </c>
    </row>
    <row r="9" spans="1:18" x14ac:dyDescent="0.25">
      <c r="A9" t="s">
        <v>15</v>
      </c>
      <c r="B9" s="1">
        <v>43259</v>
      </c>
      <c r="C9">
        <v>2.7229999999999999</v>
      </c>
      <c r="D9">
        <v>1.492</v>
      </c>
      <c r="E9">
        <v>0</v>
      </c>
      <c r="F9">
        <v>25</v>
      </c>
      <c r="G9" t="s">
        <v>15</v>
      </c>
      <c r="H9" s="1">
        <v>22663</v>
      </c>
      <c r="I9">
        <v>2.7090000000000001</v>
      </c>
      <c r="J9">
        <v>1.4670000000000001</v>
      </c>
      <c r="K9">
        <v>0</v>
      </c>
      <c r="L9">
        <v>18</v>
      </c>
      <c r="M9" t="s">
        <v>15</v>
      </c>
      <c r="N9" s="1">
        <v>20596</v>
      </c>
      <c r="O9">
        <v>2.738</v>
      </c>
      <c r="P9">
        <v>1.518</v>
      </c>
      <c r="Q9">
        <v>0</v>
      </c>
      <c r="R9">
        <v>25</v>
      </c>
    </row>
    <row r="10" spans="1:18" x14ac:dyDescent="0.25">
      <c r="A10" t="s">
        <v>16</v>
      </c>
      <c r="B10" s="1">
        <v>43259</v>
      </c>
      <c r="C10">
        <v>43.421999999999997</v>
      </c>
      <c r="D10">
        <v>58.856000000000002</v>
      </c>
      <c r="E10">
        <v>0</v>
      </c>
      <c r="F10">
        <v>946</v>
      </c>
      <c r="G10" t="s">
        <v>16</v>
      </c>
      <c r="H10" s="1">
        <v>22663</v>
      </c>
      <c r="I10">
        <v>51.045000000000002</v>
      </c>
      <c r="J10">
        <v>59.267000000000003</v>
      </c>
      <c r="K10">
        <v>0</v>
      </c>
      <c r="L10">
        <v>785</v>
      </c>
      <c r="M10" t="s">
        <v>16</v>
      </c>
      <c r="N10" s="1">
        <v>20596</v>
      </c>
      <c r="O10">
        <v>35.034999999999997</v>
      </c>
      <c r="P10">
        <v>57.241</v>
      </c>
      <c r="Q10">
        <v>0</v>
      </c>
      <c r="R10">
        <v>946</v>
      </c>
    </row>
    <row r="11" spans="1:18" x14ac:dyDescent="0.25">
      <c r="A11" t="s">
        <v>163</v>
      </c>
      <c r="B11" s="1">
        <v>43259</v>
      </c>
      <c r="C11" s="2">
        <v>1337.845</v>
      </c>
      <c r="D11">
        <v>848.19500000000005</v>
      </c>
      <c r="E11">
        <v>120</v>
      </c>
      <c r="F11" s="1">
        <v>17408</v>
      </c>
      <c r="G11" t="s">
        <v>163</v>
      </c>
      <c r="H11" s="1">
        <v>22663</v>
      </c>
      <c r="I11" s="2">
        <v>1330.6420000000001</v>
      </c>
      <c r="J11">
        <v>828.28700000000003</v>
      </c>
      <c r="K11">
        <v>160</v>
      </c>
      <c r="L11" s="1">
        <v>17408</v>
      </c>
      <c r="M11" t="s">
        <v>163</v>
      </c>
      <c r="N11" s="1">
        <v>20596</v>
      </c>
      <c r="O11" s="2">
        <v>1345.7719999999999</v>
      </c>
      <c r="P11">
        <v>869.52599999999995</v>
      </c>
      <c r="Q11">
        <v>120</v>
      </c>
      <c r="R11" s="1">
        <v>16703</v>
      </c>
    </row>
    <row r="12" spans="1:18" x14ac:dyDescent="0.25">
      <c r="A12" t="s">
        <v>17</v>
      </c>
      <c r="B12" s="1">
        <v>43259</v>
      </c>
      <c r="C12">
        <v>166.249</v>
      </c>
      <c r="D12">
        <v>230.357</v>
      </c>
      <c r="E12">
        <v>0</v>
      </c>
      <c r="F12" s="1">
        <v>4444</v>
      </c>
      <c r="G12" t="s">
        <v>17</v>
      </c>
      <c r="H12" s="1">
        <v>22663</v>
      </c>
      <c r="I12" s="2">
        <v>165.45</v>
      </c>
      <c r="J12">
        <v>230.56800000000001</v>
      </c>
      <c r="K12">
        <v>0</v>
      </c>
      <c r="L12" s="1">
        <v>4444</v>
      </c>
      <c r="M12" t="s">
        <v>17</v>
      </c>
      <c r="N12" s="1">
        <v>20596</v>
      </c>
      <c r="O12">
        <v>167.12799999999999</v>
      </c>
      <c r="P12">
        <v>230.12799999999999</v>
      </c>
      <c r="Q12">
        <v>0</v>
      </c>
      <c r="R12" s="1">
        <v>3200</v>
      </c>
    </row>
    <row r="13" spans="1:18" x14ac:dyDescent="0.25">
      <c r="A13" t="s">
        <v>19</v>
      </c>
      <c r="B13" s="1">
        <v>43259</v>
      </c>
      <c r="C13" s="2">
        <v>958467.1</v>
      </c>
      <c r="D13" s="2">
        <v>904082.5</v>
      </c>
      <c r="E13" s="2">
        <v>85418.51</v>
      </c>
      <c r="F13" s="2">
        <v>28197546</v>
      </c>
      <c r="G13" t="s">
        <v>19</v>
      </c>
      <c r="H13" s="1">
        <v>22663</v>
      </c>
      <c r="I13" s="2">
        <v>930195.5</v>
      </c>
      <c r="J13" s="2">
        <v>879862.7</v>
      </c>
      <c r="K13" s="2">
        <v>99684.44</v>
      </c>
      <c r="L13" s="1">
        <v>28197546</v>
      </c>
      <c r="M13" t="s">
        <v>19</v>
      </c>
      <c r="N13" s="1">
        <v>20596</v>
      </c>
      <c r="O13" s="2">
        <v>989576.1</v>
      </c>
      <c r="P13" s="2">
        <v>929032.1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43259</v>
      </c>
      <c r="C14" s="2">
        <v>948065.7</v>
      </c>
      <c r="D14" s="2">
        <v>853284.3</v>
      </c>
      <c r="E14" s="2">
        <v>85418.51</v>
      </c>
      <c r="F14" s="2">
        <v>28197546</v>
      </c>
      <c r="G14" t="s">
        <v>20</v>
      </c>
      <c r="H14" s="1">
        <v>22663</v>
      </c>
      <c r="I14" s="2">
        <v>911665</v>
      </c>
      <c r="J14" s="2">
        <v>826668.3</v>
      </c>
      <c r="K14" s="2">
        <v>118448.6</v>
      </c>
      <c r="L14" s="1">
        <v>28197546</v>
      </c>
      <c r="M14" t="s">
        <v>20</v>
      </c>
      <c r="N14" s="1">
        <v>20596</v>
      </c>
      <c r="O14" s="2">
        <v>988119.4</v>
      </c>
      <c r="P14" s="2">
        <v>879925.2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43259</v>
      </c>
      <c r="C15" s="2">
        <v>8489.7649999999994</v>
      </c>
      <c r="D15" s="2">
        <v>92576.27</v>
      </c>
      <c r="E15" s="2">
        <v>-2010000</v>
      </c>
      <c r="F15" s="2">
        <v>6900000</v>
      </c>
      <c r="G15" t="s">
        <v>190</v>
      </c>
      <c r="H15" s="1">
        <v>22663</v>
      </c>
      <c r="I15" s="2">
        <v>15241.35</v>
      </c>
      <c r="J15" s="2">
        <v>70758.75</v>
      </c>
      <c r="K15" s="2">
        <v>-1850000</v>
      </c>
      <c r="L15" s="2">
        <v>2950000</v>
      </c>
      <c r="M15" t="s">
        <v>190</v>
      </c>
      <c r="N15" s="1">
        <v>20596</v>
      </c>
      <c r="O15" s="2">
        <v>1060.5909999999999</v>
      </c>
      <c r="P15" s="2">
        <v>111295.3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43259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22663</v>
      </c>
      <c r="I16" s="2">
        <v>1.2E-2</v>
      </c>
      <c r="J16" s="2">
        <v>0.11</v>
      </c>
      <c r="K16" s="2">
        <v>0</v>
      </c>
      <c r="L16" s="2">
        <v>1</v>
      </c>
      <c r="M16" t="s">
        <v>21</v>
      </c>
      <c r="N16" s="1">
        <v>20596</v>
      </c>
      <c r="O16">
        <v>1.4E-2</v>
      </c>
      <c r="P16">
        <v>0.11899999999999999</v>
      </c>
      <c r="Q16">
        <v>0</v>
      </c>
      <c r="R16">
        <v>1</v>
      </c>
    </row>
    <row r="17" spans="1:18" x14ac:dyDescent="0.25">
      <c r="A17" t="s">
        <v>22</v>
      </c>
      <c r="B17" s="1">
        <v>43259</v>
      </c>
      <c r="C17">
        <v>3.5000000000000003E-2</v>
      </c>
      <c r="D17">
        <v>0.184</v>
      </c>
      <c r="E17">
        <v>0</v>
      </c>
      <c r="F17">
        <v>1</v>
      </c>
      <c r="G17" t="s">
        <v>22</v>
      </c>
      <c r="H17" s="1">
        <v>22663</v>
      </c>
      <c r="I17" s="2">
        <v>3.5000000000000003E-2</v>
      </c>
      <c r="J17" s="2">
        <v>0.184</v>
      </c>
      <c r="K17" s="1">
        <v>0</v>
      </c>
      <c r="L17" s="1">
        <v>1</v>
      </c>
      <c r="M17" t="s">
        <v>22</v>
      </c>
      <c r="N17" s="1">
        <v>20596</v>
      </c>
      <c r="O17">
        <v>3.5999999999999997E-2</v>
      </c>
      <c r="P17">
        <v>0.185</v>
      </c>
      <c r="Q17">
        <v>0</v>
      </c>
      <c r="R17">
        <v>1</v>
      </c>
    </row>
    <row r="18" spans="1:18" x14ac:dyDescent="0.25">
      <c r="A18" t="s">
        <v>23</v>
      </c>
      <c r="B18" s="1">
        <v>43259</v>
      </c>
      <c r="C18">
        <v>7.0000000000000001E-3</v>
      </c>
      <c r="D18">
        <v>8.5000000000000006E-2</v>
      </c>
      <c r="E18">
        <v>0</v>
      </c>
      <c r="F18">
        <v>1</v>
      </c>
      <c r="G18" t="s">
        <v>23</v>
      </c>
      <c r="H18" s="1">
        <v>22663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20596</v>
      </c>
      <c r="O18">
        <v>7.0000000000000001E-3</v>
      </c>
      <c r="P18">
        <v>8.3000000000000004E-2</v>
      </c>
      <c r="Q18">
        <v>0</v>
      </c>
      <c r="R18">
        <v>1</v>
      </c>
    </row>
    <row r="19" spans="1:18" x14ac:dyDescent="0.25">
      <c r="A19" t="s">
        <v>24</v>
      </c>
      <c r="B19" s="1">
        <v>43259</v>
      </c>
      <c r="C19">
        <v>0.09</v>
      </c>
      <c r="D19">
        <v>0.28699999999999998</v>
      </c>
      <c r="E19">
        <v>0</v>
      </c>
      <c r="F19">
        <v>1</v>
      </c>
      <c r="G19" t="s">
        <v>24</v>
      </c>
      <c r="H19" s="1">
        <v>22663</v>
      </c>
      <c r="I19">
        <v>9.2999999999999999E-2</v>
      </c>
      <c r="J19">
        <v>0.28999999999999998</v>
      </c>
      <c r="K19">
        <v>0</v>
      </c>
      <c r="L19">
        <v>1</v>
      </c>
      <c r="M19" t="s">
        <v>24</v>
      </c>
      <c r="N19" s="1">
        <v>20596</v>
      </c>
      <c r="O19">
        <v>8.7999999999999995E-2</v>
      </c>
      <c r="P19">
        <v>0.28299999999999997</v>
      </c>
      <c r="Q19">
        <v>0</v>
      </c>
      <c r="R19">
        <v>1</v>
      </c>
    </row>
    <row r="20" spans="1:18" x14ac:dyDescent="0.25">
      <c r="A20" t="s">
        <v>25</v>
      </c>
      <c r="B20" s="1">
        <v>43259</v>
      </c>
      <c r="C20">
        <v>0.29099999999999998</v>
      </c>
      <c r="D20">
        <v>0.45400000000000001</v>
      </c>
      <c r="E20">
        <v>0</v>
      </c>
      <c r="F20">
        <v>1</v>
      </c>
      <c r="G20" t="s">
        <v>25</v>
      </c>
      <c r="H20" s="1">
        <v>22663</v>
      </c>
      <c r="I20">
        <v>0.28699999999999998</v>
      </c>
      <c r="J20">
        <v>0.45300000000000001</v>
      </c>
      <c r="K20">
        <v>0</v>
      </c>
      <c r="L20">
        <v>1</v>
      </c>
      <c r="M20" t="s">
        <v>25</v>
      </c>
      <c r="N20" s="1">
        <v>20596</v>
      </c>
      <c r="O20">
        <v>0.29499999999999998</v>
      </c>
      <c r="P20">
        <v>0.45600000000000002</v>
      </c>
      <c r="Q20">
        <v>0</v>
      </c>
      <c r="R20">
        <v>1</v>
      </c>
    </row>
    <row r="21" spans="1:18" x14ac:dyDescent="0.25">
      <c r="A21" t="s">
        <v>26</v>
      </c>
      <c r="B21" s="1">
        <v>43259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22663</v>
      </c>
      <c r="I21">
        <v>0.152</v>
      </c>
      <c r="J21">
        <v>0.35899999999999999</v>
      </c>
      <c r="K21">
        <v>0</v>
      </c>
      <c r="L21">
        <v>1</v>
      </c>
      <c r="M21" t="s">
        <v>26</v>
      </c>
      <c r="N21" s="1">
        <v>20596</v>
      </c>
      <c r="O21">
        <v>0.16400000000000001</v>
      </c>
      <c r="P21">
        <v>0.371</v>
      </c>
      <c r="Q21">
        <v>0</v>
      </c>
      <c r="R21">
        <v>1</v>
      </c>
    </row>
    <row r="22" spans="1:18" x14ac:dyDescent="0.25">
      <c r="A22" t="s">
        <v>27</v>
      </c>
      <c r="B22" s="1">
        <v>43259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22663</v>
      </c>
      <c r="I22">
        <v>3.7999999999999999E-2</v>
      </c>
      <c r="J22">
        <v>0.191</v>
      </c>
      <c r="K22">
        <v>0</v>
      </c>
      <c r="L22">
        <v>1</v>
      </c>
      <c r="M22" t="s">
        <v>27</v>
      </c>
      <c r="N22" s="1">
        <v>20596</v>
      </c>
      <c r="O22">
        <v>3.5000000000000003E-2</v>
      </c>
      <c r="P22">
        <v>0.183</v>
      </c>
      <c r="Q22">
        <v>0</v>
      </c>
      <c r="R22">
        <v>1</v>
      </c>
    </row>
    <row r="23" spans="1:18" x14ac:dyDescent="0.25">
      <c r="A23" t="s">
        <v>28</v>
      </c>
      <c r="B23" s="1">
        <v>43259</v>
      </c>
      <c r="C23">
        <v>0.42499999999999999</v>
      </c>
      <c r="D23">
        <v>0.49399999999999999</v>
      </c>
      <c r="E23">
        <v>0</v>
      </c>
      <c r="F23">
        <v>1</v>
      </c>
      <c r="G23" t="s">
        <v>28</v>
      </c>
      <c r="H23" s="1">
        <v>22663</v>
      </c>
      <c r="I23">
        <v>0.432</v>
      </c>
      <c r="J23">
        <v>0.495</v>
      </c>
      <c r="K23">
        <v>0</v>
      </c>
      <c r="L23">
        <v>1</v>
      </c>
      <c r="M23" t="s">
        <v>28</v>
      </c>
      <c r="N23" s="1">
        <v>20596</v>
      </c>
      <c r="O23">
        <v>0.41799999999999998</v>
      </c>
      <c r="P23">
        <v>0.49299999999999999</v>
      </c>
      <c r="Q23">
        <v>0</v>
      </c>
      <c r="R23">
        <v>1</v>
      </c>
    </row>
    <row r="24" spans="1:18" x14ac:dyDescent="0.25">
      <c r="A24" t="s">
        <v>29</v>
      </c>
      <c r="B24" s="1">
        <v>43259</v>
      </c>
      <c r="C24">
        <v>8.9999999999999993E-3</v>
      </c>
      <c r="D24">
        <v>9.1999999999999998E-2</v>
      </c>
      <c r="E24">
        <v>0</v>
      </c>
      <c r="F24">
        <v>1</v>
      </c>
      <c r="G24" t="s">
        <v>29</v>
      </c>
      <c r="H24" s="1">
        <v>22663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20596</v>
      </c>
      <c r="O24">
        <v>8.0000000000000002E-3</v>
      </c>
      <c r="P24">
        <v>0.09</v>
      </c>
      <c r="Q24">
        <v>0</v>
      </c>
      <c r="R24">
        <v>1</v>
      </c>
    </row>
    <row r="25" spans="1:18" x14ac:dyDescent="0.25">
      <c r="A25" t="s">
        <v>30</v>
      </c>
      <c r="B25" s="1">
        <v>43259</v>
      </c>
      <c r="C25">
        <v>1.9E-2</v>
      </c>
      <c r="D25">
        <v>0.13700000000000001</v>
      </c>
      <c r="E25">
        <v>0</v>
      </c>
      <c r="F25">
        <v>1</v>
      </c>
      <c r="G25" t="s">
        <v>30</v>
      </c>
      <c r="H25" s="1">
        <v>22663</v>
      </c>
      <c r="I25">
        <v>1.7000000000000001E-2</v>
      </c>
      <c r="J25">
        <v>0.13</v>
      </c>
      <c r="K25">
        <v>0</v>
      </c>
      <c r="L25">
        <v>1</v>
      </c>
      <c r="M25" t="s">
        <v>30</v>
      </c>
      <c r="N25" s="1">
        <v>20596</v>
      </c>
      <c r="O25">
        <v>2.1000000000000001E-2</v>
      </c>
      <c r="P25">
        <v>0.14299999999999999</v>
      </c>
      <c r="Q25">
        <v>0</v>
      </c>
      <c r="R25">
        <v>1</v>
      </c>
    </row>
    <row r="26" spans="1:18" x14ac:dyDescent="0.25">
      <c r="A26" t="s">
        <v>31</v>
      </c>
      <c r="B26" s="1">
        <v>43259</v>
      </c>
      <c r="C26">
        <v>4.3999999999999997E-2</v>
      </c>
      <c r="D26">
        <v>0.20499999999999999</v>
      </c>
      <c r="E26">
        <v>0</v>
      </c>
      <c r="F26">
        <v>1</v>
      </c>
      <c r="G26" t="s">
        <v>31</v>
      </c>
      <c r="H26" s="1">
        <v>22663</v>
      </c>
      <c r="I26">
        <v>4.4999999999999998E-2</v>
      </c>
      <c r="J26">
        <v>0.20699999999999999</v>
      </c>
      <c r="K26">
        <v>0</v>
      </c>
      <c r="L26">
        <v>1</v>
      </c>
      <c r="M26" t="s">
        <v>31</v>
      </c>
      <c r="N26" s="1">
        <v>20596</v>
      </c>
      <c r="O26">
        <v>4.2999999999999997E-2</v>
      </c>
      <c r="P26">
        <v>0.20300000000000001</v>
      </c>
      <c r="Q26">
        <v>0</v>
      </c>
      <c r="R26">
        <v>1</v>
      </c>
    </row>
    <row r="27" spans="1:18" x14ac:dyDescent="0.25">
      <c r="A27" t="s">
        <v>32</v>
      </c>
      <c r="B27" s="1">
        <v>43259</v>
      </c>
      <c r="C27">
        <v>0.46</v>
      </c>
      <c r="D27">
        <v>0.498</v>
      </c>
      <c r="E27">
        <v>0</v>
      </c>
      <c r="F27">
        <v>1</v>
      </c>
      <c r="G27" t="s">
        <v>32</v>
      </c>
      <c r="H27" s="1">
        <v>22663</v>
      </c>
      <c r="I27">
        <v>0.46700000000000003</v>
      </c>
      <c r="J27">
        <v>0.499</v>
      </c>
      <c r="K27">
        <v>0</v>
      </c>
      <c r="L27">
        <v>1</v>
      </c>
      <c r="M27" t="s">
        <v>32</v>
      </c>
      <c r="N27" s="1">
        <v>20596</v>
      </c>
      <c r="O27">
        <v>0.45300000000000001</v>
      </c>
      <c r="P27">
        <v>0.498</v>
      </c>
      <c r="Q27">
        <v>0</v>
      </c>
      <c r="R27">
        <v>1</v>
      </c>
    </row>
    <row r="28" spans="1:18" x14ac:dyDescent="0.25">
      <c r="A28" t="s">
        <v>33</v>
      </c>
      <c r="B28" s="1">
        <v>43259</v>
      </c>
      <c r="C28">
        <v>37.741</v>
      </c>
      <c r="D28">
        <v>19.637</v>
      </c>
      <c r="E28">
        <v>0</v>
      </c>
      <c r="F28">
        <v>123</v>
      </c>
      <c r="G28" t="s">
        <v>33</v>
      </c>
      <c r="H28" s="1">
        <v>22663</v>
      </c>
      <c r="I28">
        <v>36.433</v>
      </c>
      <c r="J28">
        <v>19.324000000000002</v>
      </c>
      <c r="K28">
        <v>0</v>
      </c>
      <c r="L28">
        <v>112</v>
      </c>
      <c r="M28" t="s">
        <v>33</v>
      </c>
      <c r="N28" s="1">
        <v>20596</v>
      </c>
      <c r="O28">
        <v>39.18</v>
      </c>
      <c r="P28">
        <v>19.878</v>
      </c>
      <c r="Q28">
        <v>0</v>
      </c>
      <c r="R28">
        <v>123</v>
      </c>
    </row>
    <row r="29" spans="1:18" x14ac:dyDescent="0.25">
      <c r="A29" t="s">
        <v>34</v>
      </c>
      <c r="B29" s="1">
        <v>43259</v>
      </c>
      <c r="C29">
        <v>1.81</v>
      </c>
      <c r="D29">
        <v>1.575</v>
      </c>
      <c r="E29">
        <v>0</v>
      </c>
      <c r="F29">
        <v>15.129</v>
      </c>
      <c r="G29" t="s">
        <v>34</v>
      </c>
      <c r="H29" s="1">
        <v>22663</v>
      </c>
      <c r="I29">
        <v>1.7010000000000001</v>
      </c>
      <c r="J29">
        <v>1.4990000000000001</v>
      </c>
      <c r="K29">
        <v>0</v>
      </c>
      <c r="L29">
        <v>12.544</v>
      </c>
      <c r="M29" t="s">
        <v>34</v>
      </c>
      <c r="N29" s="1">
        <v>20596</v>
      </c>
      <c r="O29">
        <v>1.93</v>
      </c>
      <c r="P29">
        <v>1.6459999999999999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43259</v>
      </c>
      <c r="C30">
        <v>3.1739999999999999</v>
      </c>
      <c r="D30">
        <v>9.4</v>
      </c>
      <c r="E30">
        <v>0</v>
      </c>
      <c r="F30">
        <v>94</v>
      </c>
      <c r="G30" t="s">
        <v>35</v>
      </c>
      <c r="H30" s="1">
        <v>22663</v>
      </c>
      <c r="I30">
        <v>3.0259999999999998</v>
      </c>
      <c r="J30">
        <v>9.1479999999999997</v>
      </c>
      <c r="K30">
        <v>0</v>
      </c>
      <c r="L30">
        <v>88</v>
      </c>
      <c r="M30" t="s">
        <v>35</v>
      </c>
      <c r="N30" s="1">
        <v>20596</v>
      </c>
      <c r="O30">
        <v>3.3359999999999999</v>
      </c>
      <c r="P30">
        <v>9.6660000000000004</v>
      </c>
      <c r="Q30">
        <v>0</v>
      </c>
      <c r="R30">
        <v>94</v>
      </c>
    </row>
    <row r="31" spans="1:18" x14ac:dyDescent="0.25">
      <c r="A31" t="s">
        <v>18</v>
      </c>
      <c r="B31" s="1">
        <v>43259</v>
      </c>
      <c r="C31" s="2">
        <v>1483.683</v>
      </c>
      <c r="D31" s="2">
        <v>1003.373</v>
      </c>
      <c r="E31">
        <v>175</v>
      </c>
      <c r="F31" s="1">
        <v>23350</v>
      </c>
      <c r="G31" t="s">
        <v>18</v>
      </c>
      <c r="H31" s="1">
        <v>22663</v>
      </c>
      <c r="I31" s="2">
        <v>1475.73</v>
      </c>
      <c r="J31">
        <v>982.077</v>
      </c>
      <c r="K31">
        <v>195</v>
      </c>
      <c r="L31" s="1">
        <v>23350</v>
      </c>
      <c r="M31" t="s">
        <v>18</v>
      </c>
      <c r="N31" s="1">
        <v>20596</v>
      </c>
      <c r="O31" s="2">
        <v>1492.4349999999999</v>
      </c>
      <c r="P31" s="2">
        <v>1026.249</v>
      </c>
      <c r="Q31">
        <v>175</v>
      </c>
      <c r="R31" s="1">
        <v>18919</v>
      </c>
    </row>
    <row r="32" spans="1:18" x14ac:dyDescent="0.25">
      <c r="A32" t="s">
        <v>37</v>
      </c>
      <c r="B32" s="1">
        <v>43259</v>
      </c>
      <c r="C32">
        <v>2.9929999999999999</v>
      </c>
      <c r="D32">
        <v>5.8659999999999997</v>
      </c>
      <c r="E32">
        <v>1.4E-2</v>
      </c>
      <c r="F32">
        <v>128.91800000000001</v>
      </c>
      <c r="G32" t="s">
        <v>37</v>
      </c>
      <c r="H32" s="1">
        <v>22663</v>
      </c>
      <c r="I32" s="2">
        <v>2.8780000000000001</v>
      </c>
      <c r="J32">
        <v>5.7</v>
      </c>
      <c r="K32">
        <v>1.4E-2</v>
      </c>
      <c r="L32" s="1">
        <v>128.91800000000001</v>
      </c>
      <c r="M32" t="s">
        <v>37</v>
      </c>
      <c r="N32" s="1">
        <v>20596</v>
      </c>
      <c r="O32">
        <v>3.12</v>
      </c>
      <c r="P32">
        <v>6.0410000000000004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43259</v>
      </c>
      <c r="C33">
        <v>2.0859999999999999</v>
      </c>
      <c r="D33">
        <v>2.4409999999999998</v>
      </c>
      <c r="E33">
        <v>0</v>
      </c>
      <c r="F33">
        <v>13.552</v>
      </c>
      <c r="G33" t="s">
        <v>164</v>
      </c>
      <c r="H33" s="1">
        <v>22663</v>
      </c>
      <c r="I33" s="2">
        <v>2.1269999999999998</v>
      </c>
      <c r="J33">
        <v>2.4900000000000002</v>
      </c>
      <c r="K33">
        <v>0</v>
      </c>
      <c r="L33" s="1">
        <v>13.552</v>
      </c>
      <c r="M33" t="s">
        <v>164</v>
      </c>
      <c r="N33" s="1">
        <v>20596</v>
      </c>
      <c r="O33">
        <v>2.0409999999999999</v>
      </c>
      <c r="P33">
        <v>2.3860000000000001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43259</v>
      </c>
      <c r="C34">
        <v>0.42299999999999999</v>
      </c>
      <c r="D34">
        <v>0.312</v>
      </c>
      <c r="E34">
        <v>0</v>
      </c>
      <c r="F34">
        <v>3.56</v>
      </c>
      <c r="G34" t="s">
        <v>39</v>
      </c>
      <c r="H34" s="1">
        <v>22663</v>
      </c>
      <c r="I34">
        <v>0.41899999999999998</v>
      </c>
      <c r="J34">
        <v>0.307</v>
      </c>
      <c r="K34">
        <v>0</v>
      </c>
      <c r="L34">
        <v>3.302</v>
      </c>
      <c r="M34" t="s">
        <v>39</v>
      </c>
      <c r="N34" s="1">
        <v>20596</v>
      </c>
      <c r="O34">
        <v>0.42799999999999999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43259</v>
      </c>
      <c r="C35">
        <v>4.05</v>
      </c>
      <c r="D35">
        <v>3.9359999999999999</v>
      </c>
      <c r="E35">
        <v>0.01</v>
      </c>
      <c r="F35">
        <v>20.997</v>
      </c>
      <c r="G35" t="s">
        <v>40</v>
      </c>
      <c r="H35" s="1">
        <v>22663</v>
      </c>
      <c r="I35">
        <v>3.956</v>
      </c>
      <c r="J35">
        <v>3.8290000000000002</v>
      </c>
      <c r="K35">
        <v>1.4999999999999999E-2</v>
      </c>
      <c r="L35">
        <v>20.997</v>
      </c>
      <c r="M35" t="s">
        <v>40</v>
      </c>
      <c r="N35" s="1">
        <v>20596</v>
      </c>
      <c r="O35">
        <v>4.1539999999999999</v>
      </c>
      <c r="P35">
        <v>4.048</v>
      </c>
      <c r="Q35">
        <v>0.01</v>
      </c>
      <c r="R35">
        <v>20.927</v>
      </c>
    </row>
    <row r="36" spans="1:18" x14ac:dyDescent="0.25">
      <c r="A36" t="s">
        <v>41</v>
      </c>
      <c r="B36" s="1">
        <v>43259</v>
      </c>
      <c r="C36">
        <v>9.1059999999999999</v>
      </c>
      <c r="D36">
        <v>5.6079999999999997</v>
      </c>
      <c r="E36">
        <v>0.32300000000000001</v>
      </c>
      <c r="F36">
        <v>30.986000000000001</v>
      </c>
      <c r="G36" t="s">
        <v>41</v>
      </c>
      <c r="H36" s="1">
        <v>22663</v>
      </c>
      <c r="I36">
        <v>9.125</v>
      </c>
      <c r="J36">
        <v>5.6130000000000004</v>
      </c>
      <c r="K36">
        <v>0.32300000000000001</v>
      </c>
      <c r="L36">
        <v>30.003</v>
      </c>
      <c r="M36" t="s">
        <v>41</v>
      </c>
      <c r="N36" s="1">
        <v>20596</v>
      </c>
      <c r="O36">
        <v>9.0839999999999996</v>
      </c>
      <c r="P36">
        <v>5.6040000000000001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43259</v>
      </c>
      <c r="C37">
        <v>1.157</v>
      </c>
      <c r="D37">
        <v>4.5830000000000002</v>
      </c>
      <c r="E37">
        <v>1.6E-2</v>
      </c>
      <c r="F37">
        <v>196.49</v>
      </c>
      <c r="G37" t="s">
        <v>173</v>
      </c>
      <c r="H37" s="1">
        <v>22663</v>
      </c>
      <c r="I37">
        <v>1.157</v>
      </c>
      <c r="J37">
        <v>4.7530000000000001</v>
      </c>
      <c r="K37">
        <v>2.5999999999999999E-2</v>
      </c>
      <c r="L37">
        <v>196.49</v>
      </c>
      <c r="M37" t="s">
        <v>173</v>
      </c>
      <c r="N37" s="1">
        <v>20596</v>
      </c>
      <c r="O37">
        <v>1.157</v>
      </c>
      <c r="P37">
        <v>4.3890000000000002</v>
      </c>
      <c r="Q37">
        <v>1.6E-2</v>
      </c>
      <c r="R37">
        <v>196.49</v>
      </c>
    </row>
    <row r="38" spans="1:18" x14ac:dyDescent="0.25">
      <c r="A38" t="s">
        <v>174</v>
      </c>
      <c r="B38" s="1">
        <v>43259</v>
      </c>
      <c r="C38">
        <v>2.19</v>
      </c>
      <c r="D38">
        <v>1.593</v>
      </c>
      <c r="E38">
        <v>3.6999999999999998E-2</v>
      </c>
      <c r="F38">
        <v>17.684000000000001</v>
      </c>
      <c r="G38" t="s">
        <v>174</v>
      </c>
      <c r="H38" s="1">
        <v>22663</v>
      </c>
      <c r="I38">
        <v>2.1709999999999998</v>
      </c>
      <c r="J38">
        <v>1.579</v>
      </c>
      <c r="K38">
        <v>4.2999999999999997E-2</v>
      </c>
      <c r="L38">
        <v>17.684000000000001</v>
      </c>
      <c r="M38" t="s">
        <v>174</v>
      </c>
      <c r="N38" s="1">
        <v>20596</v>
      </c>
      <c r="O38">
        <v>2.2120000000000002</v>
      </c>
      <c r="P38">
        <v>1.609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43259</v>
      </c>
      <c r="C39">
        <v>2.157</v>
      </c>
      <c r="D39">
        <v>1.5189999999999999</v>
      </c>
      <c r="E39">
        <v>3.4000000000000002E-2</v>
      </c>
      <c r="F39">
        <v>17.684000000000001</v>
      </c>
      <c r="G39" t="s">
        <v>175</v>
      </c>
      <c r="H39" s="1">
        <v>22663</v>
      </c>
      <c r="I39">
        <v>2.137</v>
      </c>
      <c r="J39">
        <v>1.498</v>
      </c>
      <c r="K39">
        <v>3.4000000000000002E-2</v>
      </c>
      <c r="L39">
        <v>17.684000000000001</v>
      </c>
      <c r="M39" t="s">
        <v>175</v>
      </c>
      <c r="N39" s="1">
        <v>20596</v>
      </c>
      <c r="O39">
        <v>2.1789999999999998</v>
      </c>
      <c r="P39">
        <v>1.542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43259</v>
      </c>
      <c r="C40">
        <v>0.247</v>
      </c>
      <c r="D40">
        <v>0.17</v>
      </c>
      <c r="E40">
        <v>0</v>
      </c>
      <c r="F40">
        <v>1</v>
      </c>
      <c r="G40" t="s">
        <v>42</v>
      </c>
      <c r="H40" s="1">
        <v>22663</v>
      </c>
      <c r="I40">
        <v>0.25</v>
      </c>
      <c r="J40">
        <v>0.16700000000000001</v>
      </c>
      <c r="K40">
        <v>0</v>
      </c>
      <c r="L40">
        <v>1</v>
      </c>
      <c r="M40" t="s">
        <v>42</v>
      </c>
      <c r="N40" s="1">
        <v>20596</v>
      </c>
      <c r="O40">
        <v>0.24399999999999999</v>
      </c>
      <c r="P40">
        <v>0.17299999999999999</v>
      </c>
      <c r="Q40">
        <v>0</v>
      </c>
      <c r="R40">
        <v>0.91800000000000004</v>
      </c>
    </row>
    <row r="41" spans="1:18" x14ac:dyDescent="0.25">
      <c r="A41" t="s">
        <v>43</v>
      </c>
      <c r="B41" s="1">
        <v>43259</v>
      </c>
      <c r="C41">
        <v>2.1000000000000001E-2</v>
      </c>
      <c r="D41">
        <v>3.4000000000000002E-2</v>
      </c>
      <c r="E41">
        <v>0</v>
      </c>
      <c r="F41">
        <v>0.77600000000000002</v>
      </c>
      <c r="G41" t="s">
        <v>43</v>
      </c>
      <c r="H41" s="1">
        <v>22663</v>
      </c>
      <c r="I41">
        <v>0.02</v>
      </c>
      <c r="J41">
        <v>0.03</v>
      </c>
      <c r="K41">
        <v>0</v>
      </c>
      <c r="L41">
        <v>0.36299999999999999</v>
      </c>
      <c r="M41" t="s">
        <v>43</v>
      </c>
      <c r="N41" s="1">
        <v>20596</v>
      </c>
      <c r="O41">
        <v>2.1000000000000001E-2</v>
      </c>
      <c r="P41">
        <v>3.7999999999999999E-2</v>
      </c>
      <c r="Q41">
        <v>0</v>
      </c>
      <c r="R41">
        <v>0.77600000000000002</v>
      </c>
    </row>
    <row r="42" spans="1:18" x14ac:dyDescent="0.25">
      <c r="A42" t="s">
        <v>44</v>
      </c>
      <c r="B42" s="1">
        <v>43259</v>
      </c>
      <c r="C42">
        <v>0.432</v>
      </c>
      <c r="D42">
        <v>0.19</v>
      </c>
      <c r="E42">
        <v>0</v>
      </c>
      <c r="F42">
        <v>1</v>
      </c>
      <c r="G42" t="s">
        <v>44</v>
      </c>
      <c r="H42" s="1">
        <v>22663</v>
      </c>
      <c r="I42">
        <v>0.433</v>
      </c>
      <c r="J42">
        <v>0.183</v>
      </c>
      <c r="K42">
        <v>0</v>
      </c>
      <c r="L42">
        <v>1</v>
      </c>
      <c r="M42" t="s">
        <v>44</v>
      </c>
      <c r="N42" s="1">
        <v>20596</v>
      </c>
      <c r="O42">
        <v>0.43099999999999999</v>
      </c>
      <c r="P42">
        <v>0.19600000000000001</v>
      </c>
      <c r="Q42">
        <v>0</v>
      </c>
      <c r="R42">
        <v>1</v>
      </c>
    </row>
    <row r="43" spans="1:18" x14ac:dyDescent="0.25">
      <c r="A43" t="s">
        <v>45</v>
      </c>
      <c r="B43" s="1">
        <v>43259</v>
      </c>
      <c r="C43">
        <v>6.9000000000000006E-2</v>
      </c>
      <c r="D43">
        <v>9.1999999999999998E-2</v>
      </c>
      <c r="E43">
        <v>0</v>
      </c>
      <c r="F43">
        <v>0.71</v>
      </c>
      <c r="G43" t="s">
        <v>45</v>
      </c>
      <c r="H43" s="1">
        <v>22663</v>
      </c>
      <c r="I43">
        <v>6.8000000000000005E-2</v>
      </c>
      <c r="J43">
        <v>8.2000000000000003E-2</v>
      </c>
      <c r="K43">
        <v>0</v>
      </c>
      <c r="L43">
        <v>0.60799999999999998</v>
      </c>
      <c r="M43" t="s">
        <v>45</v>
      </c>
      <c r="N43" s="1">
        <v>20596</v>
      </c>
      <c r="O43">
        <v>6.9000000000000006E-2</v>
      </c>
      <c r="P43">
        <v>0.10100000000000001</v>
      </c>
      <c r="Q43">
        <v>0</v>
      </c>
      <c r="R43">
        <v>0.71</v>
      </c>
    </row>
    <row r="44" spans="1:18" x14ac:dyDescent="0.25">
      <c r="A44" t="s">
        <v>46</v>
      </c>
      <c r="B44" s="1">
        <v>43259</v>
      </c>
      <c r="C44">
        <v>0.872</v>
      </c>
      <c r="D44">
        <v>0.16800000000000001</v>
      </c>
      <c r="E44">
        <v>1.2E-2</v>
      </c>
      <c r="F44">
        <v>1</v>
      </c>
      <c r="G44" t="s">
        <v>46</v>
      </c>
      <c r="H44" s="1">
        <v>22663</v>
      </c>
      <c r="I44">
        <v>0.86799999999999999</v>
      </c>
      <c r="J44">
        <v>0.17299999999999999</v>
      </c>
      <c r="K44">
        <v>1.2E-2</v>
      </c>
      <c r="L44">
        <v>1</v>
      </c>
      <c r="M44" t="s">
        <v>46</v>
      </c>
      <c r="N44" s="1">
        <v>20596</v>
      </c>
      <c r="O44">
        <v>0.878</v>
      </c>
      <c r="P44">
        <v>0.16200000000000001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43259</v>
      </c>
      <c r="C45">
        <v>0.126</v>
      </c>
      <c r="D45">
        <v>0.16700000000000001</v>
      </c>
      <c r="E45">
        <v>0</v>
      </c>
      <c r="F45">
        <v>0.93</v>
      </c>
      <c r="G45" t="s">
        <v>47</v>
      </c>
      <c r="H45" s="1">
        <v>22663</v>
      </c>
      <c r="I45">
        <v>0.13100000000000001</v>
      </c>
      <c r="J45">
        <v>0.17199999999999999</v>
      </c>
      <c r="K45">
        <v>0</v>
      </c>
      <c r="L45">
        <v>0.93</v>
      </c>
      <c r="M45" t="s">
        <v>47</v>
      </c>
      <c r="N45" s="1">
        <v>20596</v>
      </c>
      <c r="O45">
        <v>0.121</v>
      </c>
      <c r="P45">
        <v>0.16</v>
      </c>
      <c r="Q45">
        <v>0</v>
      </c>
      <c r="R45">
        <v>0.92600000000000005</v>
      </c>
    </row>
    <row r="46" spans="1:18" x14ac:dyDescent="0.25">
      <c r="A46" t="s">
        <v>48</v>
      </c>
      <c r="B46" s="1">
        <v>43259</v>
      </c>
      <c r="C46">
        <v>0.63900000000000001</v>
      </c>
      <c r="D46">
        <v>0.20899999999999999</v>
      </c>
      <c r="E46">
        <v>0</v>
      </c>
      <c r="F46">
        <v>1</v>
      </c>
      <c r="G46" t="s">
        <v>48</v>
      </c>
      <c r="H46" s="1">
        <v>22663</v>
      </c>
      <c r="I46">
        <v>0.624</v>
      </c>
      <c r="J46">
        <v>0.20799999999999999</v>
      </c>
      <c r="K46">
        <v>0</v>
      </c>
      <c r="L46">
        <v>1</v>
      </c>
      <c r="M46" t="s">
        <v>48</v>
      </c>
      <c r="N46" s="1">
        <v>20596</v>
      </c>
      <c r="O46">
        <v>0.65700000000000003</v>
      </c>
      <c r="P46">
        <v>0.20799999999999999</v>
      </c>
      <c r="Q46">
        <v>0</v>
      </c>
      <c r="R46">
        <v>1</v>
      </c>
    </row>
    <row r="47" spans="1:18" x14ac:dyDescent="0.25">
      <c r="A47" t="s">
        <v>49</v>
      </c>
      <c r="B47" s="1">
        <v>43259</v>
      </c>
      <c r="C47">
        <v>0.35899999999999999</v>
      </c>
      <c r="D47">
        <v>0.20799999999999999</v>
      </c>
      <c r="E47">
        <v>0</v>
      </c>
      <c r="F47">
        <v>1</v>
      </c>
      <c r="G47" t="s">
        <v>49</v>
      </c>
      <c r="H47" s="1">
        <v>22663</v>
      </c>
      <c r="I47">
        <v>0.375</v>
      </c>
      <c r="J47">
        <v>0.20799999999999999</v>
      </c>
      <c r="K47">
        <v>0</v>
      </c>
      <c r="L47">
        <v>1</v>
      </c>
      <c r="M47" t="s">
        <v>49</v>
      </c>
      <c r="N47" s="1">
        <v>20596</v>
      </c>
      <c r="O47">
        <v>0.34200000000000003</v>
      </c>
      <c r="P47">
        <v>0.20799999999999999</v>
      </c>
      <c r="Q47">
        <v>0</v>
      </c>
      <c r="R47">
        <v>1</v>
      </c>
    </row>
    <row r="48" spans="1:18" x14ac:dyDescent="0.25">
      <c r="A48" t="s">
        <v>50</v>
      </c>
      <c r="B48" s="1">
        <v>43259</v>
      </c>
      <c r="C48">
        <v>17.079999999999998</v>
      </c>
      <c r="D48">
        <v>46.904000000000003</v>
      </c>
      <c r="E48">
        <v>0</v>
      </c>
      <c r="F48" s="1">
        <v>1000</v>
      </c>
      <c r="G48" t="s">
        <v>50</v>
      </c>
      <c r="H48" s="1">
        <v>22663</v>
      </c>
      <c r="I48">
        <v>16.143000000000001</v>
      </c>
      <c r="J48">
        <v>44.664999999999999</v>
      </c>
      <c r="K48">
        <v>0</v>
      </c>
      <c r="L48">
        <v>667</v>
      </c>
      <c r="M48" t="s">
        <v>50</v>
      </c>
      <c r="N48" s="1">
        <v>20596</v>
      </c>
      <c r="O48">
        <v>18.111000000000001</v>
      </c>
      <c r="P48">
        <v>49.231000000000002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43259</v>
      </c>
      <c r="C49">
        <v>0.69399999999999995</v>
      </c>
      <c r="D49">
        <v>1.488</v>
      </c>
      <c r="E49">
        <v>0</v>
      </c>
      <c r="F49">
        <v>36</v>
      </c>
      <c r="G49" t="s">
        <v>51</v>
      </c>
      <c r="H49" s="1">
        <v>22663</v>
      </c>
      <c r="I49">
        <v>0.68300000000000005</v>
      </c>
      <c r="J49">
        <v>1.4810000000000001</v>
      </c>
      <c r="K49">
        <v>0</v>
      </c>
      <c r="L49">
        <v>36</v>
      </c>
      <c r="M49" t="s">
        <v>51</v>
      </c>
      <c r="N49" s="1">
        <v>20596</v>
      </c>
      <c r="O49">
        <v>0.70699999999999996</v>
      </c>
      <c r="P49">
        <v>1.4950000000000001</v>
      </c>
      <c r="Q49">
        <v>0</v>
      </c>
      <c r="R49">
        <v>23</v>
      </c>
    </row>
    <row r="50" spans="1:18" x14ac:dyDescent="0.25">
      <c r="A50" t="s">
        <v>52</v>
      </c>
      <c r="B50" s="1">
        <v>43259</v>
      </c>
      <c r="C50">
        <v>0.41299999999999998</v>
      </c>
      <c r="D50">
        <v>0.49199999999999999</v>
      </c>
      <c r="E50">
        <v>0</v>
      </c>
      <c r="F50">
        <v>1</v>
      </c>
      <c r="G50" t="s">
        <v>52</v>
      </c>
      <c r="H50" s="1">
        <v>22663</v>
      </c>
      <c r="I50">
        <v>0.39300000000000002</v>
      </c>
      <c r="J50">
        <v>0.48799999999999999</v>
      </c>
      <c r="K50">
        <v>0</v>
      </c>
      <c r="L50">
        <v>1</v>
      </c>
      <c r="M50" t="s">
        <v>52</v>
      </c>
      <c r="N50" s="1">
        <v>20596</v>
      </c>
      <c r="O50">
        <v>0.435</v>
      </c>
      <c r="P50">
        <v>0.496</v>
      </c>
      <c r="Q50">
        <v>0</v>
      </c>
      <c r="R50">
        <v>1</v>
      </c>
    </row>
    <row r="51" spans="1:18" x14ac:dyDescent="0.25">
      <c r="A51" t="s">
        <v>53</v>
      </c>
      <c r="B51" s="1">
        <v>43259</v>
      </c>
      <c r="C51" s="2">
        <v>2361399</v>
      </c>
      <c r="D51" s="2">
        <v>7647.2809999999999</v>
      </c>
      <c r="E51" s="2">
        <v>2350907</v>
      </c>
      <c r="F51" s="2">
        <v>2400056</v>
      </c>
      <c r="G51" t="s">
        <v>53</v>
      </c>
      <c r="H51" s="1">
        <v>22663</v>
      </c>
      <c r="I51" s="2">
        <v>2361407</v>
      </c>
      <c r="J51" s="2">
        <v>7607.9610000000002</v>
      </c>
      <c r="K51" s="2">
        <v>2350907</v>
      </c>
      <c r="L51" s="2">
        <v>2400056</v>
      </c>
      <c r="M51" t="s">
        <v>53</v>
      </c>
      <c r="N51" s="1">
        <v>20596</v>
      </c>
      <c r="O51" s="2">
        <v>2361389</v>
      </c>
      <c r="P51" s="2">
        <v>7690.4880000000003</v>
      </c>
      <c r="Q51" s="2">
        <v>2350907</v>
      </c>
      <c r="R51" s="2">
        <v>2400056</v>
      </c>
    </row>
    <row r="52" spans="1:18" x14ac:dyDescent="0.25">
      <c r="A52" t="s">
        <v>54</v>
      </c>
      <c r="B52" s="1">
        <v>43259</v>
      </c>
      <c r="C52" s="2">
        <v>613185.1</v>
      </c>
      <c r="D52" s="2">
        <v>13161.23</v>
      </c>
      <c r="E52" s="2">
        <v>579824.19999999995</v>
      </c>
      <c r="F52" s="2">
        <v>638667.69999999995</v>
      </c>
      <c r="G52" t="s">
        <v>54</v>
      </c>
      <c r="H52" s="1">
        <v>22663</v>
      </c>
      <c r="I52" s="2">
        <v>613308</v>
      </c>
      <c r="J52" s="2">
        <v>12957.19</v>
      </c>
      <c r="K52" s="2">
        <v>579824.19999999995</v>
      </c>
      <c r="L52" s="2">
        <v>638667.69999999995</v>
      </c>
      <c r="M52" t="s">
        <v>54</v>
      </c>
      <c r="N52" s="1">
        <v>20596</v>
      </c>
      <c r="O52" s="2">
        <v>613049.69999999995</v>
      </c>
      <c r="P52" s="2">
        <v>13381.16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43259</v>
      </c>
      <c r="C53">
        <v>0.54</v>
      </c>
      <c r="D53">
        <v>0.498</v>
      </c>
      <c r="E53">
        <v>0</v>
      </c>
      <c r="F53">
        <v>1</v>
      </c>
      <c r="G53" t="s">
        <v>56</v>
      </c>
      <c r="H53" s="1">
        <v>22663</v>
      </c>
      <c r="I53" s="2">
        <v>0.53300000000000003</v>
      </c>
      <c r="J53" s="2">
        <v>0.499</v>
      </c>
      <c r="K53" s="2">
        <v>0</v>
      </c>
      <c r="L53" s="2">
        <v>1</v>
      </c>
      <c r="M53" t="s">
        <v>56</v>
      </c>
      <c r="N53" s="1">
        <v>20596</v>
      </c>
      <c r="O53">
        <v>0.54700000000000004</v>
      </c>
      <c r="P53">
        <v>0.498</v>
      </c>
      <c r="Q53">
        <v>0</v>
      </c>
      <c r="R53">
        <v>1</v>
      </c>
    </row>
    <row r="54" spans="1:18" x14ac:dyDescent="0.25">
      <c r="A54" t="s">
        <v>57</v>
      </c>
      <c r="B54" s="1">
        <v>43259</v>
      </c>
      <c r="C54">
        <v>0.46</v>
      </c>
      <c r="D54">
        <v>0.498</v>
      </c>
      <c r="E54">
        <v>0</v>
      </c>
      <c r="F54">
        <v>1</v>
      </c>
      <c r="G54" t="s">
        <v>57</v>
      </c>
      <c r="H54" s="1">
        <v>22663</v>
      </c>
      <c r="I54" s="2">
        <v>0.46700000000000003</v>
      </c>
      <c r="J54" s="2">
        <v>0.499</v>
      </c>
      <c r="K54" s="2">
        <v>0</v>
      </c>
      <c r="L54" s="2">
        <v>1</v>
      </c>
      <c r="M54" t="s">
        <v>57</v>
      </c>
      <c r="N54" s="1">
        <v>20596</v>
      </c>
      <c r="O54">
        <v>0.45300000000000001</v>
      </c>
      <c r="P54">
        <v>0.498</v>
      </c>
      <c r="Q54">
        <v>0</v>
      </c>
      <c r="R54">
        <v>1</v>
      </c>
    </row>
    <row r="55" spans="1:18" x14ac:dyDescent="0.25">
      <c r="A55" t="s">
        <v>58</v>
      </c>
      <c r="B55" s="1">
        <v>43259</v>
      </c>
      <c r="C55">
        <v>0.34699999999999998</v>
      </c>
      <c r="D55">
        <v>0.47599999999999998</v>
      </c>
      <c r="E55">
        <v>0</v>
      </c>
      <c r="F55">
        <v>1</v>
      </c>
      <c r="G55" t="s">
        <v>58</v>
      </c>
      <c r="H55" s="1">
        <v>22663</v>
      </c>
      <c r="I55">
        <v>0.36099999999999999</v>
      </c>
      <c r="J55">
        <v>0.48</v>
      </c>
      <c r="K55">
        <v>0</v>
      </c>
      <c r="L55">
        <v>1</v>
      </c>
      <c r="M55" t="s">
        <v>58</v>
      </c>
      <c r="N55" s="1">
        <v>20596</v>
      </c>
      <c r="O55">
        <v>0.33200000000000002</v>
      </c>
      <c r="P55">
        <v>0.47099999999999997</v>
      </c>
      <c r="Q55">
        <v>0</v>
      </c>
      <c r="R55">
        <v>1</v>
      </c>
    </row>
    <row r="56" spans="1:18" x14ac:dyDescent="0.25">
      <c r="A56" t="s">
        <v>59</v>
      </c>
      <c r="B56" s="1">
        <v>43259</v>
      </c>
      <c r="C56">
        <v>0.33700000000000002</v>
      </c>
      <c r="D56">
        <v>0.47299999999999998</v>
      </c>
      <c r="E56">
        <v>0</v>
      </c>
      <c r="F56">
        <v>1</v>
      </c>
      <c r="G56" t="s">
        <v>59</v>
      </c>
      <c r="H56" s="1">
        <v>22663</v>
      </c>
      <c r="I56">
        <v>0.33100000000000002</v>
      </c>
      <c r="J56">
        <v>0.47099999999999997</v>
      </c>
      <c r="K56">
        <v>0</v>
      </c>
      <c r="L56">
        <v>1</v>
      </c>
      <c r="M56" t="s">
        <v>59</v>
      </c>
      <c r="N56" s="1">
        <v>20596</v>
      </c>
      <c r="O56">
        <v>0.34200000000000003</v>
      </c>
      <c r="P56">
        <v>0.47499999999999998</v>
      </c>
      <c r="Q56">
        <v>0</v>
      </c>
      <c r="R56">
        <v>1</v>
      </c>
    </row>
    <row r="57" spans="1:18" x14ac:dyDescent="0.25">
      <c r="A57" t="s">
        <v>60</v>
      </c>
      <c r="B57" s="1">
        <v>43259</v>
      </c>
      <c r="C57">
        <v>0.316</v>
      </c>
      <c r="D57">
        <v>0.46500000000000002</v>
      </c>
      <c r="E57">
        <v>0</v>
      </c>
      <c r="F57">
        <v>1</v>
      </c>
      <c r="G57" t="s">
        <v>60</v>
      </c>
      <c r="H57" s="1">
        <v>22663</v>
      </c>
      <c r="I57">
        <v>0.308</v>
      </c>
      <c r="J57">
        <v>0.46200000000000002</v>
      </c>
      <c r="K57">
        <v>0</v>
      </c>
      <c r="L57">
        <v>1</v>
      </c>
      <c r="M57" t="s">
        <v>60</v>
      </c>
      <c r="N57" s="1">
        <v>20596</v>
      </c>
      <c r="O57">
        <v>0.32500000000000001</v>
      </c>
      <c r="P57">
        <v>0.46800000000000003</v>
      </c>
      <c r="Q57">
        <v>0</v>
      </c>
      <c r="R57">
        <v>1</v>
      </c>
    </row>
    <row r="58" spans="1:18" x14ac:dyDescent="0.25">
      <c r="A58" t="s">
        <v>61</v>
      </c>
      <c r="B58" s="1">
        <v>43259</v>
      </c>
      <c r="C58" s="2">
        <v>2019.2829999999999</v>
      </c>
      <c r="D58">
        <v>1.99</v>
      </c>
      <c r="E58" s="1">
        <v>2016</v>
      </c>
      <c r="F58" s="1">
        <v>2023</v>
      </c>
      <c r="G58" t="s">
        <v>61</v>
      </c>
      <c r="H58" s="1">
        <v>22663</v>
      </c>
      <c r="I58" s="2">
        <v>2017.6479999999999</v>
      </c>
      <c r="J58">
        <v>1.175</v>
      </c>
      <c r="K58" s="1">
        <v>2016</v>
      </c>
      <c r="L58" s="1">
        <v>2020</v>
      </c>
      <c r="M58" t="s">
        <v>61</v>
      </c>
      <c r="N58" s="1">
        <v>20596</v>
      </c>
      <c r="O58" s="2">
        <v>2021.0830000000001</v>
      </c>
      <c r="P58">
        <v>0.78600000000000003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43259</v>
      </c>
      <c r="C59">
        <v>0.46</v>
      </c>
      <c r="D59">
        <v>0.498</v>
      </c>
      <c r="E59">
        <v>0</v>
      </c>
      <c r="F59">
        <v>1</v>
      </c>
      <c r="G59" t="s">
        <v>62</v>
      </c>
      <c r="H59" s="1">
        <v>22663</v>
      </c>
      <c r="I59" s="2">
        <v>0.46400000000000002</v>
      </c>
      <c r="J59">
        <v>0.499</v>
      </c>
      <c r="K59" s="1">
        <v>0</v>
      </c>
      <c r="L59" s="1">
        <v>1</v>
      </c>
      <c r="M59" t="s">
        <v>62</v>
      </c>
      <c r="N59" s="1">
        <v>20596</v>
      </c>
      <c r="O59">
        <v>0.45500000000000002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43259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22663</v>
      </c>
      <c r="I60" s="2">
        <v>8.0000000000000002E-3</v>
      </c>
      <c r="J60">
        <v>9.0999999999999998E-2</v>
      </c>
      <c r="K60" s="1">
        <v>0</v>
      </c>
      <c r="L60" s="1">
        <v>1</v>
      </c>
      <c r="M60" t="s">
        <v>63</v>
      </c>
      <c r="N60" s="1">
        <v>20596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43259</v>
      </c>
      <c r="C61">
        <v>0.03</v>
      </c>
      <c r="D61">
        <v>0.17199999999999999</v>
      </c>
      <c r="E61">
        <v>0</v>
      </c>
      <c r="F61">
        <v>1</v>
      </c>
      <c r="G61" t="s">
        <v>64</v>
      </c>
      <c r="H61" s="1">
        <v>22663</v>
      </c>
      <c r="I61">
        <v>2.9000000000000001E-2</v>
      </c>
      <c r="J61">
        <v>0.16900000000000001</v>
      </c>
      <c r="K61">
        <v>0</v>
      </c>
      <c r="L61">
        <v>1</v>
      </c>
      <c r="M61" t="s">
        <v>64</v>
      </c>
      <c r="N61" s="1">
        <v>20596</v>
      </c>
      <c r="O61">
        <v>3.2000000000000001E-2</v>
      </c>
      <c r="P61">
        <v>0.17499999999999999</v>
      </c>
      <c r="Q61">
        <v>0</v>
      </c>
      <c r="R61">
        <v>1</v>
      </c>
    </row>
    <row r="62" spans="1:18" x14ac:dyDescent="0.25">
      <c r="A62" t="s">
        <v>65</v>
      </c>
      <c r="B62" s="1">
        <v>43259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22663</v>
      </c>
      <c r="I62">
        <v>0.14699999999999999</v>
      </c>
      <c r="J62">
        <v>0.35499999999999998</v>
      </c>
      <c r="K62">
        <v>0</v>
      </c>
      <c r="L62">
        <v>1</v>
      </c>
      <c r="M62" t="s">
        <v>65</v>
      </c>
      <c r="N62" s="1">
        <v>20596</v>
      </c>
      <c r="O62">
        <v>0.151</v>
      </c>
      <c r="P62">
        <v>0.35799999999999998</v>
      </c>
      <c r="Q62">
        <v>0</v>
      </c>
      <c r="R62">
        <v>1</v>
      </c>
    </row>
    <row r="63" spans="1:18" x14ac:dyDescent="0.25">
      <c r="A63" t="s">
        <v>66</v>
      </c>
      <c r="B63" s="1">
        <v>43259</v>
      </c>
      <c r="C63">
        <v>0.16700000000000001</v>
      </c>
      <c r="D63">
        <v>0.373</v>
      </c>
      <c r="E63">
        <v>0</v>
      </c>
      <c r="F63">
        <v>1</v>
      </c>
      <c r="G63" t="s">
        <v>66</v>
      </c>
      <c r="H63" s="1">
        <v>22663</v>
      </c>
      <c r="I63">
        <v>0.16200000000000001</v>
      </c>
      <c r="J63">
        <v>0.36799999999999999</v>
      </c>
      <c r="K63">
        <v>0</v>
      </c>
      <c r="L63">
        <v>1</v>
      </c>
      <c r="M63" t="s">
        <v>66</v>
      </c>
      <c r="N63" s="1">
        <v>20596</v>
      </c>
      <c r="O63">
        <v>0.17199999999999999</v>
      </c>
      <c r="P63">
        <v>0.377</v>
      </c>
      <c r="Q63">
        <v>0</v>
      </c>
      <c r="R63">
        <v>1</v>
      </c>
    </row>
    <row r="64" spans="1:18" x14ac:dyDescent="0.25">
      <c r="A64" t="s">
        <v>67</v>
      </c>
      <c r="B64" s="1">
        <v>43259</v>
      </c>
      <c r="C64">
        <v>3.7999999999999999E-2</v>
      </c>
      <c r="D64">
        <v>0.192</v>
      </c>
      <c r="E64">
        <v>0</v>
      </c>
      <c r="F64">
        <v>1</v>
      </c>
      <c r="G64" t="s">
        <v>67</v>
      </c>
      <c r="H64" s="1">
        <v>22663</v>
      </c>
      <c r="I64">
        <v>0.04</v>
      </c>
      <c r="J64">
        <v>0.19600000000000001</v>
      </c>
      <c r="K64">
        <v>0</v>
      </c>
      <c r="L64">
        <v>1</v>
      </c>
      <c r="M64" t="s">
        <v>67</v>
      </c>
      <c r="N64" s="1">
        <v>20596</v>
      </c>
      <c r="O64">
        <v>3.5999999999999997E-2</v>
      </c>
      <c r="P64">
        <v>0.186</v>
      </c>
      <c r="Q64">
        <v>0</v>
      </c>
      <c r="R64">
        <v>1</v>
      </c>
    </row>
    <row r="65" spans="1:18" x14ac:dyDescent="0.25">
      <c r="A65" t="s">
        <v>68</v>
      </c>
      <c r="B65" s="1">
        <v>43259</v>
      </c>
      <c r="C65">
        <v>0.11600000000000001</v>
      </c>
      <c r="D65">
        <v>0.32100000000000001</v>
      </c>
      <c r="E65">
        <v>0</v>
      </c>
      <c r="F65">
        <v>1</v>
      </c>
      <c r="G65" t="s">
        <v>68</v>
      </c>
      <c r="H65" s="1">
        <v>22663</v>
      </c>
      <c r="I65">
        <v>0.114</v>
      </c>
      <c r="J65">
        <v>0.318</v>
      </c>
      <c r="K65">
        <v>0</v>
      </c>
      <c r="L65">
        <v>1</v>
      </c>
      <c r="M65" t="s">
        <v>68</v>
      </c>
      <c r="N65" s="1">
        <v>20596</v>
      </c>
      <c r="O65">
        <v>0.11899999999999999</v>
      </c>
      <c r="P65">
        <v>0.32300000000000001</v>
      </c>
      <c r="Q65">
        <v>0</v>
      </c>
      <c r="R65">
        <v>1</v>
      </c>
    </row>
    <row r="66" spans="1:18" x14ac:dyDescent="0.25">
      <c r="A66" t="s">
        <v>69</v>
      </c>
      <c r="B66" s="1">
        <v>43259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22663</v>
      </c>
      <c r="I66">
        <v>3.5000000000000003E-2</v>
      </c>
      <c r="J66">
        <v>0.184</v>
      </c>
      <c r="K66">
        <v>0</v>
      </c>
      <c r="L66">
        <v>1</v>
      </c>
      <c r="M66" t="s">
        <v>69</v>
      </c>
      <c r="N66" s="1">
        <v>20596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43259</v>
      </c>
      <c r="C67">
        <v>0.19500000000000001</v>
      </c>
      <c r="D67">
        <v>0.39700000000000002</v>
      </c>
      <c r="E67">
        <v>0</v>
      </c>
      <c r="F67">
        <v>1</v>
      </c>
      <c r="G67" t="s">
        <v>70</v>
      </c>
      <c r="H67" s="1">
        <v>22663</v>
      </c>
      <c r="I67">
        <v>0.19500000000000001</v>
      </c>
      <c r="J67">
        <v>0.39600000000000002</v>
      </c>
      <c r="K67">
        <v>0</v>
      </c>
      <c r="L67">
        <v>1</v>
      </c>
      <c r="M67" t="s">
        <v>70</v>
      </c>
      <c r="N67" s="1">
        <v>20596</v>
      </c>
      <c r="O67">
        <v>0.19600000000000001</v>
      </c>
      <c r="P67">
        <v>0.39700000000000002</v>
      </c>
      <c r="Q67">
        <v>0</v>
      </c>
      <c r="R67">
        <v>1</v>
      </c>
    </row>
    <row r="68" spans="1:18" x14ac:dyDescent="0.25">
      <c r="A68" t="s">
        <v>71</v>
      </c>
      <c r="B68" s="1">
        <v>43259</v>
      </c>
      <c r="C68">
        <v>0.33100000000000002</v>
      </c>
      <c r="D68">
        <v>0.47099999999999997</v>
      </c>
      <c r="E68">
        <v>0</v>
      </c>
      <c r="F68">
        <v>1</v>
      </c>
      <c r="G68" t="s">
        <v>71</v>
      </c>
      <c r="H68" s="1">
        <v>22663</v>
      </c>
      <c r="I68">
        <v>0.34799999999999998</v>
      </c>
      <c r="J68">
        <v>0.47599999999999998</v>
      </c>
      <c r="K68">
        <v>0</v>
      </c>
      <c r="L68">
        <v>1</v>
      </c>
      <c r="M68" t="s">
        <v>71</v>
      </c>
      <c r="N68" s="1">
        <v>20596</v>
      </c>
      <c r="O68">
        <v>0.312</v>
      </c>
      <c r="P68">
        <v>0.46400000000000002</v>
      </c>
      <c r="Q68">
        <v>0</v>
      </c>
      <c r="R68">
        <v>1</v>
      </c>
    </row>
    <row r="69" spans="1:18" x14ac:dyDescent="0.25">
      <c r="A69" t="s">
        <v>72</v>
      </c>
      <c r="B69" s="1">
        <v>43259</v>
      </c>
      <c r="C69">
        <v>0.42899999999999999</v>
      </c>
      <c r="D69">
        <v>0.495</v>
      </c>
      <c r="E69">
        <v>0</v>
      </c>
      <c r="F69">
        <v>1</v>
      </c>
      <c r="G69" t="s">
        <v>72</v>
      </c>
      <c r="H69" s="1">
        <v>22663</v>
      </c>
      <c r="I69">
        <v>0.41</v>
      </c>
      <c r="J69">
        <v>0.49199999999999999</v>
      </c>
      <c r="K69">
        <v>0</v>
      </c>
      <c r="L69">
        <v>1</v>
      </c>
      <c r="M69" t="s">
        <v>72</v>
      </c>
      <c r="N69" s="1">
        <v>20596</v>
      </c>
      <c r="O69">
        <v>0.44900000000000001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43259</v>
      </c>
      <c r="C70">
        <v>4.4999999999999998E-2</v>
      </c>
      <c r="D70">
        <v>0.20699999999999999</v>
      </c>
      <c r="E70">
        <v>0</v>
      </c>
      <c r="F70">
        <v>1</v>
      </c>
      <c r="G70" t="s">
        <v>73</v>
      </c>
      <c r="H70" s="1">
        <v>22663</v>
      </c>
      <c r="I70">
        <v>4.7E-2</v>
      </c>
      <c r="J70">
        <v>0.21299999999999999</v>
      </c>
      <c r="K70">
        <v>0</v>
      </c>
      <c r="L70">
        <v>1</v>
      </c>
      <c r="M70" t="s">
        <v>73</v>
      </c>
      <c r="N70" s="1">
        <v>20596</v>
      </c>
      <c r="O70">
        <v>4.2000000000000003E-2</v>
      </c>
      <c r="P70">
        <v>0.2</v>
      </c>
      <c r="Q70">
        <v>0</v>
      </c>
      <c r="R70">
        <v>1</v>
      </c>
    </row>
    <row r="71" spans="1:18" x14ac:dyDescent="0.25">
      <c r="A71" t="s">
        <v>165</v>
      </c>
      <c r="B71" s="1">
        <v>43259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22663</v>
      </c>
      <c r="I71">
        <v>0.06</v>
      </c>
      <c r="J71">
        <v>0.23799999999999999</v>
      </c>
      <c r="K71">
        <v>0</v>
      </c>
      <c r="L71">
        <v>1</v>
      </c>
      <c r="M71" t="s">
        <v>165</v>
      </c>
      <c r="N71" s="1">
        <v>20596</v>
      </c>
      <c r="O71">
        <v>5.5E-2</v>
      </c>
      <c r="P71">
        <v>0.22800000000000001</v>
      </c>
      <c r="Q71">
        <v>0</v>
      </c>
      <c r="R71">
        <v>1</v>
      </c>
    </row>
    <row r="72" spans="1:18" x14ac:dyDescent="0.25">
      <c r="A72" t="s">
        <v>166</v>
      </c>
      <c r="B72" s="1">
        <v>43259</v>
      </c>
      <c r="C72">
        <v>0.26100000000000001</v>
      </c>
      <c r="D72">
        <v>0.439</v>
      </c>
      <c r="E72">
        <v>0</v>
      </c>
      <c r="F72">
        <v>1</v>
      </c>
      <c r="G72" t="s">
        <v>166</v>
      </c>
      <c r="H72" s="1">
        <v>22663</v>
      </c>
      <c r="I72">
        <v>0.26100000000000001</v>
      </c>
      <c r="J72">
        <v>0.439</v>
      </c>
      <c r="K72">
        <v>0</v>
      </c>
      <c r="L72">
        <v>1</v>
      </c>
      <c r="M72" t="s">
        <v>166</v>
      </c>
      <c r="N72" s="1">
        <v>20596</v>
      </c>
      <c r="O72">
        <v>0.26</v>
      </c>
      <c r="P72">
        <v>0.439</v>
      </c>
      <c r="Q72">
        <v>0</v>
      </c>
      <c r="R72">
        <v>1</v>
      </c>
    </row>
    <row r="73" spans="1:18" x14ac:dyDescent="0.25">
      <c r="A73" t="s">
        <v>167</v>
      </c>
      <c r="B73" s="1">
        <v>43259</v>
      </c>
      <c r="C73">
        <v>0.45800000000000002</v>
      </c>
      <c r="D73">
        <v>0.498</v>
      </c>
      <c r="E73">
        <v>0</v>
      </c>
      <c r="F73">
        <v>1</v>
      </c>
      <c r="G73" t="s">
        <v>167</v>
      </c>
      <c r="H73" s="1">
        <v>22663</v>
      </c>
      <c r="I73">
        <v>0.46899999999999997</v>
      </c>
      <c r="J73">
        <v>0.499</v>
      </c>
      <c r="K73">
        <v>0</v>
      </c>
      <c r="L73">
        <v>1</v>
      </c>
      <c r="M73" t="s">
        <v>167</v>
      </c>
      <c r="N73" s="1">
        <v>20596</v>
      </c>
      <c r="O73">
        <v>0.44600000000000001</v>
      </c>
      <c r="P73">
        <v>0.497</v>
      </c>
      <c r="Q73">
        <v>0</v>
      </c>
      <c r="R73">
        <v>1</v>
      </c>
    </row>
    <row r="74" spans="1:18" x14ac:dyDescent="0.25">
      <c r="A74" t="s">
        <v>168</v>
      </c>
      <c r="B74" s="1">
        <v>43259</v>
      </c>
      <c r="C74">
        <v>6.2E-2</v>
      </c>
      <c r="D74">
        <v>0.24099999999999999</v>
      </c>
      <c r="E74">
        <v>0</v>
      </c>
      <c r="F74">
        <v>1</v>
      </c>
      <c r="G74" t="s">
        <v>168</v>
      </c>
      <c r="H74" s="1">
        <v>22663</v>
      </c>
      <c r="I74">
        <v>0.06</v>
      </c>
      <c r="J74">
        <v>0.23799999999999999</v>
      </c>
      <c r="K74">
        <v>0</v>
      </c>
      <c r="L74">
        <v>1</v>
      </c>
      <c r="M74" t="s">
        <v>168</v>
      </c>
      <c r="N74" s="1">
        <v>20596</v>
      </c>
      <c r="O74">
        <v>6.4000000000000001E-2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43259</v>
      </c>
      <c r="C75">
        <v>0.123</v>
      </c>
      <c r="D75">
        <v>0.32900000000000001</v>
      </c>
      <c r="E75">
        <v>0</v>
      </c>
      <c r="F75">
        <v>1</v>
      </c>
      <c r="G75" t="s">
        <v>169</v>
      </c>
      <c r="H75" s="1">
        <v>22663</v>
      </c>
      <c r="I75">
        <v>0.11600000000000001</v>
      </c>
      <c r="J75">
        <v>0.32</v>
      </c>
      <c r="K75">
        <v>0</v>
      </c>
      <c r="L75">
        <v>1</v>
      </c>
      <c r="M75" t="s">
        <v>169</v>
      </c>
      <c r="N75" s="1">
        <v>20596</v>
      </c>
      <c r="O75">
        <v>0.13100000000000001</v>
      </c>
      <c r="P75">
        <v>0.33800000000000002</v>
      </c>
      <c r="Q75">
        <v>0</v>
      </c>
      <c r="R75">
        <v>1</v>
      </c>
    </row>
    <row r="76" spans="1:18" x14ac:dyDescent="0.25">
      <c r="A76" t="s">
        <v>170</v>
      </c>
      <c r="B76" s="1">
        <v>43259</v>
      </c>
      <c r="C76">
        <v>3.9E-2</v>
      </c>
      <c r="D76">
        <v>0.193</v>
      </c>
      <c r="E76">
        <v>0</v>
      </c>
      <c r="F76">
        <v>1</v>
      </c>
      <c r="G76" t="s">
        <v>170</v>
      </c>
      <c r="H76" s="1">
        <v>22663</v>
      </c>
      <c r="I76">
        <v>3.4000000000000002E-2</v>
      </c>
      <c r="J76">
        <v>0.18</v>
      </c>
      <c r="K76">
        <v>0</v>
      </c>
      <c r="L76">
        <v>1</v>
      </c>
      <c r="M76" t="s">
        <v>170</v>
      </c>
      <c r="N76" s="1">
        <v>20596</v>
      </c>
      <c r="O76">
        <v>4.3999999999999997E-2</v>
      </c>
      <c r="P76">
        <v>0.20599999999999999</v>
      </c>
      <c r="Q76">
        <v>0</v>
      </c>
      <c r="R76">
        <v>1</v>
      </c>
    </row>
    <row r="77" spans="1:18" x14ac:dyDescent="0.25">
      <c r="A77" t="s">
        <v>79</v>
      </c>
      <c r="B77" s="1">
        <v>43259</v>
      </c>
      <c r="C77">
        <v>0.126</v>
      </c>
      <c r="D77">
        <v>0.33200000000000002</v>
      </c>
      <c r="E77">
        <v>0</v>
      </c>
      <c r="F77">
        <v>1</v>
      </c>
      <c r="G77" t="s">
        <v>79</v>
      </c>
      <c r="H77" s="1">
        <v>22663</v>
      </c>
      <c r="I77">
        <v>0.129</v>
      </c>
      <c r="J77">
        <v>0.33500000000000002</v>
      </c>
      <c r="K77">
        <v>0</v>
      </c>
      <c r="L77">
        <v>1</v>
      </c>
      <c r="M77" t="s">
        <v>79</v>
      </c>
      <c r="N77" s="1">
        <v>20596</v>
      </c>
      <c r="O77">
        <v>0.123</v>
      </c>
      <c r="P77">
        <v>0.32800000000000001</v>
      </c>
      <c r="Q77">
        <v>0</v>
      </c>
      <c r="R77">
        <v>1</v>
      </c>
    </row>
    <row r="78" spans="1:18" x14ac:dyDescent="0.25">
      <c r="A78" t="s">
        <v>80</v>
      </c>
      <c r="B78" s="1">
        <v>43259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22663</v>
      </c>
      <c r="I78">
        <v>6.0000000000000001E-3</v>
      </c>
      <c r="J78">
        <v>7.3999999999999996E-2</v>
      </c>
      <c r="K78">
        <v>0</v>
      </c>
      <c r="L78">
        <v>1</v>
      </c>
      <c r="M78" t="s">
        <v>80</v>
      </c>
      <c r="N78" s="1">
        <v>20596</v>
      </c>
      <c r="O78">
        <v>7.0000000000000001E-3</v>
      </c>
      <c r="P78">
        <v>8.2000000000000003E-2</v>
      </c>
      <c r="Q78">
        <v>0</v>
      </c>
      <c r="R78">
        <v>1</v>
      </c>
    </row>
    <row r="79" spans="1:18" x14ac:dyDescent="0.25">
      <c r="A79" t="s">
        <v>81</v>
      </c>
      <c r="B79" s="1">
        <v>43259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22663</v>
      </c>
      <c r="I79">
        <v>2E-3</v>
      </c>
      <c r="J79">
        <v>4.1000000000000002E-2</v>
      </c>
      <c r="K79">
        <v>0</v>
      </c>
      <c r="L79">
        <v>1</v>
      </c>
      <c r="M79" t="s">
        <v>81</v>
      </c>
      <c r="N79" s="1">
        <v>20596</v>
      </c>
      <c r="O79">
        <v>2E-3</v>
      </c>
      <c r="P79">
        <v>4.2999999999999997E-2</v>
      </c>
      <c r="Q79">
        <v>0</v>
      </c>
      <c r="R79">
        <v>1</v>
      </c>
    </row>
    <row r="80" spans="1:18" x14ac:dyDescent="0.25">
      <c r="A80" t="s">
        <v>82</v>
      </c>
      <c r="B80" s="1">
        <v>43259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22663</v>
      </c>
      <c r="I80">
        <v>4.2999999999999997E-2</v>
      </c>
      <c r="J80">
        <v>0.20200000000000001</v>
      </c>
      <c r="K80">
        <v>0</v>
      </c>
      <c r="L80">
        <v>1</v>
      </c>
      <c r="M80" t="s">
        <v>82</v>
      </c>
      <c r="N80" s="1">
        <v>20596</v>
      </c>
      <c r="O80">
        <v>4.2999999999999997E-2</v>
      </c>
      <c r="P80">
        <v>0.20200000000000001</v>
      </c>
      <c r="Q80">
        <v>0</v>
      </c>
      <c r="R80">
        <v>1</v>
      </c>
    </row>
    <row r="81" spans="1:18" x14ac:dyDescent="0.25">
      <c r="A81" t="s">
        <v>83</v>
      </c>
      <c r="B81" s="1">
        <v>43259</v>
      </c>
      <c r="C81">
        <v>0.40300000000000002</v>
      </c>
      <c r="D81">
        <v>0.49</v>
      </c>
      <c r="E81">
        <v>0</v>
      </c>
      <c r="F81">
        <v>1</v>
      </c>
      <c r="G81" t="s">
        <v>83</v>
      </c>
      <c r="H81" s="1">
        <v>22663</v>
      </c>
      <c r="I81">
        <v>0.40100000000000002</v>
      </c>
      <c r="J81">
        <v>0.49</v>
      </c>
      <c r="K81">
        <v>0</v>
      </c>
      <c r="L81">
        <v>1</v>
      </c>
      <c r="M81" t="s">
        <v>83</v>
      </c>
      <c r="N81" s="1">
        <v>20596</v>
      </c>
      <c r="O81">
        <v>0.40400000000000003</v>
      </c>
      <c r="P81">
        <v>0.49099999999999999</v>
      </c>
      <c r="Q81">
        <v>0</v>
      </c>
      <c r="R81">
        <v>1</v>
      </c>
    </row>
    <row r="82" spans="1:18" x14ac:dyDescent="0.25">
      <c r="A82" t="s">
        <v>84</v>
      </c>
      <c r="B82" s="1">
        <v>43259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22663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20596</v>
      </c>
      <c r="O82">
        <v>8.9999999999999993E-3</v>
      </c>
      <c r="P82">
        <v>9.5000000000000001E-2</v>
      </c>
      <c r="Q82">
        <v>0</v>
      </c>
      <c r="R82">
        <v>1</v>
      </c>
    </row>
    <row r="83" spans="1:18" x14ac:dyDescent="0.25">
      <c r="A83" t="s">
        <v>85</v>
      </c>
      <c r="B83" s="1">
        <v>43259</v>
      </c>
      <c r="C83">
        <v>0.41299999999999998</v>
      </c>
      <c r="D83">
        <v>0.49199999999999999</v>
      </c>
      <c r="E83">
        <v>0</v>
      </c>
      <c r="F83">
        <v>1</v>
      </c>
      <c r="G83" t="s">
        <v>85</v>
      </c>
      <c r="H83" s="1">
        <v>22663</v>
      </c>
      <c r="I83">
        <v>0.41299999999999998</v>
      </c>
      <c r="J83">
        <v>0.49199999999999999</v>
      </c>
      <c r="K83">
        <v>0</v>
      </c>
      <c r="L83">
        <v>1</v>
      </c>
      <c r="M83" t="s">
        <v>85</v>
      </c>
      <c r="N83" s="1">
        <v>20596</v>
      </c>
      <c r="O83">
        <v>0.41199999999999998</v>
      </c>
      <c r="P83">
        <v>0.49199999999999999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DEB44-234C-47BF-9495-E8C85309C37D}">
  <sheetPr codeName="Sheet5"/>
  <dimension ref="A1:R85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23359</v>
      </c>
      <c r="C3">
        <v>1.18</v>
      </c>
      <c r="D3">
        <v>0.42699999999999999</v>
      </c>
      <c r="E3">
        <v>1</v>
      </c>
      <c r="F3">
        <v>5</v>
      </c>
      <c r="G3" t="s">
        <v>10</v>
      </c>
      <c r="H3" s="1">
        <v>12089</v>
      </c>
      <c r="I3">
        <v>1.0720000000000001</v>
      </c>
      <c r="J3">
        <v>0.26500000000000001</v>
      </c>
      <c r="K3">
        <v>1</v>
      </c>
      <c r="L3">
        <v>4</v>
      </c>
      <c r="M3" t="s">
        <v>10</v>
      </c>
      <c r="N3" s="1">
        <v>11270</v>
      </c>
      <c r="O3">
        <v>1.294</v>
      </c>
      <c r="P3">
        <v>0.52600000000000002</v>
      </c>
      <c r="Q3">
        <v>1</v>
      </c>
      <c r="R3">
        <v>5</v>
      </c>
    </row>
    <row r="4" spans="1:18" x14ac:dyDescent="0.25">
      <c r="A4" t="s">
        <v>11</v>
      </c>
      <c r="B4" s="1">
        <v>23359</v>
      </c>
      <c r="C4">
        <v>0.48199999999999998</v>
      </c>
      <c r="D4">
        <v>0.5</v>
      </c>
      <c r="E4">
        <v>0</v>
      </c>
      <c r="F4">
        <v>1</v>
      </c>
      <c r="G4" t="s">
        <v>11</v>
      </c>
      <c r="H4" s="1">
        <v>12089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11270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23359</v>
      </c>
      <c r="C5">
        <v>0.433</v>
      </c>
      <c r="D5">
        <v>0.496</v>
      </c>
      <c r="E5">
        <v>0</v>
      </c>
      <c r="F5">
        <v>1</v>
      </c>
      <c r="G5" t="s">
        <v>12</v>
      </c>
      <c r="H5" s="1">
        <v>12089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11270</v>
      </c>
      <c r="O5">
        <v>0.89600000000000002</v>
      </c>
      <c r="P5">
        <v>0.30499999999999999</v>
      </c>
      <c r="Q5">
        <v>0</v>
      </c>
      <c r="R5">
        <v>1</v>
      </c>
    </row>
    <row r="6" spans="1:18" x14ac:dyDescent="0.25">
      <c r="A6" t="s">
        <v>36</v>
      </c>
      <c r="B6" s="1">
        <v>11270</v>
      </c>
      <c r="C6">
        <v>316.42599999999999</v>
      </c>
      <c r="D6">
        <v>574.36199999999997</v>
      </c>
      <c r="E6">
        <v>0</v>
      </c>
      <c r="F6" s="1">
        <v>4021</v>
      </c>
      <c r="G6" t="s">
        <v>13</v>
      </c>
      <c r="H6" s="1">
        <v>12089</v>
      </c>
      <c r="I6">
        <v>1.482</v>
      </c>
      <c r="J6">
        <v>0.55100000000000005</v>
      </c>
      <c r="K6">
        <v>0</v>
      </c>
      <c r="L6">
        <v>4</v>
      </c>
      <c r="M6" t="s">
        <v>36</v>
      </c>
      <c r="N6" s="1">
        <v>11270</v>
      </c>
      <c r="O6">
        <v>316.42599999999999</v>
      </c>
      <c r="P6">
        <v>574.36199999999997</v>
      </c>
      <c r="Q6">
        <v>0</v>
      </c>
      <c r="R6" s="1">
        <v>4021</v>
      </c>
    </row>
    <row r="7" spans="1:18" x14ac:dyDescent="0.25">
      <c r="A7" t="s">
        <v>13</v>
      </c>
      <c r="B7" s="1">
        <v>23359</v>
      </c>
      <c r="C7">
        <v>1.4910000000000001</v>
      </c>
      <c r="D7">
        <v>0.55300000000000005</v>
      </c>
      <c r="E7">
        <v>0</v>
      </c>
      <c r="F7">
        <v>6</v>
      </c>
      <c r="G7" t="s">
        <v>14</v>
      </c>
      <c r="H7" s="1">
        <v>12089</v>
      </c>
      <c r="I7">
        <v>0.16200000000000001</v>
      </c>
      <c r="J7">
        <v>0.371</v>
      </c>
      <c r="K7">
        <v>0</v>
      </c>
      <c r="L7">
        <v>2</v>
      </c>
      <c r="M7" t="s">
        <v>13</v>
      </c>
      <c r="N7" s="1">
        <v>11270</v>
      </c>
      <c r="O7">
        <v>1.5</v>
      </c>
      <c r="P7">
        <v>0.55500000000000005</v>
      </c>
      <c r="Q7">
        <v>0</v>
      </c>
      <c r="R7">
        <v>6</v>
      </c>
    </row>
    <row r="8" spans="1:18" x14ac:dyDescent="0.25">
      <c r="A8" t="s">
        <v>14</v>
      </c>
      <c r="B8" s="1">
        <v>23359</v>
      </c>
      <c r="C8">
        <v>0.16700000000000001</v>
      </c>
      <c r="D8">
        <v>0.378</v>
      </c>
      <c r="E8">
        <v>0</v>
      </c>
      <c r="F8">
        <v>4</v>
      </c>
      <c r="G8" t="s">
        <v>15</v>
      </c>
      <c r="H8" s="1">
        <v>12089</v>
      </c>
      <c r="I8">
        <v>1.778</v>
      </c>
      <c r="J8">
        <v>0.91400000000000003</v>
      </c>
      <c r="K8">
        <v>0</v>
      </c>
      <c r="L8">
        <v>5</v>
      </c>
      <c r="M8" t="s">
        <v>14</v>
      </c>
      <c r="N8" s="1">
        <v>11270</v>
      </c>
      <c r="O8">
        <v>0.17299999999999999</v>
      </c>
      <c r="P8">
        <v>0.38500000000000001</v>
      </c>
      <c r="Q8">
        <v>0</v>
      </c>
      <c r="R8">
        <v>4</v>
      </c>
    </row>
    <row r="9" spans="1:18" x14ac:dyDescent="0.25">
      <c r="A9" t="s">
        <v>15</v>
      </c>
      <c r="B9" s="1">
        <v>23359</v>
      </c>
      <c r="C9">
        <v>1.7909999999999999</v>
      </c>
      <c r="D9">
        <v>0.91900000000000004</v>
      </c>
      <c r="E9">
        <v>0</v>
      </c>
      <c r="F9">
        <v>8</v>
      </c>
      <c r="G9" t="s">
        <v>16</v>
      </c>
      <c r="H9" s="1">
        <v>12089</v>
      </c>
      <c r="I9">
        <v>50.706000000000003</v>
      </c>
      <c r="J9">
        <v>59.216999999999999</v>
      </c>
      <c r="K9">
        <v>0</v>
      </c>
      <c r="L9">
        <v>785</v>
      </c>
      <c r="M9" t="s">
        <v>15</v>
      </c>
      <c r="N9" s="1">
        <v>11270</v>
      </c>
      <c r="O9">
        <v>1.806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23359</v>
      </c>
      <c r="C10">
        <v>45.36</v>
      </c>
      <c r="D10">
        <v>61.365000000000002</v>
      </c>
      <c r="E10">
        <v>0</v>
      </c>
      <c r="F10">
        <v>946</v>
      </c>
      <c r="G10" t="s">
        <v>163</v>
      </c>
      <c r="H10" s="1">
        <v>12089</v>
      </c>
      <c r="I10">
        <v>870.15599999999995</v>
      </c>
      <c r="J10">
        <v>384.01</v>
      </c>
      <c r="K10">
        <v>160</v>
      </c>
      <c r="L10" s="1">
        <v>6273</v>
      </c>
      <c r="M10" t="s">
        <v>16</v>
      </c>
      <c r="N10" s="1">
        <v>11270</v>
      </c>
      <c r="O10">
        <v>39.625</v>
      </c>
      <c r="P10">
        <v>63.09</v>
      </c>
      <c r="Q10">
        <v>0</v>
      </c>
      <c r="R10">
        <v>946</v>
      </c>
    </row>
    <row r="11" spans="1:18" x14ac:dyDescent="0.25">
      <c r="A11" t="s">
        <v>163</v>
      </c>
      <c r="B11" s="1">
        <v>23359</v>
      </c>
      <c r="C11">
        <v>874.01400000000001</v>
      </c>
      <c r="D11">
        <v>388.85700000000003</v>
      </c>
      <c r="E11">
        <v>120</v>
      </c>
      <c r="F11" s="1">
        <v>10740</v>
      </c>
      <c r="G11" t="s">
        <v>17</v>
      </c>
      <c r="H11" s="1">
        <v>12089</v>
      </c>
      <c r="I11">
        <v>19.561</v>
      </c>
      <c r="J11">
        <v>83.355000000000004</v>
      </c>
      <c r="K11">
        <v>0</v>
      </c>
      <c r="L11" s="1">
        <v>942</v>
      </c>
      <c r="M11" t="s">
        <v>163</v>
      </c>
      <c r="N11" s="1">
        <v>11270</v>
      </c>
      <c r="O11">
        <v>878.15099999999995</v>
      </c>
      <c r="P11">
        <v>393.96499999999997</v>
      </c>
      <c r="Q11">
        <v>120</v>
      </c>
      <c r="R11" s="1">
        <v>10740</v>
      </c>
    </row>
    <row r="12" spans="1:18" x14ac:dyDescent="0.25">
      <c r="A12" t="s">
        <v>17</v>
      </c>
      <c r="B12" s="1">
        <v>23359</v>
      </c>
      <c r="C12">
        <v>25.161000000000001</v>
      </c>
      <c r="D12">
        <v>94.546000000000006</v>
      </c>
      <c r="E12">
        <v>0</v>
      </c>
      <c r="F12" s="1">
        <v>1380</v>
      </c>
      <c r="G12" t="s">
        <v>19</v>
      </c>
      <c r="H12" s="1">
        <v>12089</v>
      </c>
      <c r="I12" s="2">
        <v>680429.4</v>
      </c>
      <c r="J12" s="2">
        <v>655026.19999999995</v>
      </c>
      <c r="K12" s="2">
        <v>99684.44</v>
      </c>
      <c r="L12" s="1">
        <v>28197546</v>
      </c>
      <c r="M12" t="s">
        <v>17</v>
      </c>
      <c r="N12" s="1">
        <v>11270</v>
      </c>
      <c r="O12">
        <v>31.167000000000002</v>
      </c>
      <c r="P12">
        <v>104.907</v>
      </c>
      <c r="Q12">
        <v>0</v>
      </c>
      <c r="R12" s="1">
        <v>1380</v>
      </c>
    </row>
    <row r="13" spans="1:18" x14ac:dyDescent="0.25">
      <c r="A13" t="s">
        <v>19</v>
      </c>
      <c r="B13" s="1">
        <v>23359</v>
      </c>
      <c r="C13" s="2">
        <v>674393.1</v>
      </c>
      <c r="D13" s="2">
        <v>623390.19999999995</v>
      </c>
      <c r="E13" s="2">
        <v>85418.51</v>
      </c>
      <c r="F13" s="2">
        <v>28197546</v>
      </c>
      <c r="G13" t="s">
        <v>20</v>
      </c>
      <c r="H13" s="1">
        <v>12089</v>
      </c>
      <c r="I13" s="2">
        <v>667860.69999999995</v>
      </c>
      <c r="J13" s="2">
        <v>632852.1</v>
      </c>
      <c r="K13" s="2">
        <v>118448.6</v>
      </c>
      <c r="L13" s="2">
        <v>28197546</v>
      </c>
      <c r="M13" t="s">
        <v>19</v>
      </c>
      <c r="N13" s="1">
        <v>11270</v>
      </c>
      <c r="O13" s="2">
        <v>667918.19999999995</v>
      </c>
      <c r="P13" s="2">
        <v>587524.80000000005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23359</v>
      </c>
      <c r="C14" s="2">
        <v>665556.9</v>
      </c>
      <c r="D14" s="2">
        <v>595364.4</v>
      </c>
      <c r="E14" s="2">
        <v>85418.51</v>
      </c>
      <c r="F14" s="2">
        <v>28197546</v>
      </c>
      <c r="G14" t="s">
        <v>190</v>
      </c>
      <c r="H14" s="1">
        <v>12089</v>
      </c>
      <c r="I14" s="2">
        <v>10340.99</v>
      </c>
      <c r="J14" s="2">
        <v>33493.230000000003</v>
      </c>
      <c r="K14" s="2">
        <v>-152000</v>
      </c>
      <c r="L14" s="2">
        <v>750000</v>
      </c>
      <c r="M14" t="s">
        <v>20</v>
      </c>
      <c r="N14" s="1">
        <v>11270</v>
      </c>
      <c r="O14" s="2">
        <v>663085.6</v>
      </c>
      <c r="P14" s="2">
        <v>552348.69999999995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23359</v>
      </c>
      <c r="C15" s="2">
        <v>7370.1880000000001</v>
      </c>
      <c r="D15" s="2">
        <v>50199.87</v>
      </c>
      <c r="E15" s="1">
        <v>-300000</v>
      </c>
      <c r="F15" s="1">
        <v>4750000</v>
      </c>
      <c r="G15" t="s">
        <v>21</v>
      </c>
      <c r="H15" s="1">
        <v>12089</v>
      </c>
      <c r="I15" s="2">
        <v>1E-3</v>
      </c>
      <c r="J15" s="2">
        <v>3.1E-2</v>
      </c>
      <c r="K15" s="2">
        <v>0</v>
      </c>
      <c r="L15" s="2">
        <v>1</v>
      </c>
      <c r="M15" t="s">
        <v>190</v>
      </c>
      <c r="N15" s="1">
        <v>11270</v>
      </c>
      <c r="O15" s="2">
        <v>4183.5</v>
      </c>
      <c r="P15" s="2">
        <v>63249.33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23359</v>
      </c>
      <c r="C16">
        <v>1E-3</v>
      </c>
      <c r="D16">
        <v>3.5999999999999997E-2</v>
      </c>
      <c r="E16">
        <v>0</v>
      </c>
      <c r="F16">
        <v>1</v>
      </c>
      <c r="G16" t="s">
        <v>22</v>
      </c>
      <c r="H16" s="1">
        <v>12089</v>
      </c>
      <c r="I16" s="2">
        <v>2.8000000000000001E-2</v>
      </c>
      <c r="J16" s="2">
        <v>0.16500000000000001</v>
      </c>
      <c r="K16" s="1">
        <v>0</v>
      </c>
      <c r="L16" s="1">
        <v>1</v>
      </c>
      <c r="M16" t="s">
        <v>21</v>
      </c>
      <c r="N16" s="1">
        <v>11270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23359</v>
      </c>
      <c r="C17">
        <v>2.7E-2</v>
      </c>
      <c r="D17">
        <v>0.161</v>
      </c>
      <c r="E17">
        <v>0</v>
      </c>
      <c r="F17">
        <v>1</v>
      </c>
      <c r="G17" t="s">
        <v>23</v>
      </c>
      <c r="H17" s="1">
        <v>12089</v>
      </c>
      <c r="I17">
        <v>7.0000000000000001E-3</v>
      </c>
      <c r="J17">
        <v>8.5000000000000006E-2</v>
      </c>
      <c r="K17">
        <v>0</v>
      </c>
      <c r="L17">
        <v>1</v>
      </c>
      <c r="M17" t="s">
        <v>22</v>
      </c>
      <c r="N17" s="1">
        <v>11270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23359</v>
      </c>
      <c r="C18">
        <v>6.0000000000000001E-3</v>
      </c>
      <c r="D18">
        <v>7.6999999999999999E-2</v>
      </c>
      <c r="E18">
        <v>0</v>
      </c>
      <c r="F18">
        <v>1</v>
      </c>
      <c r="G18" t="s">
        <v>24</v>
      </c>
      <c r="H18" s="1">
        <v>12089</v>
      </c>
      <c r="I18">
        <v>0.17399999999999999</v>
      </c>
      <c r="J18">
        <v>0.379</v>
      </c>
      <c r="K18">
        <v>0</v>
      </c>
      <c r="L18">
        <v>1</v>
      </c>
      <c r="M18" t="s">
        <v>23</v>
      </c>
      <c r="N18" s="1">
        <v>11270</v>
      </c>
      <c r="O18">
        <v>5.0000000000000001E-3</v>
      </c>
      <c r="P18">
        <v>6.9000000000000006E-2</v>
      </c>
      <c r="Q18">
        <v>0</v>
      </c>
      <c r="R18">
        <v>1</v>
      </c>
    </row>
    <row r="19" spans="1:18" x14ac:dyDescent="0.25">
      <c r="A19" t="s">
        <v>24</v>
      </c>
      <c r="B19" s="1">
        <v>23359</v>
      </c>
      <c r="C19">
        <v>0.16700000000000001</v>
      </c>
      <c r="D19">
        <v>0.373</v>
      </c>
      <c r="E19">
        <v>0</v>
      </c>
      <c r="F19">
        <v>1</v>
      </c>
      <c r="G19" t="s">
        <v>25</v>
      </c>
      <c r="H19" s="1">
        <v>12089</v>
      </c>
      <c r="I19">
        <v>0.53900000000000003</v>
      </c>
      <c r="J19">
        <v>0.499</v>
      </c>
      <c r="K19">
        <v>0</v>
      </c>
      <c r="L19">
        <v>1</v>
      </c>
      <c r="M19" t="s">
        <v>24</v>
      </c>
      <c r="N19" s="1">
        <v>11270</v>
      </c>
      <c r="O19">
        <v>0.161</v>
      </c>
      <c r="P19">
        <v>0.36699999999999999</v>
      </c>
      <c r="Q19">
        <v>0</v>
      </c>
      <c r="R19">
        <v>1</v>
      </c>
    </row>
    <row r="20" spans="1:18" x14ac:dyDescent="0.25">
      <c r="A20" t="s">
        <v>25</v>
      </c>
      <c r="B20" s="1">
        <v>23359</v>
      </c>
      <c r="C20">
        <v>0.53900000000000003</v>
      </c>
      <c r="D20">
        <v>0.499</v>
      </c>
      <c r="E20">
        <v>0</v>
      </c>
      <c r="F20">
        <v>1</v>
      </c>
      <c r="G20" t="s">
        <v>26</v>
      </c>
      <c r="H20" s="1">
        <v>12089</v>
      </c>
      <c r="I20">
        <v>0.28499999999999998</v>
      </c>
      <c r="J20">
        <v>0.45200000000000001</v>
      </c>
      <c r="K20">
        <v>0</v>
      </c>
      <c r="L20">
        <v>1</v>
      </c>
      <c r="M20" t="s">
        <v>25</v>
      </c>
      <c r="N20" s="1">
        <v>11270</v>
      </c>
      <c r="O20">
        <v>0.53900000000000003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23359</v>
      </c>
      <c r="C21">
        <v>0.29299999999999998</v>
      </c>
      <c r="D21">
        <v>0.45500000000000002</v>
      </c>
      <c r="E21">
        <v>0</v>
      </c>
      <c r="F21">
        <v>1</v>
      </c>
      <c r="G21" t="s">
        <v>27</v>
      </c>
      <c r="H21" s="1">
        <v>12089</v>
      </c>
      <c r="I21">
        <v>7.0999999999999994E-2</v>
      </c>
      <c r="J21">
        <v>0.25700000000000001</v>
      </c>
      <c r="K21">
        <v>0</v>
      </c>
      <c r="L21">
        <v>1</v>
      </c>
      <c r="M21" t="s">
        <v>26</v>
      </c>
      <c r="N21" s="1">
        <v>11270</v>
      </c>
      <c r="O21">
        <v>0.3</v>
      </c>
      <c r="P21">
        <v>0.45800000000000002</v>
      </c>
      <c r="Q21">
        <v>0</v>
      </c>
      <c r="R21">
        <v>1</v>
      </c>
    </row>
    <row r="22" spans="1:18" x14ac:dyDescent="0.25">
      <c r="A22" t="s">
        <v>27</v>
      </c>
      <c r="B22" s="1">
        <v>23359</v>
      </c>
      <c r="C22">
        <v>6.7000000000000004E-2</v>
      </c>
      <c r="D22">
        <v>0.251</v>
      </c>
      <c r="E22">
        <v>0</v>
      </c>
      <c r="F22">
        <v>1</v>
      </c>
      <c r="G22" t="s">
        <v>28</v>
      </c>
      <c r="H22" s="1">
        <v>12089</v>
      </c>
      <c r="I22">
        <v>3.0000000000000001E-3</v>
      </c>
      <c r="J22">
        <v>5.5E-2</v>
      </c>
      <c r="K22">
        <v>0</v>
      </c>
      <c r="L22">
        <v>1</v>
      </c>
      <c r="M22" t="s">
        <v>27</v>
      </c>
      <c r="N22" s="1">
        <v>11270</v>
      </c>
      <c r="O22">
        <v>6.3E-2</v>
      </c>
      <c r="P22">
        <v>0.24299999999999999</v>
      </c>
      <c r="Q22">
        <v>0</v>
      </c>
      <c r="R22">
        <v>1</v>
      </c>
    </row>
    <row r="23" spans="1:18" x14ac:dyDescent="0.25">
      <c r="A23" t="s">
        <v>28</v>
      </c>
      <c r="B23" s="1">
        <v>23359</v>
      </c>
      <c r="C23">
        <v>3.0000000000000001E-3</v>
      </c>
      <c r="D23">
        <v>5.3999999999999999E-2</v>
      </c>
      <c r="E23">
        <v>0</v>
      </c>
      <c r="F23">
        <v>1</v>
      </c>
      <c r="G23" t="s">
        <v>29</v>
      </c>
      <c r="H23" s="1">
        <v>12089</v>
      </c>
      <c r="I23">
        <v>1E-4</v>
      </c>
      <c r="J23">
        <v>8.9999999999999993E-3</v>
      </c>
      <c r="K23">
        <v>0</v>
      </c>
      <c r="L23">
        <v>1</v>
      </c>
      <c r="M23" t="s">
        <v>28</v>
      </c>
      <c r="N23" s="1">
        <v>11270</v>
      </c>
      <c r="O23">
        <v>3.0000000000000001E-3</v>
      </c>
      <c r="P23">
        <v>5.2999999999999999E-2</v>
      </c>
      <c r="Q23">
        <v>0</v>
      </c>
      <c r="R23">
        <v>1</v>
      </c>
    </row>
    <row r="24" spans="1:18" x14ac:dyDescent="0.25">
      <c r="A24" t="s">
        <v>29</v>
      </c>
      <c r="B24" s="1">
        <v>23359</v>
      </c>
      <c r="C24">
        <v>4.0000000000000003E-5</v>
      </c>
      <c r="D24">
        <v>7.0000000000000001E-3</v>
      </c>
      <c r="E24">
        <v>0</v>
      </c>
      <c r="F24">
        <v>1</v>
      </c>
      <c r="G24" t="s">
        <v>30</v>
      </c>
      <c r="H24" s="1">
        <v>12089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11270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23359</v>
      </c>
      <c r="C25">
        <v>0</v>
      </c>
      <c r="D25">
        <v>0</v>
      </c>
      <c r="E25">
        <v>0</v>
      </c>
      <c r="F25">
        <v>0</v>
      </c>
      <c r="G25" t="s">
        <v>31</v>
      </c>
      <c r="H25" s="1">
        <v>12089</v>
      </c>
      <c r="I25">
        <v>8.4000000000000005E-2</v>
      </c>
      <c r="J25">
        <v>0.27800000000000002</v>
      </c>
      <c r="K25">
        <v>0</v>
      </c>
      <c r="L25">
        <v>1</v>
      </c>
      <c r="M25" t="s">
        <v>30</v>
      </c>
      <c r="N25" s="1">
        <v>11270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23359</v>
      </c>
      <c r="C26">
        <v>8.2000000000000003E-2</v>
      </c>
      <c r="D26">
        <v>0.27400000000000002</v>
      </c>
      <c r="E26">
        <v>0</v>
      </c>
      <c r="F26">
        <v>1</v>
      </c>
      <c r="G26" t="s">
        <v>32</v>
      </c>
      <c r="H26" s="1">
        <v>12089</v>
      </c>
      <c r="I26">
        <v>1E-3</v>
      </c>
      <c r="J26">
        <v>2.4E-2</v>
      </c>
      <c r="K26">
        <v>0</v>
      </c>
      <c r="L26">
        <v>1</v>
      </c>
      <c r="M26" t="s">
        <v>31</v>
      </c>
      <c r="N26" s="1">
        <v>11270</v>
      </c>
      <c r="O26">
        <v>7.9000000000000001E-2</v>
      </c>
      <c r="P26">
        <v>0.27</v>
      </c>
      <c r="Q26">
        <v>0</v>
      </c>
      <c r="R26">
        <v>1</v>
      </c>
    </row>
    <row r="27" spans="1:18" x14ac:dyDescent="0.25">
      <c r="A27" t="s">
        <v>32</v>
      </c>
      <c r="B27" s="1">
        <v>23359</v>
      </c>
      <c r="C27">
        <v>1E-3</v>
      </c>
      <c r="D27">
        <v>3.1E-2</v>
      </c>
      <c r="E27">
        <v>0</v>
      </c>
      <c r="F27">
        <v>1</v>
      </c>
      <c r="G27" t="s">
        <v>33</v>
      </c>
      <c r="H27" s="1">
        <v>12089</v>
      </c>
      <c r="I27">
        <v>34.792999999999999</v>
      </c>
      <c r="J27">
        <v>15.673</v>
      </c>
      <c r="K27">
        <v>0</v>
      </c>
      <c r="L27">
        <v>90</v>
      </c>
      <c r="M27" t="s">
        <v>32</v>
      </c>
      <c r="N27" s="1">
        <v>11270</v>
      </c>
      <c r="O27">
        <v>1E-3</v>
      </c>
      <c r="P27">
        <v>3.5999999999999997E-2</v>
      </c>
      <c r="Q27">
        <v>0</v>
      </c>
      <c r="R27">
        <v>1</v>
      </c>
    </row>
    <row r="28" spans="1:18" x14ac:dyDescent="0.25">
      <c r="A28" t="s">
        <v>33</v>
      </c>
      <c r="B28" s="1">
        <v>23359</v>
      </c>
      <c r="C28">
        <v>35.92</v>
      </c>
      <c r="D28">
        <v>16.042000000000002</v>
      </c>
      <c r="E28">
        <v>0</v>
      </c>
      <c r="F28">
        <v>90</v>
      </c>
      <c r="G28" t="s">
        <v>34</v>
      </c>
      <c r="H28" s="1">
        <v>12089</v>
      </c>
      <c r="I28">
        <v>1.456</v>
      </c>
      <c r="J28">
        <v>0.97299999999999998</v>
      </c>
      <c r="K28">
        <v>0</v>
      </c>
      <c r="L28">
        <v>8.1</v>
      </c>
      <c r="M28" t="s">
        <v>33</v>
      </c>
      <c r="N28" s="1">
        <v>11270</v>
      </c>
      <c r="O28">
        <v>37.130000000000003</v>
      </c>
      <c r="P28">
        <v>16.343</v>
      </c>
      <c r="Q28">
        <v>0</v>
      </c>
      <c r="R28">
        <v>83</v>
      </c>
    </row>
    <row r="29" spans="1:18" x14ac:dyDescent="0.25">
      <c r="A29" t="s">
        <v>34</v>
      </c>
      <c r="B29" s="1">
        <v>23359</v>
      </c>
      <c r="C29">
        <v>1.548</v>
      </c>
      <c r="D29">
        <v>1.0229999999999999</v>
      </c>
      <c r="E29">
        <v>0</v>
      </c>
      <c r="F29">
        <v>8.1</v>
      </c>
      <c r="G29" t="s">
        <v>35</v>
      </c>
      <c r="H29" s="1">
        <v>12089</v>
      </c>
      <c r="I29">
        <v>1.3979999999999999</v>
      </c>
      <c r="J29">
        <v>3.859</v>
      </c>
      <c r="K29">
        <v>0</v>
      </c>
      <c r="L29">
        <v>57</v>
      </c>
      <c r="M29" t="s">
        <v>34</v>
      </c>
      <c r="N29" s="1">
        <v>11270</v>
      </c>
      <c r="O29">
        <v>1.6459999999999999</v>
      </c>
      <c r="P29">
        <v>1.0660000000000001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23359</v>
      </c>
      <c r="C30">
        <v>1.4690000000000001</v>
      </c>
      <c r="D30">
        <v>4.0510000000000002</v>
      </c>
      <c r="E30">
        <v>0</v>
      </c>
      <c r="F30">
        <v>57</v>
      </c>
      <c r="G30" t="s">
        <v>18</v>
      </c>
      <c r="H30" s="1">
        <v>12089</v>
      </c>
      <c r="I30">
        <v>951.447</v>
      </c>
      <c r="J30">
        <v>437.577</v>
      </c>
      <c r="K30">
        <v>195</v>
      </c>
      <c r="L30" s="1">
        <v>7582</v>
      </c>
      <c r="M30" t="s">
        <v>35</v>
      </c>
      <c r="N30" s="1">
        <v>11270</v>
      </c>
      <c r="O30">
        <v>1.544</v>
      </c>
      <c r="P30">
        <v>4.2460000000000004</v>
      </c>
      <c r="Q30">
        <v>0</v>
      </c>
      <c r="R30">
        <v>45</v>
      </c>
    </row>
    <row r="31" spans="1:18" x14ac:dyDescent="0.25">
      <c r="A31" t="s">
        <v>18</v>
      </c>
      <c r="B31" s="1">
        <v>23359</v>
      </c>
      <c r="C31">
        <v>954.75599999999997</v>
      </c>
      <c r="D31">
        <v>439.5</v>
      </c>
      <c r="E31">
        <v>175</v>
      </c>
      <c r="F31" s="1">
        <v>11155</v>
      </c>
      <c r="G31" t="s">
        <v>37</v>
      </c>
      <c r="H31" s="1">
        <v>12089</v>
      </c>
      <c r="I31">
        <v>4.6429999999999998</v>
      </c>
      <c r="J31">
        <v>6.6289999999999996</v>
      </c>
      <c r="K31">
        <v>1.4E-2</v>
      </c>
      <c r="L31" s="1">
        <v>52.774999999999999</v>
      </c>
      <c r="M31" t="s">
        <v>18</v>
      </c>
      <c r="N31" s="1">
        <v>11270</v>
      </c>
      <c r="O31">
        <v>958.30600000000004</v>
      </c>
      <c r="P31">
        <v>441.54500000000002</v>
      </c>
      <c r="Q31">
        <v>175</v>
      </c>
      <c r="R31" s="1">
        <v>11155</v>
      </c>
    </row>
    <row r="32" spans="1:18" x14ac:dyDescent="0.25">
      <c r="A32" t="s">
        <v>37</v>
      </c>
      <c r="B32" s="1">
        <v>23359</v>
      </c>
      <c r="C32">
        <v>4.7910000000000004</v>
      </c>
      <c r="D32">
        <v>6.7919999999999998</v>
      </c>
      <c r="E32">
        <v>1.4E-2</v>
      </c>
      <c r="F32">
        <v>111.96899999999999</v>
      </c>
      <c r="G32" t="s">
        <v>164</v>
      </c>
      <c r="H32" s="1">
        <v>12089</v>
      </c>
      <c r="I32">
        <v>1.7030000000000001</v>
      </c>
      <c r="J32">
        <v>2.2370000000000001</v>
      </c>
      <c r="K32">
        <v>0</v>
      </c>
      <c r="L32" s="1">
        <v>12.788</v>
      </c>
      <c r="M32" t="s">
        <v>37</v>
      </c>
      <c r="N32" s="1">
        <v>11270</v>
      </c>
      <c r="O32">
        <v>4.95</v>
      </c>
      <c r="P32">
        <v>6.9589999999999996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23359</v>
      </c>
      <c r="C33">
        <v>1.7090000000000001</v>
      </c>
      <c r="D33">
        <v>2.218</v>
      </c>
      <c r="E33">
        <v>0</v>
      </c>
      <c r="F33">
        <v>12.788</v>
      </c>
      <c r="G33" t="s">
        <v>39</v>
      </c>
      <c r="H33" s="1">
        <v>12089</v>
      </c>
      <c r="I33">
        <v>0.32500000000000001</v>
      </c>
      <c r="J33">
        <v>0.25600000000000001</v>
      </c>
      <c r="K33">
        <v>1.2E-2</v>
      </c>
      <c r="L33">
        <v>1.7529999999999999</v>
      </c>
      <c r="M33" t="s">
        <v>164</v>
      </c>
      <c r="N33" s="1">
        <v>11270</v>
      </c>
      <c r="O33">
        <v>1.716</v>
      </c>
      <c r="P33">
        <v>2.1970000000000001</v>
      </c>
      <c r="Q33">
        <v>0</v>
      </c>
      <c r="R33">
        <v>12.788</v>
      </c>
    </row>
    <row r="34" spans="1:18" x14ac:dyDescent="0.25">
      <c r="A34" t="s">
        <v>39</v>
      </c>
      <c r="B34" s="1">
        <v>23359</v>
      </c>
      <c r="C34">
        <v>0.33500000000000002</v>
      </c>
      <c r="D34">
        <v>0.26700000000000002</v>
      </c>
      <c r="E34">
        <v>0</v>
      </c>
      <c r="F34">
        <v>2.165</v>
      </c>
      <c r="G34" t="s">
        <v>40</v>
      </c>
      <c r="H34" s="1">
        <v>12089</v>
      </c>
      <c r="I34">
        <v>2.9969999999999999</v>
      </c>
      <c r="J34">
        <v>3.282</v>
      </c>
      <c r="K34">
        <v>1.4999999999999999E-2</v>
      </c>
      <c r="L34">
        <v>20.402999999999999</v>
      </c>
      <c r="M34" t="s">
        <v>39</v>
      </c>
      <c r="N34" s="1">
        <v>11270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23359</v>
      </c>
      <c r="C35">
        <v>3.113</v>
      </c>
      <c r="D35">
        <v>3.444</v>
      </c>
      <c r="E35">
        <v>1.4999999999999999E-2</v>
      </c>
      <c r="F35">
        <v>20.402999999999999</v>
      </c>
      <c r="G35" t="s">
        <v>41</v>
      </c>
      <c r="H35" s="1">
        <v>12089</v>
      </c>
      <c r="I35">
        <v>7.5780000000000003</v>
      </c>
      <c r="J35">
        <v>5.1539999999999999</v>
      </c>
      <c r="K35">
        <v>0.99299999999999999</v>
      </c>
      <c r="L35">
        <v>25.135999999999999</v>
      </c>
      <c r="M35" t="s">
        <v>40</v>
      </c>
      <c r="N35" s="1">
        <v>11270</v>
      </c>
      <c r="O35">
        <v>3.2370000000000001</v>
      </c>
      <c r="P35">
        <v>3.6059999999999999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23359</v>
      </c>
      <c r="C36">
        <v>7.5750000000000002</v>
      </c>
      <c r="D36">
        <v>5.1479999999999997</v>
      </c>
      <c r="E36">
        <v>0.99299999999999999</v>
      </c>
      <c r="F36">
        <v>25.135999999999999</v>
      </c>
      <c r="G36" t="s">
        <v>173</v>
      </c>
      <c r="H36" s="1">
        <v>12089</v>
      </c>
      <c r="I36">
        <v>1.2749999999999999</v>
      </c>
      <c r="J36">
        <v>6.4649999999999999</v>
      </c>
      <c r="K36">
        <v>4.2999999999999997E-2</v>
      </c>
      <c r="L36">
        <v>196.49</v>
      </c>
      <c r="M36" t="s">
        <v>41</v>
      </c>
      <c r="N36" s="1">
        <v>11270</v>
      </c>
      <c r="O36">
        <v>7.5709999999999997</v>
      </c>
      <c r="P36">
        <v>5.141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23359</v>
      </c>
      <c r="C37">
        <v>1.256</v>
      </c>
      <c r="D37">
        <v>6.1909999999999998</v>
      </c>
      <c r="E37">
        <v>4.2999999999999997E-2</v>
      </c>
      <c r="F37">
        <v>196.49</v>
      </c>
      <c r="G37" t="s">
        <v>174</v>
      </c>
      <c r="H37" s="1">
        <v>12089</v>
      </c>
      <c r="I37">
        <v>1.92</v>
      </c>
      <c r="J37">
        <v>1.3080000000000001</v>
      </c>
      <c r="K37">
        <v>7.3999999999999996E-2</v>
      </c>
      <c r="L37">
        <v>7.2789999999999999</v>
      </c>
      <c r="M37" t="s">
        <v>173</v>
      </c>
      <c r="N37" s="1">
        <v>11270</v>
      </c>
      <c r="O37">
        <v>1.236</v>
      </c>
      <c r="P37">
        <v>5.8819999999999997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23359</v>
      </c>
      <c r="C38">
        <v>1.9430000000000001</v>
      </c>
      <c r="D38">
        <v>1.3180000000000001</v>
      </c>
      <c r="E38">
        <v>7.0999999999999994E-2</v>
      </c>
      <c r="F38">
        <v>7.2789999999999999</v>
      </c>
      <c r="G38" t="s">
        <v>175</v>
      </c>
      <c r="H38" s="1">
        <v>12089</v>
      </c>
      <c r="I38">
        <v>1.7949999999999999</v>
      </c>
      <c r="J38">
        <v>1.1890000000000001</v>
      </c>
      <c r="K38">
        <v>3.4000000000000002E-2</v>
      </c>
      <c r="L38">
        <v>6.8040000000000003</v>
      </c>
      <c r="M38" t="s">
        <v>174</v>
      </c>
      <c r="N38" s="1">
        <v>11270</v>
      </c>
      <c r="O38">
        <v>1.968</v>
      </c>
      <c r="P38">
        <v>1.329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23359</v>
      </c>
      <c r="C39">
        <v>1.806</v>
      </c>
      <c r="D39">
        <v>1.1990000000000001</v>
      </c>
      <c r="E39">
        <v>3.4000000000000002E-2</v>
      </c>
      <c r="F39">
        <v>6.8040000000000003</v>
      </c>
      <c r="G39" t="s">
        <v>42</v>
      </c>
      <c r="H39" s="1">
        <v>12089</v>
      </c>
      <c r="I39">
        <v>0.27900000000000003</v>
      </c>
      <c r="J39">
        <v>0.17199999999999999</v>
      </c>
      <c r="K39">
        <v>0</v>
      </c>
      <c r="L39">
        <v>1</v>
      </c>
      <c r="M39" t="s">
        <v>175</v>
      </c>
      <c r="N39" s="1">
        <v>11270</v>
      </c>
      <c r="O39">
        <v>1.8180000000000001</v>
      </c>
      <c r="P39">
        <v>1.21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23359</v>
      </c>
      <c r="C40">
        <v>0.27400000000000002</v>
      </c>
      <c r="D40">
        <v>0.17499999999999999</v>
      </c>
      <c r="E40">
        <v>0</v>
      </c>
      <c r="F40">
        <v>1</v>
      </c>
      <c r="G40" t="s">
        <v>43</v>
      </c>
      <c r="H40" s="1">
        <v>12089</v>
      </c>
      <c r="I40">
        <v>2.1999999999999999E-2</v>
      </c>
      <c r="J40">
        <v>2.9000000000000001E-2</v>
      </c>
      <c r="K40">
        <v>0</v>
      </c>
      <c r="L40">
        <v>0.188</v>
      </c>
      <c r="M40" t="s">
        <v>42</v>
      </c>
      <c r="N40" s="1">
        <v>11270</v>
      </c>
      <c r="O40">
        <v>0.26700000000000002</v>
      </c>
      <c r="P40">
        <v>0.17699999999999999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23359</v>
      </c>
      <c r="C41">
        <v>2.3E-2</v>
      </c>
      <c r="D41">
        <v>3.5000000000000003E-2</v>
      </c>
      <c r="E41">
        <v>0</v>
      </c>
      <c r="F41">
        <v>0.77600000000000002</v>
      </c>
      <c r="G41" t="s">
        <v>44</v>
      </c>
      <c r="H41" s="1">
        <v>12089</v>
      </c>
      <c r="I41">
        <v>0.439</v>
      </c>
      <c r="J41">
        <v>0.17699999999999999</v>
      </c>
      <c r="K41">
        <v>0</v>
      </c>
      <c r="L41">
        <v>1</v>
      </c>
      <c r="M41" t="s">
        <v>43</v>
      </c>
      <c r="N41" s="1">
        <v>11270</v>
      </c>
      <c r="O41">
        <v>2.3E-2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23359</v>
      </c>
      <c r="C42">
        <v>0.441</v>
      </c>
      <c r="D42">
        <v>0.184</v>
      </c>
      <c r="E42">
        <v>0</v>
      </c>
      <c r="F42">
        <v>1</v>
      </c>
      <c r="G42" t="s">
        <v>45</v>
      </c>
      <c r="H42" s="1">
        <v>12089</v>
      </c>
      <c r="I42">
        <v>5.8000000000000003E-2</v>
      </c>
      <c r="J42">
        <v>6.8000000000000005E-2</v>
      </c>
      <c r="K42">
        <v>0</v>
      </c>
      <c r="L42">
        <v>0.55700000000000005</v>
      </c>
      <c r="M42" t="s">
        <v>44</v>
      </c>
      <c r="N42" s="1">
        <v>11270</v>
      </c>
      <c r="O42">
        <v>0.44400000000000001</v>
      </c>
      <c r="P42">
        <v>0.192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23359</v>
      </c>
      <c r="C43">
        <v>5.8000000000000003E-2</v>
      </c>
      <c r="D43">
        <v>7.8E-2</v>
      </c>
      <c r="E43">
        <v>0</v>
      </c>
      <c r="F43">
        <v>0.64</v>
      </c>
      <c r="G43" t="s">
        <v>46</v>
      </c>
      <c r="H43" s="1">
        <v>12089</v>
      </c>
      <c r="I43">
        <v>0.80800000000000005</v>
      </c>
      <c r="J43">
        <v>0.20899999999999999</v>
      </c>
      <c r="K43">
        <v>7.0000000000000007E-2</v>
      </c>
      <c r="L43">
        <v>1</v>
      </c>
      <c r="M43" t="s">
        <v>45</v>
      </c>
      <c r="N43" s="1">
        <v>11270</v>
      </c>
      <c r="O43">
        <v>5.8000000000000003E-2</v>
      </c>
      <c r="P43">
        <v>8.5999999999999993E-2</v>
      </c>
      <c r="Q43">
        <v>0</v>
      </c>
      <c r="R43">
        <v>0.64</v>
      </c>
    </row>
    <row r="44" spans="1:18" x14ac:dyDescent="0.25">
      <c r="A44" t="s">
        <v>46</v>
      </c>
      <c r="B44" s="1">
        <v>23359</v>
      </c>
      <c r="C44">
        <v>0.81899999999999995</v>
      </c>
      <c r="D44">
        <v>0.20100000000000001</v>
      </c>
      <c r="E44">
        <v>7.0000000000000007E-2</v>
      </c>
      <c r="F44">
        <v>1</v>
      </c>
      <c r="G44" t="s">
        <v>47</v>
      </c>
      <c r="H44" s="1">
        <v>12089</v>
      </c>
      <c r="I44">
        <v>0.191</v>
      </c>
      <c r="J44">
        <v>0.20899999999999999</v>
      </c>
      <c r="K44">
        <v>0</v>
      </c>
      <c r="L44">
        <v>0.93</v>
      </c>
      <c r="M44" t="s">
        <v>46</v>
      </c>
      <c r="N44" s="1">
        <v>11270</v>
      </c>
      <c r="O44">
        <v>0.83</v>
      </c>
      <c r="P44">
        <v>0.191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23359</v>
      </c>
      <c r="C45">
        <v>0.18</v>
      </c>
      <c r="D45">
        <v>0.2</v>
      </c>
      <c r="E45">
        <v>0</v>
      </c>
      <c r="F45">
        <v>0.93</v>
      </c>
      <c r="G45" t="s">
        <v>48</v>
      </c>
      <c r="H45" s="1">
        <v>12089</v>
      </c>
      <c r="I45">
        <v>0.52300000000000002</v>
      </c>
      <c r="J45">
        <v>0.19</v>
      </c>
      <c r="K45">
        <v>0</v>
      </c>
      <c r="L45">
        <v>1</v>
      </c>
      <c r="M45" t="s">
        <v>47</v>
      </c>
      <c r="N45" s="1">
        <v>11270</v>
      </c>
      <c r="O45">
        <v>0.16800000000000001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23359</v>
      </c>
      <c r="C46">
        <v>0.54600000000000004</v>
      </c>
      <c r="D46">
        <v>0.19400000000000001</v>
      </c>
      <c r="E46">
        <v>0</v>
      </c>
      <c r="F46">
        <v>1</v>
      </c>
      <c r="G46" t="s">
        <v>49</v>
      </c>
      <c r="H46" s="1">
        <v>12089</v>
      </c>
      <c r="I46">
        <v>0.47599999999999998</v>
      </c>
      <c r="J46">
        <v>0.19</v>
      </c>
      <c r="K46">
        <v>0</v>
      </c>
      <c r="L46">
        <v>1</v>
      </c>
      <c r="M46" t="s">
        <v>48</v>
      </c>
      <c r="N46" s="1">
        <v>11270</v>
      </c>
      <c r="O46">
        <v>0.56999999999999995</v>
      </c>
      <c r="P46">
        <v>0.19600000000000001</v>
      </c>
      <c r="Q46">
        <v>0</v>
      </c>
      <c r="R46">
        <v>1</v>
      </c>
    </row>
    <row r="47" spans="1:18" x14ac:dyDescent="0.25">
      <c r="A47" t="s">
        <v>49</v>
      </c>
      <c r="B47" s="1">
        <v>23359</v>
      </c>
      <c r="C47">
        <v>0.45300000000000001</v>
      </c>
      <c r="D47">
        <v>0.19400000000000001</v>
      </c>
      <c r="E47">
        <v>0</v>
      </c>
      <c r="F47">
        <v>1</v>
      </c>
      <c r="G47" t="s">
        <v>50</v>
      </c>
      <c r="H47" s="1">
        <v>12089</v>
      </c>
      <c r="I47">
        <v>10.441000000000001</v>
      </c>
      <c r="J47">
        <v>38.456000000000003</v>
      </c>
      <c r="K47">
        <v>0</v>
      </c>
      <c r="L47">
        <v>631</v>
      </c>
      <c r="M47" t="s">
        <v>49</v>
      </c>
      <c r="N47" s="1">
        <v>11270</v>
      </c>
      <c r="O47">
        <v>0.42799999999999999</v>
      </c>
      <c r="P47">
        <v>0.19500000000000001</v>
      </c>
      <c r="Q47">
        <v>0</v>
      </c>
      <c r="R47">
        <v>1</v>
      </c>
    </row>
    <row r="48" spans="1:18" x14ac:dyDescent="0.25">
      <c r="A48" t="s">
        <v>50</v>
      </c>
      <c r="B48" s="1">
        <v>23359</v>
      </c>
      <c r="C48">
        <v>11.606</v>
      </c>
      <c r="D48">
        <v>41.25</v>
      </c>
      <c r="E48">
        <v>0</v>
      </c>
      <c r="F48" s="1">
        <v>1000</v>
      </c>
      <c r="G48" t="s">
        <v>51</v>
      </c>
      <c r="H48" s="1">
        <v>12089</v>
      </c>
      <c r="I48">
        <v>1.28</v>
      </c>
      <c r="J48">
        <v>1.83</v>
      </c>
      <c r="K48">
        <v>0</v>
      </c>
      <c r="L48">
        <v>36</v>
      </c>
      <c r="M48" t="s">
        <v>50</v>
      </c>
      <c r="N48" s="1">
        <v>11270</v>
      </c>
      <c r="O48">
        <v>12.856999999999999</v>
      </c>
      <c r="P48">
        <v>44.018999999999998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23359</v>
      </c>
      <c r="C49">
        <v>1.2649999999999999</v>
      </c>
      <c r="D49">
        <v>1.8360000000000001</v>
      </c>
      <c r="E49">
        <v>0</v>
      </c>
      <c r="F49">
        <v>36</v>
      </c>
      <c r="G49" t="s">
        <v>52</v>
      </c>
      <c r="H49" s="1">
        <v>12089</v>
      </c>
      <c r="I49">
        <v>0.36799999999999999</v>
      </c>
      <c r="J49">
        <v>0.48199999999999998</v>
      </c>
      <c r="K49">
        <v>0</v>
      </c>
      <c r="L49">
        <v>1</v>
      </c>
      <c r="M49" t="s">
        <v>51</v>
      </c>
      <c r="N49" s="1">
        <v>11270</v>
      </c>
      <c r="O49">
        <v>1.2490000000000001</v>
      </c>
      <c r="P49">
        <v>1.843</v>
      </c>
      <c r="Q49">
        <v>0</v>
      </c>
      <c r="R49">
        <v>23</v>
      </c>
    </row>
    <row r="50" spans="1:18" x14ac:dyDescent="0.25">
      <c r="A50" t="s">
        <v>52</v>
      </c>
      <c r="B50" s="1">
        <v>23359</v>
      </c>
      <c r="C50">
        <v>0.378</v>
      </c>
      <c r="D50">
        <v>0.48499999999999999</v>
      </c>
      <c r="E50">
        <v>0</v>
      </c>
      <c r="F50">
        <v>1</v>
      </c>
      <c r="G50" t="s">
        <v>53</v>
      </c>
      <c r="H50" s="1">
        <v>12089</v>
      </c>
      <c r="I50" s="2">
        <v>2359520</v>
      </c>
      <c r="J50" s="2">
        <v>6920.2939999999999</v>
      </c>
      <c r="K50" s="2">
        <v>2351113</v>
      </c>
      <c r="L50" s="2">
        <v>2400056</v>
      </c>
      <c r="M50" t="s">
        <v>52</v>
      </c>
      <c r="N50" s="1">
        <v>11270</v>
      </c>
      <c r="O50">
        <v>0.38800000000000001</v>
      </c>
      <c r="P50">
        <v>0.48699999999999999</v>
      </c>
      <c r="Q50">
        <v>0</v>
      </c>
      <c r="R50">
        <v>1</v>
      </c>
    </row>
    <row r="51" spans="1:18" x14ac:dyDescent="0.25">
      <c r="A51" t="s">
        <v>53</v>
      </c>
      <c r="B51" s="1">
        <v>23359</v>
      </c>
      <c r="C51" s="2">
        <v>2359578</v>
      </c>
      <c r="D51" s="2">
        <v>6889.6779999999999</v>
      </c>
      <c r="E51" s="2">
        <v>2351041</v>
      </c>
      <c r="F51" s="2">
        <v>2400056</v>
      </c>
      <c r="G51" t="s">
        <v>54</v>
      </c>
      <c r="H51" s="1">
        <v>12089</v>
      </c>
      <c r="I51" s="2">
        <v>614962.1</v>
      </c>
      <c r="J51" s="2">
        <v>11099.77</v>
      </c>
      <c r="K51" s="2">
        <v>580446.1</v>
      </c>
      <c r="L51" s="2">
        <v>637819.69999999995</v>
      </c>
      <c r="M51" t="s">
        <v>53</v>
      </c>
      <c r="N51" s="1">
        <v>11270</v>
      </c>
      <c r="O51" s="2">
        <v>2359640</v>
      </c>
      <c r="P51" s="2">
        <v>6856.4549999999999</v>
      </c>
      <c r="Q51" s="2">
        <v>2351041</v>
      </c>
      <c r="R51" s="2">
        <v>2400056</v>
      </c>
    </row>
    <row r="52" spans="1:18" x14ac:dyDescent="0.25">
      <c r="A52" t="s">
        <v>54</v>
      </c>
      <c r="B52" s="1">
        <v>23359</v>
      </c>
      <c r="C52" s="2">
        <v>614645.9</v>
      </c>
      <c r="D52" s="2">
        <v>11418.35</v>
      </c>
      <c r="E52" s="2">
        <v>580446.1</v>
      </c>
      <c r="F52" s="2">
        <v>637819.69999999995</v>
      </c>
      <c r="G52" t="s">
        <v>56</v>
      </c>
      <c r="H52" s="1">
        <v>12089</v>
      </c>
      <c r="I52" s="2">
        <v>1</v>
      </c>
      <c r="J52" s="2">
        <v>0</v>
      </c>
      <c r="K52" s="2">
        <v>1</v>
      </c>
      <c r="L52" s="2">
        <v>1</v>
      </c>
      <c r="M52" t="s">
        <v>54</v>
      </c>
      <c r="N52" s="1">
        <v>11270</v>
      </c>
      <c r="O52" s="2">
        <v>614306.80000000005</v>
      </c>
      <c r="P52" s="2">
        <v>11741.53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23359</v>
      </c>
      <c r="C53">
        <v>1</v>
      </c>
      <c r="D53">
        <v>0</v>
      </c>
      <c r="E53">
        <v>1</v>
      </c>
      <c r="F53">
        <v>1</v>
      </c>
      <c r="G53" t="s">
        <v>57</v>
      </c>
      <c r="H53" s="1">
        <v>12089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11270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23359</v>
      </c>
      <c r="C54">
        <v>0</v>
      </c>
      <c r="D54">
        <v>0</v>
      </c>
      <c r="E54">
        <v>0</v>
      </c>
      <c r="F54">
        <v>0</v>
      </c>
      <c r="G54" t="s">
        <v>58</v>
      </c>
      <c r="H54" s="1">
        <v>12089</v>
      </c>
      <c r="I54">
        <v>0.27600000000000002</v>
      </c>
      <c r="J54">
        <v>0.44700000000000001</v>
      </c>
      <c r="K54">
        <v>0</v>
      </c>
      <c r="L54">
        <v>1</v>
      </c>
      <c r="M54" t="s">
        <v>57</v>
      </c>
      <c r="N54" s="1">
        <v>11270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23359</v>
      </c>
      <c r="C55">
        <v>0.26100000000000001</v>
      </c>
      <c r="D55">
        <v>0.439</v>
      </c>
      <c r="E55">
        <v>0</v>
      </c>
      <c r="F55">
        <v>1</v>
      </c>
      <c r="G55" t="s">
        <v>59</v>
      </c>
      <c r="H55" s="1">
        <v>12089</v>
      </c>
      <c r="I55">
        <v>0.19</v>
      </c>
      <c r="J55">
        <v>0.39200000000000002</v>
      </c>
      <c r="K55">
        <v>0</v>
      </c>
      <c r="L55">
        <v>1</v>
      </c>
      <c r="M55" t="s">
        <v>58</v>
      </c>
      <c r="N55" s="1">
        <v>11270</v>
      </c>
      <c r="O55">
        <v>0.24399999999999999</v>
      </c>
      <c r="P55">
        <v>0.43</v>
      </c>
      <c r="Q55">
        <v>0</v>
      </c>
      <c r="R55">
        <v>1</v>
      </c>
    </row>
    <row r="56" spans="1:18" x14ac:dyDescent="0.25">
      <c r="A56" t="s">
        <v>59</v>
      </c>
      <c r="B56" s="1">
        <v>23359</v>
      </c>
      <c r="C56">
        <v>0.19800000000000001</v>
      </c>
      <c r="D56">
        <v>0.39900000000000002</v>
      </c>
      <c r="E56">
        <v>0</v>
      </c>
      <c r="F56">
        <v>1</v>
      </c>
      <c r="G56" t="s">
        <v>60</v>
      </c>
      <c r="H56" s="1">
        <v>12089</v>
      </c>
      <c r="I56">
        <v>0.53400000000000003</v>
      </c>
      <c r="J56">
        <v>0.499</v>
      </c>
      <c r="K56">
        <v>0</v>
      </c>
      <c r="L56">
        <v>1</v>
      </c>
      <c r="M56" t="s">
        <v>59</v>
      </c>
      <c r="N56" s="1">
        <v>11270</v>
      </c>
      <c r="O56">
        <v>0.20699999999999999</v>
      </c>
      <c r="P56">
        <v>0.40600000000000003</v>
      </c>
      <c r="Q56">
        <v>0</v>
      </c>
      <c r="R56">
        <v>1</v>
      </c>
    </row>
    <row r="57" spans="1:18" x14ac:dyDescent="0.25">
      <c r="A57" t="s">
        <v>60</v>
      </c>
      <c r="B57" s="1">
        <v>23359</v>
      </c>
      <c r="C57">
        <v>0.54100000000000004</v>
      </c>
      <c r="D57">
        <v>0.498</v>
      </c>
      <c r="E57">
        <v>0</v>
      </c>
      <c r="F57">
        <v>1</v>
      </c>
      <c r="G57" t="s">
        <v>61</v>
      </c>
      <c r="H57" s="1">
        <v>12089</v>
      </c>
      <c r="I57" s="2">
        <v>2017.662</v>
      </c>
      <c r="J57">
        <v>1.1639999999999999</v>
      </c>
      <c r="K57" s="1">
        <v>2016</v>
      </c>
      <c r="L57" s="1">
        <v>2020</v>
      </c>
      <c r="M57" t="s">
        <v>60</v>
      </c>
      <c r="N57" s="1">
        <v>11270</v>
      </c>
      <c r="O57">
        <v>0.54800000000000004</v>
      </c>
      <c r="P57">
        <v>0.498</v>
      </c>
      <c r="Q57">
        <v>0</v>
      </c>
      <c r="R57">
        <v>1</v>
      </c>
    </row>
    <row r="58" spans="1:18" x14ac:dyDescent="0.25">
      <c r="A58" t="s">
        <v>61</v>
      </c>
      <c r="B58" s="1">
        <v>23359</v>
      </c>
      <c r="C58" s="2">
        <v>2019.32</v>
      </c>
      <c r="D58">
        <v>1.9810000000000001</v>
      </c>
      <c r="E58" s="1">
        <v>2016</v>
      </c>
      <c r="F58" s="1">
        <v>2023</v>
      </c>
      <c r="G58" t="s">
        <v>62</v>
      </c>
      <c r="H58" s="1">
        <v>12089</v>
      </c>
      <c r="I58" s="2">
        <v>9.7000000000000003E-2</v>
      </c>
      <c r="J58">
        <v>0.29599999999999999</v>
      </c>
      <c r="K58" s="1">
        <v>0</v>
      </c>
      <c r="L58" s="1">
        <v>1</v>
      </c>
      <c r="M58" t="s">
        <v>61</v>
      </c>
      <c r="N58" s="1">
        <v>11270</v>
      </c>
      <c r="O58" s="2">
        <v>2021.098</v>
      </c>
      <c r="P58">
        <v>0.753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23359</v>
      </c>
      <c r="C59">
        <v>0.10100000000000001</v>
      </c>
      <c r="D59">
        <v>0.30099999999999999</v>
      </c>
      <c r="E59">
        <v>0</v>
      </c>
      <c r="F59">
        <v>1</v>
      </c>
      <c r="G59" t="s">
        <v>63</v>
      </c>
      <c r="H59" s="1">
        <v>12089</v>
      </c>
      <c r="I59" s="2">
        <v>2.0000000000000001E-4</v>
      </c>
      <c r="J59">
        <v>1.6E-2</v>
      </c>
      <c r="K59" s="1">
        <v>0</v>
      </c>
      <c r="L59" s="1">
        <v>1</v>
      </c>
      <c r="M59" t="s">
        <v>62</v>
      </c>
      <c r="N59" s="1">
        <v>11270</v>
      </c>
      <c r="O59">
        <v>0.105</v>
      </c>
      <c r="P59">
        <v>0.307</v>
      </c>
      <c r="Q59">
        <v>0</v>
      </c>
      <c r="R59">
        <v>1</v>
      </c>
    </row>
    <row r="60" spans="1:18" x14ac:dyDescent="0.25">
      <c r="A60" t="s">
        <v>63</v>
      </c>
      <c r="B60" s="1">
        <v>23359</v>
      </c>
      <c r="C60">
        <v>1E-3</v>
      </c>
      <c r="D60">
        <v>2.3E-2</v>
      </c>
      <c r="E60">
        <v>0</v>
      </c>
      <c r="F60">
        <v>1</v>
      </c>
      <c r="G60" t="s">
        <v>64</v>
      </c>
      <c r="H60" s="1">
        <v>12089</v>
      </c>
      <c r="I60">
        <v>5.5E-2</v>
      </c>
      <c r="J60">
        <v>0.22700000000000001</v>
      </c>
      <c r="K60">
        <v>0</v>
      </c>
      <c r="L60">
        <v>1</v>
      </c>
      <c r="M60" t="s">
        <v>63</v>
      </c>
      <c r="N60" s="1">
        <v>11270</v>
      </c>
      <c r="O60">
        <v>1E-3</v>
      </c>
      <c r="P60">
        <v>2.8000000000000001E-2</v>
      </c>
      <c r="Q60">
        <v>0</v>
      </c>
      <c r="R60">
        <v>1</v>
      </c>
    </row>
    <row r="61" spans="1:18" x14ac:dyDescent="0.25">
      <c r="A61" t="s">
        <v>64</v>
      </c>
      <c r="B61" s="1">
        <v>23359</v>
      </c>
      <c r="C61">
        <v>5.6000000000000001E-2</v>
      </c>
      <c r="D61">
        <v>0.23</v>
      </c>
      <c r="E61">
        <v>0</v>
      </c>
      <c r="F61">
        <v>1</v>
      </c>
      <c r="G61" t="s">
        <v>65</v>
      </c>
      <c r="H61" s="1">
        <v>12089</v>
      </c>
      <c r="I61">
        <v>0.217</v>
      </c>
      <c r="J61">
        <v>0.41299999999999998</v>
      </c>
      <c r="K61">
        <v>0</v>
      </c>
      <c r="L61">
        <v>1</v>
      </c>
      <c r="M61" t="s">
        <v>64</v>
      </c>
      <c r="N61" s="1">
        <v>11270</v>
      </c>
      <c r="O61">
        <v>5.8000000000000003E-2</v>
      </c>
      <c r="P61">
        <v>0.23300000000000001</v>
      </c>
      <c r="Q61">
        <v>0</v>
      </c>
      <c r="R61">
        <v>1</v>
      </c>
    </row>
    <row r="62" spans="1:18" x14ac:dyDescent="0.25">
      <c r="A62" t="s">
        <v>65</v>
      </c>
      <c r="B62" s="1">
        <v>23359</v>
      </c>
      <c r="C62">
        <v>0.217</v>
      </c>
      <c r="D62">
        <v>0.41199999999999998</v>
      </c>
      <c r="E62">
        <v>0</v>
      </c>
      <c r="F62">
        <v>1</v>
      </c>
      <c r="G62" t="s">
        <v>66</v>
      </c>
      <c r="H62" s="1">
        <v>12089</v>
      </c>
      <c r="I62">
        <v>0.28899999999999998</v>
      </c>
      <c r="J62">
        <v>0.45300000000000001</v>
      </c>
      <c r="K62">
        <v>0</v>
      </c>
      <c r="L62">
        <v>1</v>
      </c>
      <c r="M62" t="s">
        <v>65</v>
      </c>
      <c r="N62" s="1">
        <v>11270</v>
      </c>
      <c r="O62">
        <v>0.217</v>
      </c>
      <c r="P62">
        <v>0.41199999999999998</v>
      </c>
      <c r="Q62">
        <v>0</v>
      </c>
      <c r="R62">
        <v>1</v>
      </c>
    </row>
    <row r="63" spans="1:18" x14ac:dyDescent="0.25">
      <c r="A63" t="s">
        <v>66</v>
      </c>
      <c r="B63" s="1">
        <v>23359</v>
      </c>
      <c r="C63">
        <v>0.29299999999999998</v>
      </c>
      <c r="D63">
        <v>0.45500000000000002</v>
      </c>
      <c r="E63">
        <v>0</v>
      </c>
      <c r="F63">
        <v>1</v>
      </c>
      <c r="G63" t="s">
        <v>67</v>
      </c>
      <c r="H63" s="1">
        <v>12089</v>
      </c>
      <c r="I63">
        <v>7.4999999999999997E-2</v>
      </c>
      <c r="J63">
        <v>0.26300000000000001</v>
      </c>
      <c r="K63">
        <v>0</v>
      </c>
      <c r="L63">
        <v>1</v>
      </c>
      <c r="M63" t="s">
        <v>66</v>
      </c>
      <c r="N63" s="1">
        <v>11270</v>
      </c>
      <c r="O63">
        <v>0.29899999999999999</v>
      </c>
      <c r="P63">
        <v>0.45800000000000002</v>
      </c>
      <c r="Q63">
        <v>0</v>
      </c>
      <c r="R63">
        <v>1</v>
      </c>
    </row>
    <row r="64" spans="1:18" x14ac:dyDescent="0.25">
      <c r="A64" t="s">
        <v>67</v>
      </c>
      <c r="B64" s="1">
        <v>23359</v>
      </c>
      <c r="C64">
        <v>7.0000000000000007E-2</v>
      </c>
      <c r="D64">
        <v>0.25600000000000001</v>
      </c>
      <c r="E64">
        <v>0</v>
      </c>
      <c r="F64">
        <v>1</v>
      </c>
      <c r="G64" t="s">
        <v>68</v>
      </c>
      <c r="H64" s="1">
        <v>12089</v>
      </c>
      <c r="I64">
        <v>0.20200000000000001</v>
      </c>
      <c r="J64">
        <v>0.40100000000000002</v>
      </c>
      <c r="K64">
        <v>0</v>
      </c>
      <c r="L64">
        <v>1</v>
      </c>
      <c r="M64" t="s">
        <v>67</v>
      </c>
      <c r="N64" s="1">
        <v>11270</v>
      </c>
      <c r="O64">
        <v>6.6000000000000003E-2</v>
      </c>
      <c r="P64">
        <v>0.248</v>
      </c>
      <c r="Q64">
        <v>0</v>
      </c>
      <c r="R64">
        <v>1</v>
      </c>
    </row>
    <row r="65" spans="1:18" x14ac:dyDescent="0.25">
      <c r="A65" t="s">
        <v>68</v>
      </c>
      <c r="B65" s="1">
        <v>23359</v>
      </c>
      <c r="C65">
        <v>0.20300000000000001</v>
      </c>
      <c r="D65">
        <v>0.40200000000000002</v>
      </c>
      <c r="E65">
        <v>0</v>
      </c>
      <c r="F65">
        <v>1</v>
      </c>
      <c r="G65" t="s">
        <v>69</v>
      </c>
      <c r="H65" s="1">
        <v>12089</v>
      </c>
      <c r="I65">
        <v>6.6000000000000003E-2</v>
      </c>
      <c r="J65">
        <v>0.248</v>
      </c>
      <c r="K65">
        <v>0</v>
      </c>
      <c r="L65">
        <v>1</v>
      </c>
      <c r="M65" t="s">
        <v>68</v>
      </c>
      <c r="N65" s="1">
        <v>11270</v>
      </c>
      <c r="O65">
        <v>0.20499999999999999</v>
      </c>
      <c r="P65">
        <v>0.40400000000000003</v>
      </c>
      <c r="Q65">
        <v>0</v>
      </c>
      <c r="R65">
        <v>1</v>
      </c>
    </row>
    <row r="66" spans="1:18" x14ac:dyDescent="0.25">
      <c r="A66" t="s">
        <v>69</v>
      </c>
      <c r="B66" s="1">
        <v>23359</v>
      </c>
      <c r="C66">
        <v>5.8000000000000003E-2</v>
      </c>
      <c r="D66">
        <v>0.23400000000000001</v>
      </c>
      <c r="E66">
        <v>0</v>
      </c>
      <c r="F66">
        <v>1</v>
      </c>
      <c r="G66" t="s">
        <v>70</v>
      </c>
      <c r="H66" s="1">
        <v>12089</v>
      </c>
      <c r="I66">
        <v>0.17399999999999999</v>
      </c>
      <c r="J66">
        <v>0.379</v>
      </c>
      <c r="K66">
        <v>0</v>
      </c>
      <c r="L66">
        <v>1</v>
      </c>
      <c r="M66" t="s">
        <v>69</v>
      </c>
      <c r="N66" s="1">
        <v>11270</v>
      </c>
      <c r="O66">
        <v>0.05</v>
      </c>
      <c r="P66">
        <v>0.218</v>
      </c>
      <c r="Q66">
        <v>0</v>
      </c>
      <c r="R66">
        <v>1</v>
      </c>
    </row>
    <row r="67" spans="1:18" x14ac:dyDescent="0.25">
      <c r="A67" t="s">
        <v>70</v>
      </c>
      <c r="B67" s="1">
        <v>23359</v>
      </c>
      <c r="C67">
        <v>0.17399999999999999</v>
      </c>
      <c r="D67">
        <v>0.379</v>
      </c>
      <c r="E67">
        <v>0</v>
      </c>
      <c r="F67">
        <v>1</v>
      </c>
      <c r="G67" t="s">
        <v>71</v>
      </c>
      <c r="H67" s="1">
        <v>12089</v>
      </c>
      <c r="I67">
        <v>0.378</v>
      </c>
      <c r="J67">
        <v>0.48499999999999999</v>
      </c>
      <c r="K67">
        <v>0</v>
      </c>
      <c r="L67">
        <v>1</v>
      </c>
      <c r="M67" t="s">
        <v>70</v>
      </c>
      <c r="N67" s="1">
        <v>11270</v>
      </c>
      <c r="O67">
        <v>0.17399999999999999</v>
      </c>
      <c r="P67">
        <v>0.379</v>
      </c>
      <c r="Q67">
        <v>0</v>
      </c>
      <c r="R67">
        <v>1</v>
      </c>
    </row>
    <row r="68" spans="1:18" x14ac:dyDescent="0.25">
      <c r="A68" t="s">
        <v>71</v>
      </c>
      <c r="B68" s="1">
        <v>23359</v>
      </c>
      <c r="C68">
        <v>0.36</v>
      </c>
      <c r="D68">
        <v>0.48</v>
      </c>
      <c r="E68">
        <v>0</v>
      </c>
      <c r="F68">
        <v>1</v>
      </c>
      <c r="G68" t="s">
        <v>72</v>
      </c>
      <c r="H68" s="1">
        <v>12089</v>
      </c>
      <c r="I68">
        <v>0.42499999999999999</v>
      </c>
      <c r="J68">
        <v>0.49399999999999999</v>
      </c>
      <c r="K68">
        <v>0</v>
      </c>
      <c r="L68">
        <v>1</v>
      </c>
      <c r="M68" t="s">
        <v>71</v>
      </c>
      <c r="N68" s="1">
        <v>11270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23359</v>
      </c>
      <c r="C69">
        <v>0.443</v>
      </c>
      <c r="D69">
        <v>0.497</v>
      </c>
      <c r="E69">
        <v>0</v>
      </c>
      <c r="F69">
        <v>1</v>
      </c>
      <c r="G69" t="s">
        <v>73</v>
      </c>
      <c r="H69" s="1">
        <v>12089</v>
      </c>
      <c r="I69">
        <v>2.4E-2</v>
      </c>
      <c r="J69">
        <v>0.153</v>
      </c>
      <c r="K69">
        <v>0</v>
      </c>
      <c r="L69">
        <v>1</v>
      </c>
      <c r="M69" t="s">
        <v>72</v>
      </c>
      <c r="N69" s="1">
        <v>11270</v>
      </c>
      <c r="O69">
        <v>0.46200000000000002</v>
      </c>
      <c r="P69">
        <v>0.499</v>
      </c>
      <c r="Q69">
        <v>0</v>
      </c>
      <c r="R69">
        <v>1</v>
      </c>
    </row>
    <row r="70" spans="1:18" x14ac:dyDescent="0.25">
      <c r="A70" t="s">
        <v>73</v>
      </c>
      <c r="B70" s="1">
        <v>23359</v>
      </c>
      <c r="C70">
        <v>2.3E-2</v>
      </c>
      <c r="D70">
        <v>0.151</v>
      </c>
      <c r="E70">
        <v>0</v>
      </c>
      <c r="F70">
        <v>1</v>
      </c>
      <c r="G70" t="s">
        <v>165</v>
      </c>
      <c r="H70" s="1">
        <v>12089</v>
      </c>
      <c r="I70">
        <v>0.109</v>
      </c>
      <c r="J70">
        <v>0.312</v>
      </c>
      <c r="K70">
        <v>0</v>
      </c>
      <c r="L70">
        <v>1</v>
      </c>
      <c r="M70" t="s">
        <v>73</v>
      </c>
      <c r="N70" s="1">
        <v>11270</v>
      </c>
      <c r="O70">
        <v>2.3E-2</v>
      </c>
      <c r="P70">
        <v>0.15</v>
      </c>
      <c r="Q70">
        <v>0</v>
      </c>
      <c r="R70">
        <v>1</v>
      </c>
    </row>
    <row r="71" spans="1:18" x14ac:dyDescent="0.25">
      <c r="A71" t="s">
        <v>165</v>
      </c>
      <c r="B71" s="1">
        <v>23359</v>
      </c>
      <c r="C71">
        <v>0.10299999999999999</v>
      </c>
      <c r="D71">
        <v>0.30399999999999999</v>
      </c>
      <c r="E71">
        <v>0</v>
      </c>
      <c r="F71">
        <v>1</v>
      </c>
      <c r="G71" t="s">
        <v>166</v>
      </c>
      <c r="H71" s="1">
        <v>12089</v>
      </c>
      <c r="I71">
        <v>0.45800000000000002</v>
      </c>
      <c r="J71">
        <v>0.498</v>
      </c>
      <c r="K71">
        <v>0</v>
      </c>
      <c r="L71">
        <v>1</v>
      </c>
      <c r="M71" t="s">
        <v>165</v>
      </c>
      <c r="N71" s="1">
        <v>11270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23359</v>
      </c>
      <c r="C72">
        <v>0.45600000000000002</v>
      </c>
      <c r="D72">
        <v>0.498</v>
      </c>
      <c r="E72">
        <v>0</v>
      </c>
      <c r="F72">
        <v>1</v>
      </c>
      <c r="G72" t="s">
        <v>167</v>
      </c>
      <c r="H72" s="1">
        <v>12089</v>
      </c>
      <c r="I72">
        <v>0.41599999999999998</v>
      </c>
      <c r="J72">
        <v>0.49299999999999999</v>
      </c>
      <c r="K72">
        <v>0</v>
      </c>
      <c r="L72">
        <v>1</v>
      </c>
      <c r="M72" t="s">
        <v>166</v>
      </c>
      <c r="N72" s="1">
        <v>11270</v>
      </c>
      <c r="O72">
        <v>0.45400000000000001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23359</v>
      </c>
      <c r="C73">
        <v>0.42199999999999999</v>
      </c>
      <c r="D73">
        <v>0.49399999999999999</v>
      </c>
      <c r="E73">
        <v>0</v>
      </c>
      <c r="F73">
        <v>1</v>
      </c>
      <c r="G73" t="s">
        <v>168</v>
      </c>
      <c r="H73" s="1">
        <v>12089</v>
      </c>
      <c r="I73">
        <v>8.9999999999999993E-3</v>
      </c>
      <c r="J73">
        <v>9.2999999999999999E-2</v>
      </c>
      <c r="K73">
        <v>0</v>
      </c>
      <c r="L73">
        <v>1</v>
      </c>
      <c r="M73" t="s">
        <v>167</v>
      </c>
      <c r="N73" s="1">
        <v>11270</v>
      </c>
      <c r="O73">
        <v>0.42899999999999999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23359</v>
      </c>
      <c r="C74">
        <v>8.9999999999999993E-3</v>
      </c>
      <c r="D74">
        <v>9.5000000000000001E-2</v>
      </c>
      <c r="E74">
        <v>0</v>
      </c>
      <c r="F74">
        <v>1</v>
      </c>
      <c r="G74" t="s">
        <v>169</v>
      </c>
      <c r="H74" s="1">
        <v>12089</v>
      </c>
      <c r="I74">
        <v>8.0000000000000002E-3</v>
      </c>
      <c r="J74">
        <v>8.7999999999999995E-2</v>
      </c>
      <c r="K74">
        <v>0</v>
      </c>
      <c r="L74">
        <v>1</v>
      </c>
      <c r="M74" t="s">
        <v>168</v>
      </c>
      <c r="N74" s="1">
        <v>11270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23359</v>
      </c>
      <c r="C75">
        <v>8.9999999999999993E-3</v>
      </c>
      <c r="D75">
        <v>9.2999999999999999E-2</v>
      </c>
      <c r="E75">
        <v>0</v>
      </c>
      <c r="F75">
        <v>1</v>
      </c>
      <c r="G75" t="s">
        <v>170</v>
      </c>
      <c r="H75" s="1">
        <v>12089</v>
      </c>
      <c r="I75">
        <v>1E-3</v>
      </c>
      <c r="J75">
        <v>3.5000000000000003E-2</v>
      </c>
      <c r="K75">
        <v>0</v>
      </c>
      <c r="L75">
        <v>1</v>
      </c>
      <c r="M75" t="s">
        <v>169</v>
      </c>
      <c r="N75" s="1">
        <v>11270</v>
      </c>
      <c r="O75">
        <v>0.01</v>
      </c>
      <c r="P75">
        <v>9.8000000000000004E-2</v>
      </c>
      <c r="Q75">
        <v>0</v>
      </c>
      <c r="R75">
        <v>1</v>
      </c>
    </row>
    <row r="76" spans="1:18" x14ac:dyDescent="0.25">
      <c r="A76" t="s">
        <v>170</v>
      </c>
      <c r="B76" s="1">
        <v>23359</v>
      </c>
      <c r="C76">
        <v>1E-3</v>
      </c>
      <c r="D76">
        <v>3.5000000000000003E-2</v>
      </c>
      <c r="E76">
        <v>0</v>
      </c>
      <c r="F76">
        <v>1</v>
      </c>
      <c r="G76" t="s">
        <v>79</v>
      </c>
      <c r="H76" s="1">
        <v>12089</v>
      </c>
      <c r="I76">
        <v>0.214</v>
      </c>
      <c r="J76">
        <v>0.41</v>
      </c>
      <c r="K76">
        <v>0</v>
      </c>
      <c r="L76">
        <v>1</v>
      </c>
      <c r="M76" t="s">
        <v>170</v>
      </c>
      <c r="N76" s="1">
        <v>11270</v>
      </c>
      <c r="O76">
        <v>1E-3</v>
      </c>
      <c r="P76">
        <v>3.4000000000000002E-2</v>
      </c>
      <c r="Q76">
        <v>0</v>
      </c>
      <c r="R76">
        <v>1</v>
      </c>
    </row>
    <row r="77" spans="1:18" x14ac:dyDescent="0.25">
      <c r="A77" t="s">
        <v>79</v>
      </c>
      <c r="B77" s="1">
        <v>23359</v>
      </c>
      <c r="C77">
        <v>0.20599999999999999</v>
      </c>
      <c r="D77">
        <v>0.40400000000000003</v>
      </c>
      <c r="E77">
        <v>0</v>
      </c>
      <c r="F77">
        <v>1</v>
      </c>
      <c r="G77" t="s">
        <v>80</v>
      </c>
      <c r="H77" s="1">
        <v>12089</v>
      </c>
      <c r="I77">
        <v>0.01</v>
      </c>
      <c r="J77">
        <v>9.9000000000000005E-2</v>
      </c>
      <c r="K77">
        <v>0</v>
      </c>
      <c r="L77">
        <v>1</v>
      </c>
      <c r="M77" t="s">
        <v>79</v>
      </c>
      <c r="N77" s="1">
        <v>11270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23359</v>
      </c>
      <c r="C78">
        <v>1.0999999999999999E-2</v>
      </c>
      <c r="D78">
        <v>0.105</v>
      </c>
      <c r="E78">
        <v>0</v>
      </c>
      <c r="F78">
        <v>1</v>
      </c>
      <c r="G78" t="s">
        <v>81</v>
      </c>
      <c r="H78" s="1">
        <v>12089</v>
      </c>
      <c r="I78">
        <v>1E-3</v>
      </c>
      <c r="J78">
        <v>2.7E-2</v>
      </c>
      <c r="K78">
        <v>0</v>
      </c>
      <c r="L78">
        <v>1</v>
      </c>
      <c r="M78" t="s">
        <v>80</v>
      </c>
      <c r="N78" s="1">
        <v>11270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23359</v>
      </c>
      <c r="C79">
        <v>1E-3</v>
      </c>
      <c r="D79">
        <v>2.4E-2</v>
      </c>
      <c r="E79">
        <v>0</v>
      </c>
      <c r="F79">
        <v>1</v>
      </c>
      <c r="G79" t="s">
        <v>82</v>
      </c>
      <c r="H79" s="1">
        <v>12089</v>
      </c>
      <c r="I79">
        <v>7.5999999999999998E-2</v>
      </c>
      <c r="J79">
        <v>0.26600000000000001</v>
      </c>
      <c r="K79">
        <v>0</v>
      </c>
      <c r="L79">
        <v>1</v>
      </c>
      <c r="M79" t="s">
        <v>81</v>
      </c>
      <c r="N79" s="1">
        <v>11270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23359</v>
      </c>
      <c r="C80">
        <v>7.5999999999999998E-2</v>
      </c>
      <c r="D80">
        <v>0.26500000000000001</v>
      </c>
      <c r="E80">
        <v>0</v>
      </c>
      <c r="F80">
        <v>1</v>
      </c>
      <c r="G80" t="s">
        <v>83</v>
      </c>
      <c r="H80" s="1">
        <v>12089</v>
      </c>
      <c r="I80">
        <v>0.27500000000000002</v>
      </c>
      <c r="J80">
        <v>0.44700000000000001</v>
      </c>
      <c r="K80">
        <v>0</v>
      </c>
      <c r="L80">
        <v>1</v>
      </c>
      <c r="M80" t="s">
        <v>82</v>
      </c>
      <c r="N80" s="1">
        <v>11270</v>
      </c>
      <c r="O80">
        <v>7.4999999999999997E-2</v>
      </c>
      <c r="P80">
        <v>0.26400000000000001</v>
      </c>
      <c r="Q80">
        <v>0</v>
      </c>
      <c r="R80">
        <v>1</v>
      </c>
    </row>
    <row r="81" spans="1:18" x14ac:dyDescent="0.25">
      <c r="A81" t="s">
        <v>83</v>
      </c>
      <c r="B81" s="1">
        <v>23359</v>
      </c>
      <c r="C81">
        <v>0.28799999999999998</v>
      </c>
      <c r="D81">
        <v>0.45300000000000001</v>
      </c>
      <c r="E81">
        <v>0</v>
      </c>
      <c r="F81">
        <v>1</v>
      </c>
      <c r="G81" t="s">
        <v>84</v>
      </c>
      <c r="H81" s="1">
        <v>12089</v>
      </c>
      <c r="I81">
        <v>8.0000000000000002E-3</v>
      </c>
      <c r="J81">
        <v>8.6999999999999994E-2</v>
      </c>
      <c r="K81">
        <v>0</v>
      </c>
      <c r="L81">
        <v>1</v>
      </c>
      <c r="M81" t="s">
        <v>83</v>
      </c>
      <c r="N81" s="1">
        <v>11270</v>
      </c>
      <c r="O81">
        <v>0.30099999999999999</v>
      </c>
      <c r="P81">
        <v>0.45900000000000002</v>
      </c>
      <c r="Q81">
        <v>0</v>
      </c>
      <c r="R81">
        <v>1</v>
      </c>
    </row>
    <row r="82" spans="1:18" x14ac:dyDescent="0.25">
      <c r="A82" t="s">
        <v>84</v>
      </c>
      <c r="B82" s="1">
        <v>23359</v>
      </c>
      <c r="C82">
        <v>8.0000000000000002E-3</v>
      </c>
      <c r="D82">
        <v>0.09</v>
      </c>
      <c r="E82">
        <v>0</v>
      </c>
      <c r="F82">
        <v>1</v>
      </c>
      <c r="G82" t="s">
        <v>85</v>
      </c>
      <c r="H82" s="1">
        <v>12089</v>
      </c>
      <c r="I82">
        <v>0.41599999999999998</v>
      </c>
      <c r="J82">
        <v>0.49299999999999999</v>
      </c>
      <c r="K82">
        <v>0</v>
      </c>
      <c r="L82">
        <v>1</v>
      </c>
      <c r="M82" t="s">
        <v>84</v>
      </c>
      <c r="N82" s="1">
        <v>11270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23359</v>
      </c>
      <c r="C83">
        <v>0.41099999999999998</v>
      </c>
      <c r="D83">
        <v>0.49199999999999999</v>
      </c>
      <c r="E83">
        <v>0</v>
      </c>
      <c r="F83">
        <v>1</v>
      </c>
      <c r="G83" t="s">
        <v>6</v>
      </c>
      <c r="H83" s="1" t="s">
        <v>7</v>
      </c>
      <c r="I83" t="s">
        <v>8</v>
      </c>
      <c r="J83" t="s">
        <v>162</v>
      </c>
      <c r="K83" t="s">
        <v>8</v>
      </c>
      <c r="L83" t="s">
        <v>9</v>
      </c>
      <c r="M83" t="s">
        <v>85</v>
      </c>
      <c r="N83" s="1">
        <v>11270</v>
      </c>
      <c r="O83">
        <v>0.40600000000000003</v>
      </c>
      <c r="P83">
        <v>0.49099999999999999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25F4-DAA0-4E75-8800-704CFF32D63F}">
  <sheetPr codeName="Sheet6"/>
  <dimension ref="A1:R85"/>
  <sheetViews>
    <sheetView workbookViewId="0">
      <selection activeCell="U20" sqref="U20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8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19900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10574</v>
      </c>
      <c r="I3">
        <v>1.073</v>
      </c>
      <c r="J3">
        <v>0.26400000000000001</v>
      </c>
      <c r="K3">
        <v>1</v>
      </c>
      <c r="L3">
        <v>3</v>
      </c>
      <c r="M3" t="s">
        <v>10</v>
      </c>
      <c r="N3" s="1">
        <v>9326</v>
      </c>
      <c r="O3">
        <v>1.278</v>
      </c>
      <c r="P3">
        <v>0.51</v>
      </c>
      <c r="Q3">
        <v>1</v>
      </c>
      <c r="R3">
        <v>4</v>
      </c>
    </row>
    <row r="4" spans="1:18" x14ac:dyDescent="0.25">
      <c r="A4" t="s">
        <v>11</v>
      </c>
      <c r="B4" s="1">
        <v>19900</v>
      </c>
      <c r="C4">
        <v>0.46899999999999997</v>
      </c>
      <c r="D4">
        <v>0.499</v>
      </c>
      <c r="E4">
        <v>0</v>
      </c>
      <c r="F4">
        <v>1</v>
      </c>
      <c r="G4" t="s">
        <v>11</v>
      </c>
      <c r="H4" s="1">
        <v>10574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9326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19900</v>
      </c>
      <c r="C5">
        <v>0.40500000000000003</v>
      </c>
      <c r="D5">
        <v>0.49099999999999999</v>
      </c>
      <c r="E5">
        <v>0</v>
      </c>
      <c r="F5">
        <v>1</v>
      </c>
      <c r="G5" t="s">
        <v>12</v>
      </c>
      <c r="H5" s="1">
        <v>10574</v>
      </c>
      <c r="I5">
        <v>2E-3</v>
      </c>
      <c r="J5">
        <v>4.2000000000000003E-2</v>
      </c>
      <c r="K5">
        <v>0</v>
      </c>
      <c r="L5">
        <v>1</v>
      </c>
      <c r="M5" t="s">
        <v>12</v>
      </c>
      <c r="N5" s="1">
        <v>9326</v>
      </c>
      <c r="O5">
        <v>0.86299999999999999</v>
      </c>
      <c r="P5">
        <v>0.34399999999999997</v>
      </c>
      <c r="Q5">
        <v>0</v>
      </c>
      <c r="R5">
        <v>1</v>
      </c>
    </row>
    <row r="6" spans="1:18" x14ac:dyDescent="0.25">
      <c r="A6" t="s">
        <v>36</v>
      </c>
      <c r="B6" s="1">
        <v>9326</v>
      </c>
      <c r="C6">
        <v>294.99700000000001</v>
      </c>
      <c r="D6">
        <v>549.11099999999999</v>
      </c>
      <c r="E6">
        <v>0</v>
      </c>
      <c r="F6" s="1">
        <v>4021</v>
      </c>
      <c r="H6" s="1"/>
      <c r="M6" t="s">
        <v>36</v>
      </c>
      <c r="N6" s="1">
        <v>9326</v>
      </c>
      <c r="O6">
        <v>294.99700000000001</v>
      </c>
      <c r="P6">
        <v>549.11099999999999</v>
      </c>
      <c r="Q6">
        <v>0</v>
      </c>
      <c r="R6" s="1">
        <v>4021</v>
      </c>
    </row>
    <row r="7" spans="1:18" x14ac:dyDescent="0.25">
      <c r="A7" t="s">
        <v>13</v>
      </c>
      <c r="B7" s="1">
        <v>19900</v>
      </c>
      <c r="C7">
        <v>2.4020000000000001</v>
      </c>
      <c r="D7">
        <v>0.98899999999999999</v>
      </c>
      <c r="E7">
        <v>0</v>
      </c>
      <c r="F7">
        <v>17</v>
      </c>
      <c r="G7" t="s">
        <v>13</v>
      </c>
      <c r="H7" s="1">
        <v>10574</v>
      </c>
      <c r="I7">
        <v>2.363</v>
      </c>
      <c r="J7">
        <v>0.95499999999999996</v>
      </c>
      <c r="K7">
        <v>0</v>
      </c>
      <c r="L7">
        <v>17</v>
      </c>
      <c r="M7" t="s">
        <v>13</v>
      </c>
      <c r="N7" s="1">
        <v>9326</v>
      </c>
      <c r="O7">
        <v>2.4470000000000001</v>
      </c>
      <c r="P7">
        <v>1.0229999999999999</v>
      </c>
      <c r="Q7">
        <v>0</v>
      </c>
      <c r="R7">
        <v>15</v>
      </c>
    </row>
    <row r="8" spans="1:18" x14ac:dyDescent="0.25">
      <c r="A8" t="s">
        <v>14</v>
      </c>
      <c r="B8" s="1">
        <v>19900</v>
      </c>
      <c r="C8">
        <v>0.38400000000000001</v>
      </c>
      <c r="D8">
        <v>0.52500000000000002</v>
      </c>
      <c r="E8">
        <v>0</v>
      </c>
      <c r="F8">
        <v>5</v>
      </c>
      <c r="G8" t="s">
        <v>14</v>
      </c>
      <c r="H8" s="1">
        <v>10574</v>
      </c>
      <c r="I8">
        <v>0.38</v>
      </c>
      <c r="J8">
        <v>0.51900000000000002</v>
      </c>
      <c r="K8">
        <v>0</v>
      </c>
      <c r="L8">
        <v>5</v>
      </c>
      <c r="M8" t="s">
        <v>14</v>
      </c>
      <c r="N8" s="1">
        <v>9326</v>
      </c>
      <c r="O8">
        <v>0.38800000000000001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19900</v>
      </c>
      <c r="C9">
        <v>3.8159999999999998</v>
      </c>
      <c r="D9">
        <v>1.2769999999999999</v>
      </c>
      <c r="E9">
        <v>0</v>
      </c>
      <c r="F9">
        <v>25</v>
      </c>
      <c r="G9" t="s">
        <v>15</v>
      </c>
      <c r="H9" s="1">
        <v>10574</v>
      </c>
      <c r="I9">
        <v>3.774</v>
      </c>
      <c r="J9">
        <v>1.238</v>
      </c>
      <c r="K9">
        <v>0</v>
      </c>
      <c r="L9">
        <v>18</v>
      </c>
      <c r="M9" t="s">
        <v>15</v>
      </c>
      <c r="N9" s="1">
        <v>9326</v>
      </c>
      <c r="O9">
        <v>3.8650000000000002</v>
      </c>
      <c r="P9">
        <v>1.3180000000000001</v>
      </c>
      <c r="Q9">
        <v>0</v>
      </c>
      <c r="R9">
        <v>25</v>
      </c>
    </row>
    <row r="10" spans="1:18" x14ac:dyDescent="0.25">
      <c r="A10" t="s">
        <v>16</v>
      </c>
      <c r="B10" s="1">
        <v>19900</v>
      </c>
      <c r="C10">
        <v>41.146999999999998</v>
      </c>
      <c r="D10">
        <v>55.683</v>
      </c>
      <c r="E10">
        <v>0</v>
      </c>
      <c r="F10">
        <v>739</v>
      </c>
      <c r="G10" t="s">
        <v>16</v>
      </c>
      <c r="H10" s="1">
        <v>10574</v>
      </c>
      <c r="I10">
        <v>51.430999999999997</v>
      </c>
      <c r="J10">
        <v>59.323999999999998</v>
      </c>
      <c r="K10">
        <v>0</v>
      </c>
      <c r="L10">
        <v>739</v>
      </c>
      <c r="M10" t="s">
        <v>16</v>
      </c>
      <c r="N10" s="1">
        <v>9326</v>
      </c>
      <c r="O10">
        <v>29.486999999999998</v>
      </c>
      <c r="P10">
        <v>48.686</v>
      </c>
      <c r="Q10">
        <v>0</v>
      </c>
      <c r="R10">
        <v>593</v>
      </c>
    </row>
    <row r="11" spans="1:18" x14ac:dyDescent="0.25">
      <c r="A11" t="s">
        <v>163</v>
      </c>
      <c r="B11" s="1">
        <v>19900</v>
      </c>
      <c r="C11" s="2">
        <v>1882.3</v>
      </c>
      <c r="D11">
        <v>915.13599999999997</v>
      </c>
      <c r="E11">
        <v>220</v>
      </c>
      <c r="F11" s="1">
        <v>17408</v>
      </c>
      <c r="G11" t="s">
        <v>163</v>
      </c>
      <c r="H11" s="1">
        <v>10574</v>
      </c>
      <c r="I11" s="2">
        <v>1857.104</v>
      </c>
      <c r="J11">
        <v>884.45100000000002</v>
      </c>
      <c r="K11">
        <v>420</v>
      </c>
      <c r="L11" s="1">
        <v>17408</v>
      </c>
      <c r="M11" t="s">
        <v>163</v>
      </c>
      <c r="N11" s="1">
        <v>9326</v>
      </c>
      <c r="O11" s="2">
        <v>1910.8679999999999</v>
      </c>
      <c r="P11">
        <v>947.96600000000001</v>
      </c>
      <c r="Q11">
        <v>220</v>
      </c>
      <c r="R11" s="1">
        <v>16703</v>
      </c>
    </row>
    <row r="12" spans="1:18" x14ac:dyDescent="0.25">
      <c r="A12" t="s">
        <v>17</v>
      </c>
      <c r="B12" s="1">
        <v>19900</v>
      </c>
      <c r="C12">
        <v>331.86099999999999</v>
      </c>
      <c r="D12">
        <v>232.523</v>
      </c>
      <c r="E12">
        <v>0</v>
      </c>
      <c r="F12" s="1">
        <v>4444</v>
      </c>
      <c r="G12" t="s">
        <v>17</v>
      </c>
      <c r="H12" s="1">
        <v>10574</v>
      </c>
      <c r="I12" s="2">
        <v>332.24200000000002</v>
      </c>
      <c r="J12">
        <v>232.04400000000001</v>
      </c>
      <c r="K12">
        <v>0</v>
      </c>
      <c r="L12" s="1">
        <v>4444</v>
      </c>
      <c r="M12" t="s">
        <v>17</v>
      </c>
      <c r="N12" s="1">
        <v>9326</v>
      </c>
      <c r="O12">
        <v>331.43</v>
      </c>
      <c r="P12">
        <v>233.078</v>
      </c>
      <c r="Q12">
        <v>0</v>
      </c>
      <c r="R12" s="1">
        <v>3200</v>
      </c>
    </row>
    <row r="13" spans="1:18" x14ac:dyDescent="0.25">
      <c r="A13" t="s">
        <v>19</v>
      </c>
      <c r="B13" s="1">
        <v>19900</v>
      </c>
      <c r="C13" s="2">
        <v>1291919</v>
      </c>
      <c r="D13" s="2">
        <v>1055822</v>
      </c>
      <c r="E13" s="2">
        <v>168375.1</v>
      </c>
      <c r="F13" s="2">
        <v>23293838</v>
      </c>
      <c r="G13" t="s">
        <v>19</v>
      </c>
      <c r="H13" s="1">
        <v>10574</v>
      </c>
      <c r="I13" s="2">
        <v>1215747</v>
      </c>
      <c r="J13" s="2">
        <v>1007921</v>
      </c>
      <c r="K13" s="2">
        <v>168375.1</v>
      </c>
      <c r="L13" s="1">
        <v>23293838</v>
      </c>
      <c r="M13" t="s">
        <v>19</v>
      </c>
      <c r="N13" s="1">
        <v>9326</v>
      </c>
      <c r="O13" s="2">
        <v>1378284</v>
      </c>
      <c r="P13" s="2">
        <v>1101329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19900</v>
      </c>
      <c r="C14" s="2">
        <v>1279680</v>
      </c>
      <c r="D14" s="2">
        <v>981352.2</v>
      </c>
      <c r="E14" s="2">
        <v>180401.9</v>
      </c>
      <c r="F14" s="2">
        <v>22166108</v>
      </c>
      <c r="G14" t="s">
        <v>20</v>
      </c>
      <c r="H14" s="1">
        <v>10574</v>
      </c>
      <c r="I14" s="2">
        <v>1190401</v>
      </c>
      <c r="J14" s="2">
        <v>928004.9</v>
      </c>
      <c r="K14" s="2">
        <v>180401.9</v>
      </c>
      <c r="L14" s="2">
        <v>21058570</v>
      </c>
      <c r="M14" t="s">
        <v>20</v>
      </c>
      <c r="N14" s="1">
        <v>9326</v>
      </c>
      <c r="O14" s="2">
        <v>1380906</v>
      </c>
      <c r="P14" s="2">
        <v>1029252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19900</v>
      </c>
      <c r="C15" s="2">
        <v>9803.9459999999999</v>
      </c>
      <c r="D15" s="2">
        <v>125178.5</v>
      </c>
      <c r="E15" s="2">
        <v>-2010000</v>
      </c>
      <c r="F15" s="2">
        <v>6900000</v>
      </c>
      <c r="G15" t="s">
        <v>190</v>
      </c>
      <c r="H15" s="1">
        <v>10574</v>
      </c>
      <c r="I15" s="2">
        <v>20843.830000000002</v>
      </c>
      <c r="J15" s="2">
        <v>96902.59</v>
      </c>
      <c r="K15" s="2">
        <v>-1850000</v>
      </c>
      <c r="L15" s="2">
        <v>2950000</v>
      </c>
      <c r="M15" t="s">
        <v>190</v>
      </c>
      <c r="N15" s="1">
        <v>9326</v>
      </c>
      <c r="O15" s="2">
        <v>-2713.2869999999998</v>
      </c>
      <c r="P15" s="2">
        <v>149988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19900</v>
      </c>
      <c r="C16">
        <v>2.7E-2</v>
      </c>
      <c r="D16">
        <v>0.16400000000000001</v>
      </c>
      <c r="E16">
        <v>0</v>
      </c>
      <c r="F16">
        <v>1</v>
      </c>
      <c r="G16" t="s">
        <v>21</v>
      </c>
      <c r="H16" s="1">
        <v>10574</v>
      </c>
      <c r="I16" s="2">
        <v>2.5000000000000001E-2</v>
      </c>
      <c r="J16" s="2">
        <v>0.157</v>
      </c>
      <c r="K16" s="1">
        <v>0</v>
      </c>
      <c r="L16" s="1">
        <v>1</v>
      </c>
      <c r="M16" t="s">
        <v>21</v>
      </c>
      <c r="N16" s="1">
        <v>9326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19900</v>
      </c>
      <c r="C17">
        <v>4.4999999999999998E-2</v>
      </c>
      <c r="D17">
        <v>0.20799999999999999</v>
      </c>
      <c r="E17">
        <v>0</v>
      </c>
      <c r="F17">
        <v>1</v>
      </c>
      <c r="G17" t="s">
        <v>22</v>
      </c>
      <c r="H17" s="1">
        <v>10574</v>
      </c>
      <c r="I17">
        <v>4.2999999999999997E-2</v>
      </c>
      <c r="J17">
        <v>0.20300000000000001</v>
      </c>
      <c r="K17">
        <v>0</v>
      </c>
      <c r="L17">
        <v>1</v>
      </c>
      <c r="M17" t="s">
        <v>22</v>
      </c>
      <c r="N17" s="1">
        <v>9326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19900</v>
      </c>
      <c r="C18">
        <v>8.9999999999999993E-3</v>
      </c>
      <c r="D18">
        <v>9.4E-2</v>
      </c>
      <c r="E18">
        <v>0</v>
      </c>
      <c r="F18">
        <v>1</v>
      </c>
      <c r="G18" t="s">
        <v>23</v>
      </c>
      <c r="H18" s="1">
        <v>10574</v>
      </c>
      <c r="I18">
        <v>8.0000000000000002E-3</v>
      </c>
      <c r="J18">
        <v>0.09</v>
      </c>
      <c r="K18">
        <v>0</v>
      </c>
      <c r="L18">
        <v>1</v>
      </c>
      <c r="M18" t="s">
        <v>23</v>
      </c>
      <c r="N18" s="1">
        <v>9326</v>
      </c>
      <c r="O18">
        <v>0.01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19900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10574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9326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19900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10574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9326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19900</v>
      </c>
      <c r="C21">
        <v>1E-4</v>
      </c>
      <c r="D21">
        <v>0.01</v>
      </c>
      <c r="E21">
        <v>0</v>
      </c>
      <c r="F21">
        <v>1</v>
      </c>
      <c r="G21" t="s">
        <v>26</v>
      </c>
      <c r="H21" s="1">
        <v>10574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9326</v>
      </c>
      <c r="O21">
        <v>2.0000000000000001E-4</v>
      </c>
      <c r="P21">
        <v>1.4999999999999999E-2</v>
      </c>
      <c r="Q21">
        <v>0</v>
      </c>
      <c r="R21">
        <v>1</v>
      </c>
    </row>
    <row r="22" spans="1:18" x14ac:dyDescent="0.25">
      <c r="A22" t="s">
        <v>27</v>
      </c>
      <c r="B22" s="1">
        <v>19900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10574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9326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19900</v>
      </c>
      <c r="C23">
        <v>0.92100000000000004</v>
      </c>
      <c r="D23">
        <v>0.26900000000000002</v>
      </c>
      <c r="E23">
        <v>0</v>
      </c>
      <c r="F23">
        <v>1</v>
      </c>
      <c r="G23" t="s">
        <v>28</v>
      </c>
      <c r="H23" s="1">
        <v>10574</v>
      </c>
      <c r="I23">
        <v>0.92200000000000004</v>
      </c>
      <c r="J23">
        <v>0.26800000000000002</v>
      </c>
      <c r="K23">
        <v>0</v>
      </c>
      <c r="L23">
        <v>1</v>
      </c>
      <c r="M23" t="s">
        <v>28</v>
      </c>
      <c r="N23" s="1">
        <v>9326</v>
      </c>
      <c r="O23">
        <v>0.92</v>
      </c>
      <c r="P23">
        <v>0.27100000000000002</v>
      </c>
      <c r="Q23">
        <v>0</v>
      </c>
      <c r="R23">
        <v>1</v>
      </c>
    </row>
    <row r="24" spans="1:18" x14ac:dyDescent="0.25">
      <c r="A24" t="s">
        <v>29</v>
      </c>
      <c r="B24" s="1">
        <v>19900</v>
      </c>
      <c r="C24">
        <v>1.7999999999999999E-2</v>
      </c>
      <c r="D24">
        <v>0.13500000000000001</v>
      </c>
      <c r="E24">
        <v>0</v>
      </c>
      <c r="F24">
        <v>1</v>
      </c>
      <c r="G24" t="s">
        <v>29</v>
      </c>
      <c r="H24" s="1">
        <v>10574</v>
      </c>
      <c r="I24">
        <v>1.9E-2</v>
      </c>
      <c r="J24">
        <v>0.13500000000000001</v>
      </c>
      <c r="K24">
        <v>0</v>
      </c>
      <c r="L24">
        <v>1</v>
      </c>
      <c r="M24" t="s">
        <v>29</v>
      </c>
      <c r="N24" s="1">
        <v>9326</v>
      </c>
      <c r="O24">
        <v>1.7999999999999999E-2</v>
      </c>
      <c r="P24">
        <v>0.13400000000000001</v>
      </c>
      <c r="Q24">
        <v>0</v>
      </c>
      <c r="R24">
        <v>1</v>
      </c>
    </row>
    <row r="25" spans="1:18" x14ac:dyDescent="0.25">
      <c r="A25" t="s">
        <v>30</v>
      </c>
      <c r="B25" s="1">
        <v>19900</v>
      </c>
      <c r="C25">
        <v>4.1000000000000002E-2</v>
      </c>
      <c r="D25">
        <v>0.19900000000000001</v>
      </c>
      <c r="E25">
        <v>0</v>
      </c>
      <c r="F25">
        <v>1</v>
      </c>
      <c r="G25" t="s">
        <v>30</v>
      </c>
      <c r="H25" s="1">
        <v>10574</v>
      </c>
      <c r="I25">
        <v>3.6999999999999998E-2</v>
      </c>
      <c r="J25">
        <v>0.189</v>
      </c>
      <c r="K25">
        <v>0</v>
      </c>
      <c r="L25">
        <v>1</v>
      </c>
      <c r="M25" t="s">
        <v>30</v>
      </c>
      <c r="N25" s="1">
        <v>9326</v>
      </c>
      <c r="O25">
        <v>4.5999999999999999E-2</v>
      </c>
      <c r="P25">
        <v>0.21</v>
      </c>
      <c r="Q25">
        <v>0</v>
      </c>
      <c r="R25">
        <v>1</v>
      </c>
    </row>
    <row r="26" spans="1:18" x14ac:dyDescent="0.25">
      <c r="A26" t="s">
        <v>31</v>
      </c>
      <c r="B26" s="1">
        <v>19900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10574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9326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19900</v>
      </c>
      <c r="C27">
        <v>1</v>
      </c>
      <c r="D27">
        <v>0.01</v>
      </c>
      <c r="E27">
        <v>0</v>
      </c>
      <c r="F27">
        <v>1</v>
      </c>
      <c r="G27" t="s">
        <v>32</v>
      </c>
      <c r="H27" s="1">
        <v>10574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9326</v>
      </c>
      <c r="O27">
        <v>1</v>
      </c>
      <c r="P27">
        <v>1.4999999999999999E-2</v>
      </c>
      <c r="Q27">
        <v>0</v>
      </c>
      <c r="R27">
        <v>1</v>
      </c>
    </row>
    <row r="28" spans="1:18" x14ac:dyDescent="0.25">
      <c r="A28" t="s">
        <v>33</v>
      </c>
      <c r="B28" s="1">
        <v>19900</v>
      </c>
      <c r="C28">
        <v>39.877000000000002</v>
      </c>
      <c r="D28">
        <v>22.972999999999999</v>
      </c>
      <c r="E28">
        <v>0</v>
      </c>
      <c r="F28">
        <v>123</v>
      </c>
      <c r="G28" t="s">
        <v>33</v>
      </c>
      <c r="H28" s="1">
        <v>10574</v>
      </c>
      <c r="I28">
        <v>38.308</v>
      </c>
      <c r="J28">
        <v>22.648</v>
      </c>
      <c r="K28">
        <v>0</v>
      </c>
      <c r="L28">
        <v>112</v>
      </c>
      <c r="M28" t="s">
        <v>33</v>
      </c>
      <c r="N28" s="1">
        <v>9326</v>
      </c>
      <c r="O28">
        <v>41.656999999999996</v>
      </c>
      <c r="P28">
        <v>23.209</v>
      </c>
      <c r="Q28">
        <v>0</v>
      </c>
      <c r="R28">
        <v>123</v>
      </c>
    </row>
    <row r="29" spans="1:18" x14ac:dyDescent="0.25">
      <c r="A29" t="s">
        <v>34</v>
      </c>
      <c r="B29" s="1">
        <v>19900</v>
      </c>
      <c r="C29">
        <v>2.1179999999999999</v>
      </c>
      <c r="D29">
        <v>1.996</v>
      </c>
      <c r="E29">
        <v>0</v>
      </c>
      <c r="F29">
        <v>15.129</v>
      </c>
      <c r="G29" t="s">
        <v>34</v>
      </c>
      <c r="H29" s="1">
        <v>10574</v>
      </c>
      <c r="I29">
        <v>1.98</v>
      </c>
      <c r="J29">
        <v>1.8939999999999999</v>
      </c>
      <c r="K29">
        <v>0</v>
      </c>
      <c r="L29">
        <v>12.544</v>
      </c>
      <c r="M29" t="s">
        <v>34</v>
      </c>
      <c r="N29" s="1">
        <v>9326</v>
      </c>
      <c r="O29">
        <v>2.274</v>
      </c>
      <c r="P29">
        <v>2.0960000000000001</v>
      </c>
      <c r="Q29">
        <v>0</v>
      </c>
      <c r="R29">
        <v>15.129</v>
      </c>
    </row>
    <row r="30" spans="1:18" x14ac:dyDescent="0.25">
      <c r="A30" t="s">
        <v>35</v>
      </c>
      <c r="B30" s="1">
        <v>19900</v>
      </c>
      <c r="C30">
        <v>5.1760000000000002</v>
      </c>
      <c r="D30">
        <v>12.86</v>
      </c>
      <c r="E30">
        <v>0</v>
      </c>
      <c r="F30">
        <v>94</v>
      </c>
      <c r="G30" t="s">
        <v>35</v>
      </c>
      <c r="H30" s="1">
        <v>10574</v>
      </c>
      <c r="I30">
        <v>4.8879999999999999</v>
      </c>
      <c r="J30">
        <v>12.484</v>
      </c>
      <c r="K30">
        <v>0</v>
      </c>
      <c r="L30">
        <v>88</v>
      </c>
      <c r="M30" t="s">
        <v>35</v>
      </c>
      <c r="N30" s="1">
        <v>9326</v>
      </c>
      <c r="O30">
        <v>5.5019999999999998</v>
      </c>
      <c r="P30">
        <v>13.266</v>
      </c>
      <c r="Q30">
        <v>0</v>
      </c>
      <c r="R30">
        <v>94</v>
      </c>
    </row>
    <row r="31" spans="1:18" x14ac:dyDescent="0.25">
      <c r="A31" t="s">
        <v>18</v>
      </c>
      <c r="B31" s="1">
        <v>19900</v>
      </c>
      <c r="C31" s="2">
        <v>2104.5479999999998</v>
      </c>
      <c r="D31" s="2">
        <v>1117.1079999999999</v>
      </c>
      <c r="E31">
        <v>220</v>
      </c>
      <c r="F31" s="1">
        <v>23350</v>
      </c>
      <c r="G31" t="s">
        <v>18</v>
      </c>
      <c r="H31" s="1">
        <v>10574</v>
      </c>
      <c r="I31" s="2">
        <v>2075.13</v>
      </c>
      <c r="J31" s="2">
        <v>1083.8510000000001</v>
      </c>
      <c r="K31">
        <v>496</v>
      </c>
      <c r="L31" s="1">
        <v>23350</v>
      </c>
      <c r="M31" t="s">
        <v>18</v>
      </c>
      <c r="N31" s="1">
        <v>9326</v>
      </c>
      <c r="O31" s="2">
        <v>2137.9029999999998</v>
      </c>
      <c r="P31" s="2">
        <v>1152.807</v>
      </c>
      <c r="Q31">
        <v>220</v>
      </c>
      <c r="R31" s="1">
        <v>18919</v>
      </c>
    </row>
    <row r="32" spans="1:18" x14ac:dyDescent="0.25">
      <c r="A32" t="s">
        <v>37</v>
      </c>
      <c r="B32" s="1">
        <v>19900</v>
      </c>
      <c r="C32">
        <v>0.88300000000000001</v>
      </c>
      <c r="D32">
        <v>3.5219999999999998</v>
      </c>
      <c r="E32">
        <v>2.1000000000000001E-2</v>
      </c>
      <c r="F32">
        <v>128.91800000000001</v>
      </c>
      <c r="G32" t="s">
        <v>37</v>
      </c>
      <c r="H32" s="1">
        <v>10574</v>
      </c>
      <c r="I32" s="2">
        <v>0.86</v>
      </c>
      <c r="J32" s="2">
        <v>3.4279999999999999</v>
      </c>
      <c r="K32">
        <v>2.9000000000000001E-2</v>
      </c>
      <c r="L32" s="1">
        <v>128.91800000000001</v>
      </c>
      <c r="M32" t="s">
        <v>37</v>
      </c>
      <c r="N32" s="1">
        <v>9326</v>
      </c>
      <c r="O32">
        <v>0.90900000000000003</v>
      </c>
      <c r="P32">
        <v>3.625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19900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10574</v>
      </c>
      <c r="I33">
        <v>2.6120000000000001</v>
      </c>
      <c r="J33">
        <v>2.669</v>
      </c>
      <c r="K33">
        <v>0</v>
      </c>
      <c r="L33">
        <v>13.552</v>
      </c>
      <c r="M33" t="s">
        <v>164</v>
      </c>
      <c r="N33" s="1">
        <v>9326</v>
      </c>
      <c r="O33">
        <v>2.4329999999999998</v>
      </c>
      <c r="P33">
        <v>2.54</v>
      </c>
      <c r="Q33">
        <v>0</v>
      </c>
      <c r="R33">
        <v>13.477</v>
      </c>
    </row>
    <row r="34" spans="1:18" x14ac:dyDescent="0.25">
      <c r="A34" t="s">
        <v>39</v>
      </c>
      <c r="B34" s="1">
        <v>19900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10574</v>
      </c>
      <c r="I34">
        <v>0.52800000000000002</v>
      </c>
      <c r="J34">
        <v>0.32400000000000001</v>
      </c>
      <c r="K34">
        <v>0</v>
      </c>
      <c r="L34">
        <v>3.302</v>
      </c>
      <c r="M34" t="s">
        <v>39</v>
      </c>
      <c r="N34" s="1">
        <v>9326</v>
      </c>
      <c r="O34">
        <v>0.52600000000000002</v>
      </c>
      <c r="P34">
        <v>0.33600000000000002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19900</v>
      </c>
      <c r="C35">
        <v>5.1509999999999998</v>
      </c>
      <c r="D35">
        <v>4.1849999999999996</v>
      </c>
      <c r="E35">
        <v>0.01</v>
      </c>
      <c r="F35">
        <v>20.997</v>
      </c>
      <c r="G35" t="s">
        <v>40</v>
      </c>
      <c r="H35" s="1">
        <v>10574</v>
      </c>
      <c r="I35">
        <v>5.0519999999999996</v>
      </c>
      <c r="J35">
        <v>4.1059999999999999</v>
      </c>
      <c r="K35">
        <v>2.1999999999999999E-2</v>
      </c>
      <c r="L35">
        <v>20.997</v>
      </c>
      <c r="M35" t="s">
        <v>40</v>
      </c>
      <c r="N35" s="1">
        <v>9326</v>
      </c>
      <c r="O35">
        <v>5.2619999999999996</v>
      </c>
      <c r="P35">
        <v>4.2699999999999996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19900</v>
      </c>
      <c r="C36">
        <v>10.901999999999999</v>
      </c>
      <c r="D36">
        <v>5.5940000000000003</v>
      </c>
      <c r="E36">
        <v>0.32300000000000001</v>
      </c>
      <c r="F36">
        <v>30.986000000000001</v>
      </c>
      <c r="G36" t="s">
        <v>41</v>
      </c>
      <c r="H36" s="1">
        <v>10574</v>
      </c>
      <c r="I36">
        <v>10.893000000000001</v>
      </c>
      <c r="J36">
        <v>5.5940000000000003</v>
      </c>
      <c r="K36">
        <v>0.32300000000000001</v>
      </c>
      <c r="L36">
        <v>30.003</v>
      </c>
      <c r="M36" t="s">
        <v>41</v>
      </c>
      <c r="N36" s="1">
        <v>9326</v>
      </c>
      <c r="O36">
        <v>10.912000000000001</v>
      </c>
      <c r="P36">
        <v>5.5960000000000001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19900</v>
      </c>
      <c r="C37">
        <v>1.042</v>
      </c>
      <c r="D37">
        <v>0.81</v>
      </c>
      <c r="E37">
        <v>1.6E-2</v>
      </c>
      <c r="F37">
        <v>7.8339999999999996</v>
      </c>
      <c r="G37" t="s">
        <v>173</v>
      </c>
      <c r="H37" s="1">
        <v>10574</v>
      </c>
      <c r="I37">
        <v>1.0229999999999999</v>
      </c>
      <c r="J37">
        <v>0.77700000000000002</v>
      </c>
      <c r="K37">
        <v>2.5999999999999999E-2</v>
      </c>
      <c r="L37">
        <v>7.8339999999999996</v>
      </c>
      <c r="M37" t="s">
        <v>173</v>
      </c>
      <c r="N37" s="1">
        <v>9326</v>
      </c>
      <c r="O37">
        <v>1.0629999999999999</v>
      </c>
      <c r="P37">
        <v>0.84599999999999997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19900</v>
      </c>
      <c r="C38">
        <v>2.4809999999999999</v>
      </c>
      <c r="D38">
        <v>1.823</v>
      </c>
      <c r="E38">
        <v>3.6999999999999998E-2</v>
      </c>
      <c r="F38">
        <v>17.684000000000001</v>
      </c>
      <c r="G38" t="s">
        <v>174</v>
      </c>
      <c r="H38" s="1">
        <v>10574</v>
      </c>
      <c r="I38">
        <v>2.4580000000000002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9326</v>
      </c>
      <c r="O38">
        <v>2.5059999999999998</v>
      </c>
      <c r="P38">
        <v>1.85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19900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10574</v>
      </c>
      <c r="I39">
        <v>2.528</v>
      </c>
      <c r="J39">
        <v>1.7050000000000001</v>
      </c>
      <c r="K39">
        <v>4.8000000000000001E-2</v>
      </c>
      <c r="L39">
        <v>17.684000000000001</v>
      </c>
      <c r="M39" t="s">
        <v>175</v>
      </c>
      <c r="N39" s="1">
        <v>9326</v>
      </c>
      <c r="O39">
        <v>2.6139999999999999</v>
      </c>
      <c r="P39">
        <v>1.77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19900</v>
      </c>
      <c r="C40">
        <v>0.216</v>
      </c>
      <c r="D40">
        <v>0.159</v>
      </c>
      <c r="E40">
        <v>0</v>
      </c>
      <c r="F40">
        <v>0.91800000000000004</v>
      </c>
      <c r="G40" t="s">
        <v>42</v>
      </c>
      <c r="H40" s="1">
        <v>10574</v>
      </c>
      <c r="I40">
        <v>0.215</v>
      </c>
      <c r="J40">
        <v>0.154</v>
      </c>
      <c r="K40">
        <v>0</v>
      </c>
      <c r="L40">
        <v>0.85599999999999998</v>
      </c>
      <c r="M40" t="s">
        <v>42</v>
      </c>
      <c r="N40" s="1">
        <v>9326</v>
      </c>
      <c r="O40">
        <v>0.216</v>
      </c>
      <c r="P40">
        <v>0.16400000000000001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19900</v>
      </c>
      <c r="C41">
        <v>1.9E-2</v>
      </c>
      <c r="D41">
        <v>3.3000000000000002E-2</v>
      </c>
      <c r="E41">
        <v>0</v>
      </c>
      <c r="F41">
        <v>0.36299999999999999</v>
      </c>
      <c r="G41" t="s">
        <v>43</v>
      </c>
      <c r="H41" s="1">
        <v>10574</v>
      </c>
      <c r="I41">
        <v>1.7999999999999999E-2</v>
      </c>
      <c r="J41">
        <v>3.2000000000000001E-2</v>
      </c>
      <c r="K41">
        <v>0</v>
      </c>
      <c r="L41">
        <v>0.36299999999999999</v>
      </c>
      <c r="M41" t="s">
        <v>43</v>
      </c>
      <c r="N41" s="1">
        <v>9326</v>
      </c>
      <c r="O41">
        <v>1.9E-2</v>
      </c>
      <c r="P41">
        <v>3.5000000000000003E-2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19900</v>
      </c>
      <c r="C42">
        <v>0.42099999999999999</v>
      </c>
      <c r="D42">
        <v>0.19500000000000001</v>
      </c>
      <c r="E42">
        <v>0</v>
      </c>
      <c r="F42">
        <v>0.96899999999999997</v>
      </c>
      <c r="G42" t="s">
        <v>44</v>
      </c>
      <c r="H42" s="1">
        <v>10574</v>
      </c>
      <c r="I42">
        <v>0.42699999999999999</v>
      </c>
      <c r="J42">
        <v>0.19</v>
      </c>
      <c r="K42">
        <v>1E-3</v>
      </c>
      <c r="L42">
        <v>0.96899999999999997</v>
      </c>
      <c r="M42" t="s">
        <v>44</v>
      </c>
      <c r="N42" s="1">
        <v>9326</v>
      </c>
      <c r="O42">
        <v>0.41399999999999998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19900</v>
      </c>
      <c r="C43">
        <v>8.1000000000000003E-2</v>
      </c>
      <c r="D43">
        <v>0.105</v>
      </c>
      <c r="E43">
        <v>0</v>
      </c>
      <c r="F43">
        <v>0.71</v>
      </c>
      <c r="G43" t="s">
        <v>45</v>
      </c>
      <c r="H43" s="1">
        <v>10574</v>
      </c>
      <c r="I43">
        <v>0.08</v>
      </c>
      <c r="J43">
        <v>9.4E-2</v>
      </c>
      <c r="K43">
        <v>0</v>
      </c>
      <c r="L43">
        <v>0.60799999999999998</v>
      </c>
      <c r="M43" t="s">
        <v>45</v>
      </c>
      <c r="N43" s="1">
        <v>9326</v>
      </c>
      <c r="O43">
        <v>8.3000000000000004E-2</v>
      </c>
      <c r="P43">
        <v>0.115</v>
      </c>
      <c r="Q43">
        <v>0</v>
      </c>
      <c r="R43">
        <v>0.71</v>
      </c>
    </row>
    <row r="44" spans="1:18" x14ac:dyDescent="0.25">
      <c r="A44" t="s">
        <v>46</v>
      </c>
      <c r="B44" s="1">
        <v>19900</v>
      </c>
      <c r="C44">
        <v>0.93500000000000005</v>
      </c>
      <c r="D44">
        <v>8.1000000000000003E-2</v>
      </c>
      <c r="E44">
        <v>1.2E-2</v>
      </c>
      <c r="F44">
        <v>1</v>
      </c>
      <c r="G44" t="s">
        <v>46</v>
      </c>
      <c r="H44" s="1">
        <v>10574</v>
      </c>
      <c r="I44">
        <v>0.93600000000000005</v>
      </c>
      <c r="J44">
        <v>7.3999999999999996E-2</v>
      </c>
      <c r="K44">
        <v>1.2E-2</v>
      </c>
      <c r="L44">
        <v>1</v>
      </c>
      <c r="M44" t="s">
        <v>46</v>
      </c>
      <c r="N44" s="1">
        <v>9326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19900</v>
      </c>
      <c r="C45">
        <v>6.3E-2</v>
      </c>
      <c r="D45">
        <v>7.5999999999999998E-2</v>
      </c>
      <c r="E45">
        <v>0</v>
      </c>
      <c r="F45">
        <v>0.69899999999999995</v>
      </c>
      <c r="G45" t="s">
        <v>47</v>
      </c>
      <c r="H45" s="1">
        <v>10574</v>
      </c>
      <c r="I45">
        <v>6.2E-2</v>
      </c>
      <c r="J45">
        <v>6.8000000000000005E-2</v>
      </c>
      <c r="K45">
        <v>0</v>
      </c>
      <c r="L45">
        <v>0.67100000000000004</v>
      </c>
      <c r="M45" t="s">
        <v>47</v>
      </c>
      <c r="N45" s="1">
        <v>9326</v>
      </c>
      <c r="O45">
        <v>6.4000000000000001E-2</v>
      </c>
      <c r="P45">
        <v>8.4000000000000005E-2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19900</v>
      </c>
      <c r="C46">
        <v>0.749</v>
      </c>
      <c r="D46">
        <v>0.16800000000000001</v>
      </c>
      <c r="E46">
        <v>0</v>
      </c>
      <c r="F46">
        <v>1</v>
      </c>
      <c r="G46" t="s">
        <v>48</v>
      </c>
      <c r="H46" s="1">
        <v>10574</v>
      </c>
      <c r="I46">
        <v>0.73899999999999999</v>
      </c>
      <c r="J46">
        <v>0.16300000000000001</v>
      </c>
      <c r="K46">
        <v>0</v>
      </c>
      <c r="L46">
        <v>1</v>
      </c>
      <c r="M46" t="s">
        <v>48</v>
      </c>
      <c r="N46" s="1">
        <v>9326</v>
      </c>
      <c r="O46">
        <v>0.76100000000000001</v>
      </c>
      <c r="P46">
        <v>0.17299999999999999</v>
      </c>
      <c r="Q46">
        <v>0</v>
      </c>
      <c r="R46">
        <v>1</v>
      </c>
    </row>
    <row r="47" spans="1:18" x14ac:dyDescent="0.25">
      <c r="A47" t="s">
        <v>49</v>
      </c>
      <c r="B47" s="1">
        <v>19900</v>
      </c>
      <c r="C47">
        <v>0.249</v>
      </c>
      <c r="D47">
        <v>0.16700000000000001</v>
      </c>
      <c r="E47">
        <v>0</v>
      </c>
      <c r="F47">
        <v>1</v>
      </c>
      <c r="G47" t="s">
        <v>49</v>
      </c>
      <c r="H47" s="1">
        <v>10574</v>
      </c>
      <c r="I47">
        <v>0.26</v>
      </c>
      <c r="J47">
        <v>0.16200000000000001</v>
      </c>
      <c r="K47">
        <v>0</v>
      </c>
      <c r="L47">
        <v>1</v>
      </c>
      <c r="M47" t="s">
        <v>49</v>
      </c>
      <c r="N47" s="1">
        <v>9326</v>
      </c>
      <c r="O47">
        <v>0.23799999999999999</v>
      </c>
      <c r="P47">
        <v>0.17199999999999999</v>
      </c>
      <c r="Q47">
        <v>0</v>
      </c>
      <c r="R47">
        <v>1</v>
      </c>
    </row>
    <row r="48" spans="1:18" x14ac:dyDescent="0.25">
      <c r="A48" t="s">
        <v>50</v>
      </c>
      <c r="B48" s="1">
        <v>19900</v>
      </c>
      <c r="C48">
        <v>23.504999999999999</v>
      </c>
      <c r="D48">
        <v>52.045000000000002</v>
      </c>
      <c r="E48">
        <v>0</v>
      </c>
      <c r="F48">
        <v>667</v>
      </c>
      <c r="G48" t="s">
        <v>50</v>
      </c>
      <c r="H48" s="1">
        <v>10574</v>
      </c>
      <c r="I48">
        <v>22.663</v>
      </c>
      <c r="J48">
        <v>50.055</v>
      </c>
      <c r="K48">
        <v>0</v>
      </c>
      <c r="L48">
        <v>667</v>
      </c>
      <c r="M48" t="s">
        <v>50</v>
      </c>
      <c r="N48" s="1">
        <v>9326</v>
      </c>
      <c r="O48">
        <v>24.460999999999999</v>
      </c>
      <c r="P48">
        <v>54.198999999999998</v>
      </c>
      <c r="Q48">
        <v>0</v>
      </c>
      <c r="R48">
        <v>623</v>
      </c>
    </row>
    <row r="49" spans="1:18" x14ac:dyDescent="0.25">
      <c r="A49" t="s">
        <v>51</v>
      </c>
      <c r="B49" s="1">
        <v>19900</v>
      </c>
      <c r="C49">
        <v>2.4E-2</v>
      </c>
      <c r="D49">
        <v>0.154</v>
      </c>
      <c r="E49">
        <v>0</v>
      </c>
      <c r="F49">
        <v>1</v>
      </c>
      <c r="G49" t="s">
        <v>51</v>
      </c>
      <c r="H49" s="1">
        <v>10574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9326</v>
      </c>
      <c r="O49">
        <v>5.1999999999999998E-2</v>
      </c>
      <c r="P49">
        <v>0.222</v>
      </c>
      <c r="Q49">
        <v>0</v>
      </c>
      <c r="R49">
        <v>1</v>
      </c>
    </row>
    <row r="50" spans="1:18" x14ac:dyDescent="0.25">
      <c r="A50" t="s">
        <v>52</v>
      </c>
      <c r="B50" s="1">
        <v>19900</v>
      </c>
      <c r="C50">
        <v>0.45400000000000001</v>
      </c>
      <c r="D50">
        <v>0.498</v>
      </c>
      <c r="E50">
        <v>0</v>
      </c>
      <c r="F50">
        <v>1</v>
      </c>
      <c r="G50" t="s">
        <v>52</v>
      </c>
      <c r="H50" s="1">
        <v>10574</v>
      </c>
      <c r="I50">
        <v>0.42199999999999999</v>
      </c>
      <c r="J50">
        <v>0.49399999999999999</v>
      </c>
      <c r="K50">
        <v>0</v>
      </c>
      <c r="L50">
        <v>1</v>
      </c>
      <c r="M50" t="s">
        <v>52</v>
      </c>
      <c r="N50" s="1">
        <v>9326</v>
      </c>
      <c r="O50">
        <v>0.49199999999999999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19900</v>
      </c>
      <c r="C51" s="2">
        <v>2363536</v>
      </c>
      <c r="D51" s="2">
        <v>7934.192</v>
      </c>
      <c r="E51" s="2">
        <v>2350907</v>
      </c>
      <c r="F51" s="2">
        <v>2399920</v>
      </c>
      <c r="G51" t="s">
        <v>53</v>
      </c>
      <c r="H51" s="1">
        <v>10574</v>
      </c>
      <c r="I51" s="2">
        <v>2363565</v>
      </c>
      <c r="J51" s="2">
        <v>7783.46</v>
      </c>
      <c r="K51" s="2">
        <v>2350907</v>
      </c>
      <c r="L51" s="2">
        <v>2399920</v>
      </c>
      <c r="M51" t="s">
        <v>53</v>
      </c>
      <c r="N51" s="1">
        <v>9326</v>
      </c>
      <c r="O51" s="2">
        <v>2363503</v>
      </c>
      <c r="P51" s="2">
        <v>8101.9989999999998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19900</v>
      </c>
      <c r="C52" s="2">
        <v>611470.30000000005</v>
      </c>
      <c r="D52" s="2">
        <v>14767.08</v>
      </c>
      <c r="E52" s="2">
        <v>579824.19999999995</v>
      </c>
      <c r="F52" s="2">
        <v>638667.69999999995</v>
      </c>
      <c r="G52" t="s">
        <v>54</v>
      </c>
      <c r="H52" s="1">
        <v>10574</v>
      </c>
      <c r="I52" s="2">
        <v>611417</v>
      </c>
      <c r="J52" s="2">
        <v>14570.06</v>
      </c>
      <c r="K52" s="2">
        <v>579824.19999999995</v>
      </c>
      <c r="L52" s="2">
        <v>638667.69999999995</v>
      </c>
      <c r="M52" t="s">
        <v>54</v>
      </c>
      <c r="N52" s="1">
        <v>9326</v>
      </c>
      <c r="O52" s="2">
        <v>611530.69999999995</v>
      </c>
      <c r="P52" s="2">
        <v>14987.88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19900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10574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9326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19900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10574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9326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19900</v>
      </c>
      <c r="C55">
        <v>0.44900000000000001</v>
      </c>
      <c r="D55">
        <v>0.497</v>
      </c>
      <c r="E55">
        <v>0</v>
      </c>
      <c r="F55">
        <v>1</v>
      </c>
      <c r="G55" t="s">
        <v>58</v>
      </c>
      <c r="H55" s="1">
        <v>10574</v>
      </c>
      <c r="I55">
        <v>0.45800000000000002</v>
      </c>
      <c r="J55">
        <v>0.498</v>
      </c>
      <c r="K55">
        <v>0</v>
      </c>
      <c r="L55">
        <v>1</v>
      </c>
      <c r="M55" t="s">
        <v>58</v>
      </c>
      <c r="N55" s="1">
        <v>9326</v>
      </c>
      <c r="O55">
        <v>0.439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19900</v>
      </c>
      <c r="C56">
        <v>0.499</v>
      </c>
      <c r="D56">
        <v>0.5</v>
      </c>
      <c r="E56">
        <v>0</v>
      </c>
      <c r="F56">
        <v>1</v>
      </c>
      <c r="G56" t="s">
        <v>59</v>
      </c>
      <c r="H56" s="1">
        <v>10574</v>
      </c>
      <c r="I56">
        <v>0.49299999999999999</v>
      </c>
      <c r="J56">
        <v>0.5</v>
      </c>
      <c r="K56">
        <v>0</v>
      </c>
      <c r="L56">
        <v>1</v>
      </c>
      <c r="M56" t="s">
        <v>59</v>
      </c>
      <c r="N56" s="1">
        <v>9326</v>
      </c>
      <c r="O56">
        <v>0.50600000000000001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19900</v>
      </c>
      <c r="C57">
        <v>5.1999999999999998E-2</v>
      </c>
      <c r="D57">
        <v>0.222</v>
      </c>
      <c r="E57">
        <v>0</v>
      </c>
      <c r="F57">
        <v>1</v>
      </c>
      <c r="G57" t="s">
        <v>60</v>
      </c>
      <c r="H57" s="1">
        <v>10574</v>
      </c>
      <c r="I57">
        <v>4.9000000000000002E-2</v>
      </c>
      <c r="J57">
        <v>0.215</v>
      </c>
      <c r="K57">
        <v>0</v>
      </c>
      <c r="L57">
        <v>1</v>
      </c>
      <c r="M57" t="s">
        <v>60</v>
      </c>
      <c r="N57" s="1">
        <v>9326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19900</v>
      </c>
      <c r="C58" s="2">
        <v>2019.241</v>
      </c>
      <c r="D58">
        <v>2</v>
      </c>
      <c r="E58" s="1">
        <v>2016</v>
      </c>
      <c r="F58" s="1">
        <v>2023</v>
      </c>
      <c r="G58" t="s">
        <v>61</v>
      </c>
      <c r="H58" s="1">
        <v>10574</v>
      </c>
      <c r="I58" s="2">
        <v>2017.6320000000001</v>
      </c>
      <c r="J58">
        <v>1.1870000000000001</v>
      </c>
      <c r="K58" s="1">
        <v>2016</v>
      </c>
      <c r="L58" s="1">
        <v>2020</v>
      </c>
      <c r="M58" t="s">
        <v>61</v>
      </c>
      <c r="N58" s="1">
        <v>9326</v>
      </c>
      <c r="O58" s="2">
        <v>2021.0640000000001</v>
      </c>
      <c r="P58">
        <v>0.82299999999999995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19900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10574</v>
      </c>
      <c r="I59" s="2">
        <v>0.88400000000000001</v>
      </c>
      <c r="J59">
        <v>0.32100000000000001</v>
      </c>
      <c r="K59" s="1">
        <v>0</v>
      </c>
      <c r="L59" s="1">
        <v>1</v>
      </c>
      <c r="M59" t="s">
        <v>62</v>
      </c>
      <c r="N59" s="1">
        <v>9326</v>
      </c>
      <c r="O59">
        <v>0.879</v>
      </c>
      <c r="P59">
        <v>0.32700000000000001</v>
      </c>
      <c r="Q59">
        <v>0</v>
      </c>
      <c r="R59">
        <v>1</v>
      </c>
    </row>
    <row r="60" spans="1:18" x14ac:dyDescent="0.25">
      <c r="A60" t="s">
        <v>63</v>
      </c>
      <c r="B60" s="1">
        <v>19900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10574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9326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19900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10574</v>
      </c>
      <c r="I61">
        <v>2.0000000000000001E-4</v>
      </c>
      <c r="J61">
        <v>1.4E-2</v>
      </c>
      <c r="K61">
        <v>0</v>
      </c>
      <c r="L61">
        <v>1</v>
      </c>
      <c r="M61" t="s">
        <v>64</v>
      </c>
      <c r="N61" s="1">
        <v>9326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19900</v>
      </c>
      <c r="C62">
        <v>6.9000000000000006E-2</v>
      </c>
      <c r="D62">
        <v>0.254</v>
      </c>
      <c r="E62">
        <v>0</v>
      </c>
      <c r="F62">
        <v>1</v>
      </c>
      <c r="G62" t="s">
        <v>65</v>
      </c>
      <c r="H62" s="1">
        <v>10574</v>
      </c>
      <c r="I62">
        <v>6.7000000000000004E-2</v>
      </c>
      <c r="J62">
        <v>0.251</v>
      </c>
      <c r="K62">
        <v>0</v>
      </c>
      <c r="L62">
        <v>1</v>
      </c>
      <c r="M62" t="s">
        <v>65</v>
      </c>
      <c r="N62" s="1">
        <v>9326</v>
      </c>
      <c r="O62">
        <v>7.0999999999999994E-2</v>
      </c>
      <c r="P62">
        <v>0.25800000000000001</v>
      </c>
      <c r="Q62">
        <v>0</v>
      </c>
      <c r="R62">
        <v>1</v>
      </c>
    </row>
    <row r="63" spans="1:18" x14ac:dyDescent="0.25">
      <c r="A63" t="s">
        <v>66</v>
      </c>
      <c r="B63" s="1">
        <v>19900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10574</v>
      </c>
      <c r="I63">
        <v>1.7000000000000001E-2</v>
      </c>
      <c r="J63">
        <v>0.128</v>
      </c>
      <c r="K63">
        <v>0</v>
      </c>
      <c r="L63">
        <v>1</v>
      </c>
      <c r="M63" t="s">
        <v>66</v>
      </c>
      <c r="N63" s="1">
        <v>9326</v>
      </c>
      <c r="O63">
        <v>1.9E-2</v>
      </c>
      <c r="P63">
        <v>0.13500000000000001</v>
      </c>
      <c r="Q63">
        <v>0</v>
      </c>
      <c r="R63">
        <v>1</v>
      </c>
    </row>
    <row r="64" spans="1:18" x14ac:dyDescent="0.25">
      <c r="A64" t="s">
        <v>67</v>
      </c>
      <c r="B64" s="1">
        <v>19900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10574</v>
      </c>
      <c r="I64">
        <v>1E-3</v>
      </c>
      <c r="J64">
        <v>2.4E-2</v>
      </c>
      <c r="K64">
        <v>0</v>
      </c>
      <c r="L64">
        <v>1</v>
      </c>
      <c r="M64" t="s">
        <v>67</v>
      </c>
      <c r="N64" s="1">
        <v>9326</v>
      </c>
      <c r="O64">
        <v>4.0000000000000002E-4</v>
      </c>
      <c r="P64">
        <v>2.1000000000000001E-2</v>
      </c>
      <c r="Q64">
        <v>0</v>
      </c>
      <c r="R64">
        <v>1</v>
      </c>
    </row>
    <row r="65" spans="1:18" x14ac:dyDescent="0.25">
      <c r="A65" t="s">
        <v>68</v>
      </c>
      <c r="B65" s="1">
        <v>19900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10574</v>
      </c>
      <c r="I65">
        <v>1.4E-2</v>
      </c>
      <c r="J65">
        <v>0.11700000000000001</v>
      </c>
      <c r="K65">
        <v>0</v>
      </c>
      <c r="L65">
        <v>1</v>
      </c>
      <c r="M65" t="s">
        <v>68</v>
      </c>
      <c r="N65" s="1">
        <v>9326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19900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10574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9326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19900</v>
      </c>
      <c r="C67">
        <v>0.221</v>
      </c>
      <c r="D67">
        <v>0.41499999999999998</v>
      </c>
      <c r="E67">
        <v>0</v>
      </c>
      <c r="F67">
        <v>1</v>
      </c>
      <c r="G67" t="s">
        <v>70</v>
      </c>
      <c r="H67" s="1">
        <v>10574</v>
      </c>
      <c r="I67">
        <v>0.218</v>
      </c>
      <c r="J67">
        <v>0.41299999999999998</v>
      </c>
      <c r="K67">
        <v>0</v>
      </c>
      <c r="L67">
        <v>1</v>
      </c>
      <c r="M67" t="s">
        <v>70</v>
      </c>
      <c r="N67" s="1">
        <v>9326</v>
      </c>
      <c r="O67">
        <v>0.224</v>
      </c>
      <c r="P67">
        <v>0.41699999999999998</v>
      </c>
      <c r="Q67">
        <v>0</v>
      </c>
      <c r="R67">
        <v>1</v>
      </c>
    </row>
    <row r="68" spans="1:18" x14ac:dyDescent="0.25">
      <c r="A68" t="s">
        <v>71</v>
      </c>
      <c r="B68" s="1">
        <v>19900</v>
      </c>
      <c r="C68">
        <v>0.29699999999999999</v>
      </c>
      <c r="D68">
        <v>0.45700000000000002</v>
      </c>
      <c r="E68">
        <v>0</v>
      </c>
      <c r="F68">
        <v>1</v>
      </c>
      <c r="G68" t="s">
        <v>71</v>
      </c>
      <c r="H68" s="1">
        <v>10574</v>
      </c>
      <c r="I68">
        <v>0.314</v>
      </c>
      <c r="J68">
        <v>0.46400000000000002</v>
      </c>
      <c r="K68">
        <v>0</v>
      </c>
      <c r="L68">
        <v>1</v>
      </c>
      <c r="M68" t="s">
        <v>71</v>
      </c>
      <c r="N68" s="1">
        <v>9326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19900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10574</v>
      </c>
      <c r="I69">
        <v>0.39300000000000002</v>
      </c>
      <c r="J69">
        <v>0.48899999999999999</v>
      </c>
      <c r="K69">
        <v>0</v>
      </c>
      <c r="L69">
        <v>1</v>
      </c>
      <c r="M69" t="s">
        <v>72</v>
      </c>
      <c r="N69" s="1">
        <v>9326</v>
      </c>
      <c r="O69">
        <v>0.434</v>
      </c>
      <c r="P69">
        <v>0.496</v>
      </c>
      <c r="Q69">
        <v>0</v>
      </c>
      <c r="R69">
        <v>1</v>
      </c>
    </row>
    <row r="70" spans="1:18" x14ac:dyDescent="0.25">
      <c r="A70" t="s">
        <v>73</v>
      </c>
      <c r="B70" s="1">
        <v>19900</v>
      </c>
      <c r="C70">
        <v>7.0000000000000007E-2</v>
      </c>
      <c r="D70">
        <v>0.254</v>
      </c>
      <c r="E70">
        <v>0</v>
      </c>
      <c r="F70">
        <v>1</v>
      </c>
      <c r="G70" t="s">
        <v>73</v>
      </c>
      <c r="H70" s="1">
        <v>10574</v>
      </c>
      <c r="I70">
        <v>7.4999999999999997E-2</v>
      </c>
      <c r="J70">
        <v>0.26300000000000001</v>
      </c>
      <c r="K70">
        <v>0</v>
      </c>
      <c r="L70">
        <v>1</v>
      </c>
      <c r="M70" t="s">
        <v>73</v>
      </c>
      <c r="N70" s="1">
        <v>9326</v>
      </c>
      <c r="O70">
        <v>6.4000000000000001E-2</v>
      </c>
      <c r="P70">
        <v>0.245</v>
      </c>
      <c r="Q70">
        <v>0</v>
      </c>
      <c r="R70">
        <v>1</v>
      </c>
    </row>
    <row r="71" spans="1:18" x14ac:dyDescent="0.25">
      <c r="A71" t="s">
        <v>165</v>
      </c>
      <c r="B71" s="1">
        <v>19900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10574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9326</v>
      </c>
      <c r="O71">
        <v>4.0000000000000001E-3</v>
      </c>
      <c r="P71">
        <v>6.2E-2</v>
      </c>
      <c r="Q71">
        <v>0</v>
      </c>
      <c r="R71">
        <v>1</v>
      </c>
    </row>
    <row r="72" spans="1:18" x14ac:dyDescent="0.25">
      <c r="A72" t="s">
        <v>166</v>
      </c>
      <c r="B72" s="1">
        <v>19900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10574</v>
      </c>
      <c r="I72">
        <v>3.6999999999999998E-2</v>
      </c>
      <c r="J72">
        <v>0.189</v>
      </c>
      <c r="K72">
        <v>0</v>
      </c>
      <c r="L72">
        <v>1</v>
      </c>
      <c r="M72" t="s">
        <v>166</v>
      </c>
      <c r="N72" s="1">
        <v>9326</v>
      </c>
      <c r="O72">
        <v>2.5999999999999999E-2</v>
      </c>
      <c r="P72">
        <v>0.159</v>
      </c>
      <c r="Q72">
        <v>0</v>
      </c>
      <c r="R72">
        <v>1</v>
      </c>
    </row>
    <row r="73" spans="1:18" x14ac:dyDescent="0.25">
      <c r="A73" t="s">
        <v>167</v>
      </c>
      <c r="B73" s="1">
        <v>19900</v>
      </c>
      <c r="C73">
        <v>0.499</v>
      </c>
      <c r="D73">
        <v>0.5</v>
      </c>
      <c r="E73">
        <v>0</v>
      </c>
      <c r="F73">
        <v>1</v>
      </c>
      <c r="G73" t="s">
        <v>167</v>
      </c>
      <c r="H73" s="1">
        <v>10574</v>
      </c>
      <c r="I73">
        <v>0.52900000000000003</v>
      </c>
      <c r="J73">
        <v>0.499</v>
      </c>
      <c r="K73">
        <v>0</v>
      </c>
      <c r="L73">
        <v>1</v>
      </c>
      <c r="M73" t="s">
        <v>167</v>
      </c>
      <c r="N73" s="1">
        <v>9326</v>
      </c>
      <c r="O73">
        <v>0.46600000000000003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19900</v>
      </c>
      <c r="C74">
        <v>0.124</v>
      </c>
      <c r="D74">
        <v>0.32900000000000001</v>
      </c>
      <c r="E74">
        <v>0</v>
      </c>
      <c r="F74">
        <v>1</v>
      </c>
      <c r="G74" t="s">
        <v>168</v>
      </c>
      <c r="H74" s="1">
        <v>10574</v>
      </c>
      <c r="I74">
        <v>0.11899999999999999</v>
      </c>
      <c r="J74">
        <v>0.32400000000000001</v>
      </c>
      <c r="K74">
        <v>0</v>
      </c>
      <c r="L74">
        <v>1</v>
      </c>
      <c r="M74" t="s">
        <v>168</v>
      </c>
      <c r="N74" s="1">
        <v>9326</v>
      </c>
      <c r="O74">
        <v>0.129</v>
      </c>
      <c r="P74">
        <v>0.33600000000000002</v>
      </c>
      <c r="Q74">
        <v>0</v>
      </c>
      <c r="R74">
        <v>1</v>
      </c>
    </row>
    <row r="75" spans="1:18" x14ac:dyDescent="0.25">
      <c r="A75" t="s">
        <v>169</v>
      </c>
      <c r="B75" s="1">
        <v>19900</v>
      </c>
      <c r="C75">
        <v>0.25800000000000001</v>
      </c>
      <c r="D75">
        <v>0.437</v>
      </c>
      <c r="E75">
        <v>0</v>
      </c>
      <c r="F75">
        <v>1</v>
      </c>
      <c r="G75" t="s">
        <v>169</v>
      </c>
      <c r="H75" s="1">
        <v>10574</v>
      </c>
      <c r="I75">
        <v>0.24</v>
      </c>
      <c r="J75">
        <v>0.42699999999999999</v>
      </c>
      <c r="K75">
        <v>0</v>
      </c>
      <c r="L75">
        <v>1</v>
      </c>
      <c r="M75" t="s">
        <v>169</v>
      </c>
      <c r="N75" s="1">
        <v>9326</v>
      </c>
      <c r="O75">
        <v>0.27800000000000002</v>
      </c>
      <c r="P75">
        <v>0.44800000000000001</v>
      </c>
      <c r="Q75">
        <v>0</v>
      </c>
      <c r="R75">
        <v>1</v>
      </c>
    </row>
    <row r="76" spans="1:18" x14ac:dyDescent="0.25">
      <c r="A76" t="s">
        <v>170</v>
      </c>
      <c r="B76" s="1">
        <v>19900</v>
      </c>
      <c r="C76">
        <v>8.3000000000000004E-2</v>
      </c>
      <c r="D76">
        <v>0.27600000000000002</v>
      </c>
      <c r="E76">
        <v>0</v>
      </c>
      <c r="F76">
        <v>1</v>
      </c>
      <c r="G76" t="s">
        <v>170</v>
      </c>
      <c r="H76" s="1">
        <v>10574</v>
      </c>
      <c r="I76">
        <v>7.0999999999999994E-2</v>
      </c>
      <c r="J76">
        <v>0.25600000000000001</v>
      </c>
      <c r="K76">
        <v>0</v>
      </c>
      <c r="L76">
        <v>1</v>
      </c>
      <c r="M76" t="s">
        <v>170</v>
      </c>
      <c r="N76" s="1">
        <v>9326</v>
      </c>
      <c r="O76">
        <v>9.7000000000000003E-2</v>
      </c>
      <c r="P76">
        <v>0.29499999999999998</v>
      </c>
      <c r="Q76">
        <v>0</v>
      </c>
      <c r="R76">
        <v>1</v>
      </c>
    </row>
    <row r="77" spans="1:18" x14ac:dyDescent="0.25">
      <c r="A77" t="s">
        <v>79</v>
      </c>
      <c r="B77" s="1">
        <v>19900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10574</v>
      </c>
      <c r="I77">
        <v>3.1E-2</v>
      </c>
      <c r="J77">
        <v>0.17199999999999999</v>
      </c>
      <c r="K77">
        <v>0</v>
      </c>
      <c r="L77">
        <v>1</v>
      </c>
      <c r="M77" t="s">
        <v>79</v>
      </c>
      <c r="N77" s="1">
        <v>9326</v>
      </c>
      <c r="O77">
        <v>3.5000000000000003E-2</v>
      </c>
      <c r="P77">
        <v>0.184</v>
      </c>
      <c r="Q77">
        <v>0</v>
      </c>
      <c r="R77">
        <v>1</v>
      </c>
    </row>
    <row r="78" spans="1:18" x14ac:dyDescent="0.25">
      <c r="A78" t="s">
        <v>80</v>
      </c>
      <c r="B78" s="1">
        <v>19900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10574</v>
      </c>
      <c r="I78">
        <v>1E-3</v>
      </c>
      <c r="J78">
        <v>2.4E-2</v>
      </c>
      <c r="K78">
        <v>0</v>
      </c>
      <c r="L78">
        <v>1</v>
      </c>
      <c r="M78" t="s">
        <v>80</v>
      </c>
      <c r="N78" s="1">
        <v>9326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19900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10574</v>
      </c>
      <c r="I79">
        <v>3.0000000000000001E-3</v>
      </c>
      <c r="J79">
        <v>5.2999999999999999E-2</v>
      </c>
      <c r="K79">
        <v>0</v>
      </c>
      <c r="L79">
        <v>1</v>
      </c>
      <c r="M79" t="s">
        <v>81</v>
      </c>
      <c r="N79" s="1">
        <v>9326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19900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10574</v>
      </c>
      <c r="I80">
        <v>4.0000000000000001E-3</v>
      </c>
      <c r="J80">
        <v>6.4000000000000001E-2</v>
      </c>
      <c r="K80">
        <v>0</v>
      </c>
      <c r="L80">
        <v>1</v>
      </c>
      <c r="M80" t="s">
        <v>82</v>
      </c>
      <c r="N80" s="1">
        <v>9326</v>
      </c>
      <c r="O80">
        <v>4.0000000000000001E-3</v>
      </c>
      <c r="P80">
        <v>0.06</v>
      </c>
      <c r="Q80">
        <v>0</v>
      </c>
      <c r="R80">
        <v>1</v>
      </c>
    </row>
    <row r="81" spans="1:18" x14ac:dyDescent="0.25">
      <c r="A81" t="s">
        <v>83</v>
      </c>
      <c r="B81" s="1">
        <v>19900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10574</v>
      </c>
      <c r="I81">
        <v>0.54500000000000004</v>
      </c>
      <c r="J81">
        <v>0.498</v>
      </c>
      <c r="K81">
        <v>0</v>
      </c>
      <c r="L81">
        <v>1</v>
      </c>
      <c r="M81" t="s">
        <v>83</v>
      </c>
      <c r="N81" s="1">
        <v>9326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19900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10574</v>
      </c>
      <c r="I82">
        <v>6.0000000000000001E-3</v>
      </c>
      <c r="J82">
        <v>7.8E-2</v>
      </c>
      <c r="K82">
        <v>0</v>
      </c>
      <c r="L82">
        <v>1</v>
      </c>
      <c r="M82" t="s">
        <v>84</v>
      </c>
      <c r="N82" s="1">
        <v>9326</v>
      </c>
      <c r="O82">
        <v>0.01</v>
      </c>
      <c r="P82">
        <v>9.7000000000000003E-2</v>
      </c>
      <c r="Q82">
        <v>0</v>
      </c>
      <c r="R82">
        <v>1</v>
      </c>
    </row>
    <row r="83" spans="1:18" x14ac:dyDescent="0.25">
      <c r="A83" t="s">
        <v>85</v>
      </c>
      <c r="B83" s="1">
        <v>19900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10574</v>
      </c>
      <c r="I83">
        <v>0.41099999999999998</v>
      </c>
      <c r="J83">
        <v>0.49199999999999999</v>
      </c>
      <c r="K83">
        <v>0</v>
      </c>
      <c r="L83">
        <v>1</v>
      </c>
      <c r="M83" t="s">
        <v>85</v>
      </c>
      <c r="N83" s="1">
        <v>9326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8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8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DF184-CC69-420F-B0BF-59A4DA9DAB0A}">
  <sheetPr codeName="Sheet7"/>
  <dimension ref="A1:R86"/>
  <sheetViews>
    <sheetView workbookViewId="0">
      <selection activeCell="X21" sqref="X21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43259</v>
      </c>
      <c r="C3">
        <v>1.175</v>
      </c>
      <c r="D3">
        <v>0.42</v>
      </c>
      <c r="E3">
        <v>1</v>
      </c>
      <c r="F3">
        <v>5</v>
      </c>
      <c r="G3" t="s">
        <v>10</v>
      </c>
      <c r="H3" s="1">
        <v>27146</v>
      </c>
      <c r="I3">
        <v>1.248</v>
      </c>
      <c r="J3">
        <v>0.48599999999999999</v>
      </c>
      <c r="K3">
        <v>1</v>
      </c>
      <c r="L3">
        <v>5</v>
      </c>
      <c r="M3" t="s">
        <v>10</v>
      </c>
      <c r="N3" s="1">
        <v>16113</v>
      </c>
      <c r="O3">
        <v>1.05</v>
      </c>
      <c r="P3">
        <v>0.224</v>
      </c>
      <c r="Q3">
        <v>1</v>
      </c>
      <c r="R3">
        <v>4</v>
      </c>
    </row>
    <row r="4" spans="1:18" x14ac:dyDescent="0.25">
      <c r="A4" t="s">
        <v>11</v>
      </c>
      <c r="B4" s="1">
        <v>43259</v>
      </c>
      <c r="C4">
        <v>0.372</v>
      </c>
      <c r="D4">
        <v>0.48299999999999998</v>
      </c>
      <c r="E4">
        <v>0</v>
      </c>
      <c r="F4">
        <v>1</v>
      </c>
      <c r="G4" t="s">
        <v>11</v>
      </c>
      <c r="H4" s="1">
        <v>27146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16113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43259</v>
      </c>
      <c r="C5">
        <v>0.33200000000000002</v>
      </c>
      <c r="D5">
        <v>0.47099999999999997</v>
      </c>
      <c r="E5">
        <v>0</v>
      </c>
      <c r="F5">
        <v>1</v>
      </c>
      <c r="G5" t="s">
        <v>12</v>
      </c>
      <c r="H5" s="1">
        <v>27146</v>
      </c>
      <c r="I5">
        <v>1E-3</v>
      </c>
      <c r="J5">
        <v>3.6999999999999998E-2</v>
      </c>
      <c r="K5">
        <v>0</v>
      </c>
      <c r="L5">
        <v>1</v>
      </c>
      <c r="M5" t="s">
        <v>12</v>
      </c>
      <c r="N5" s="1">
        <v>16113</v>
      </c>
      <c r="O5">
        <v>0.89</v>
      </c>
      <c r="P5">
        <v>0.313</v>
      </c>
      <c r="Q5">
        <v>0</v>
      </c>
      <c r="R5">
        <v>1</v>
      </c>
    </row>
    <row r="6" spans="1:18" x14ac:dyDescent="0.25">
      <c r="A6" t="s">
        <v>36</v>
      </c>
      <c r="B6" s="1">
        <v>16113</v>
      </c>
      <c r="C6">
        <v>296.77999999999997</v>
      </c>
      <c r="D6">
        <v>555.26499999999999</v>
      </c>
      <c r="E6">
        <v>0</v>
      </c>
      <c r="F6" s="1">
        <v>4021</v>
      </c>
      <c r="H6" s="1"/>
      <c r="M6" t="s">
        <v>36</v>
      </c>
      <c r="N6" s="1">
        <v>16113</v>
      </c>
      <c r="O6">
        <v>296.77999999999997</v>
      </c>
      <c r="P6">
        <v>555.26499999999999</v>
      </c>
      <c r="Q6">
        <v>0</v>
      </c>
      <c r="R6" s="1">
        <v>4021</v>
      </c>
    </row>
    <row r="7" spans="1:18" x14ac:dyDescent="0.25">
      <c r="A7" t="s">
        <v>13</v>
      </c>
      <c r="B7" s="1">
        <v>43259</v>
      </c>
      <c r="C7">
        <v>1.9039999999999999</v>
      </c>
      <c r="D7">
        <v>0.89900000000000002</v>
      </c>
      <c r="E7">
        <v>0</v>
      </c>
      <c r="F7">
        <v>17</v>
      </c>
      <c r="G7" t="s">
        <v>13</v>
      </c>
      <c r="H7" s="1">
        <v>27146</v>
      </c>
      <c r="I7">
        <v>1.8919999999999999</v>
      </c>
      <c r="J7">
        <v>0.86799999999999999</v>
      </c>
      <c r="K7">
        <v>0</v>
      </c>
      <c r="L7">
        <v>17</v>
      </c>
      <c r="M7" t="s">
        <v>13</v>
      </c>
      <c r="N7" s="1">
        <v>16113</v>
      </c>
      <c r="O7">
        <v>1.923</v>
      </c>
      <c r="P7">
        <v>0.94799999999999995</v>
      </c>
      <c r="Q7">
        <v>0</v>
      </c>
      <c r="R7">
        <v>14</v>
      </c>
    </row>
    <row r="8" spans="1:18" x14ac:dyDescent="0.25">
      <c r="A8" t="s">
        <v>14</v>
      </c>
      <c r="B8" s="1">
        <v>43259</v>
      </c>
      <c r="C8">
        <v>0.26700000000000002</v>
      </c>
      <c r="D8">
        <v>0.46500000000000002</v>
      </c>
      <c r="E8">
        <v>0</v>
      </c>
      <c r="F8">
        <v>5</v>
      </c>
      <c r="G8" t="s">
        <v>14</v>
      </c>
      <c r="H8" s="1">
        <v>27146</v>
      </c>
      <c r="I8">
        <v>0.27500000000000002</v>
      </c>
      <c r="J8">
        <v>0.46500000000000002</v>
      </c>
      <c r="K8">
        <v>0</v>
      </c>
      <c r="L8">
        <v>5</v>
      </c>
      <c r="M8" t="s">
        <v>14</v>
      </c>
      <c r="N8" s="1">
        <v>16113</v>
      </c>
      <c r="O8">
        <v>0.254</v>
      </c>
      <c r="P8">
        <v>0.46400000000000002</v>
      </c>
      <c r="Q8">
        <v>0</v>
      </c>
      <c r="R8">
        <v>5</v>
      </c>
    </row>
    <row r="9" spans="1:18" x14ac:dyDescent="0.25">
      <c r="A9" t="s">
        <v>15</v>
      </c>
      <c r="B9" s="1">
        <v>43259</v>
      </c>
      <c r="C9">
        <v>2.7170000000000001</v>
      </c>
      <c r="D9">
        <v>1.4850000000000001</v>
      </c>
      <c r="E9">
        <v>0</v>
      </c>
      <c r="F9">
        <v>25</v>
      </c>
      <c r="G9" t="s">
        <v>15</v>
      </c>
      <c r="H9" s="1">
        <v>27146</v>
      </c>
      <c r="I9">
        <v>2.702</v>
      </c>
      <c r="J9">
        <v>1.429</v>
      </c>
      <c r="K9">
        <v>0</v>
      </c>
      <c r="L9">
        <v>18</v>
      </c>
      <c r="M9" t="s">
        <v>15</v>
      </c>
      <c r="N9" s="1">
        <v>16113</v>
      </c>
      <c r="O9">
        <v>2.7410000000000001</v>
      </c>
      <c r="P9">
        <v>1.575</v>
      </c>
      <c r="Q9">
        <v>0</v>
      </c>
      <c r="R9">
        <v>25</v>
      </c>
    </row>
    <row r="10" spans="1:18" x14ac:dyDescent="0.25">
      <c r="A10" t="s">
        <v>16</v>
      </c>
      <c r="B10" s="1">
        <v>43259</v>
      </c>
      <c r="C10">
        <v>46.646000000000001</v>
      </c>
      <c r="D10">
        <v>60.558</v>
      </c>
      <c r="E10">
        <v>0</v>
      </c>
      <c r="F10" s="1">
        <v>1402</v>
      </c>
      <c r="G10" t="s">
        <v>16</v>
      </c>
      <c r="H10" s="1">
        <v>27146</v>
      </c>
      <c r="I10">
        <v>52.039000000000001</v>
      </c>
      <c r="J10">
        <v>59.796999999999997</v>
      </c>
      <c r="K10">
        <v>0</v>
      </c>
      <c r="L10" s="1">
        <v>1402</v>
      </c>
      <c r="M10" t="s">
        <v>16</v>
      </c>
      <c r="N10" s="1">
        <v>16113</v>
      </c>
      <c r="O10">
        <v>37.56</v>
      </c>
      <c r="P10">
        <v>60.747999999999998</v>
      </c>
      <c r="Q10">
        <v>0</v>
      </c>
      <c r="R10">
        <v>946</v>
      </c>
    </row>
    <row r="11" spans="1:18" x14ac:dyDescent="0.25">
      <c r="A11" t="s">
        <v>163</v>
      </c>
      <c r="B11" s="1">
        <v>43259</v>
      </c>
      <c r="C11" s="2">
        <v>1334.7750000000001</v>
      </c>
      <c r="D11">
        <v>844.71900000000005</v>
      </c>
      <c r="E11">
        <v>120</v>
      </c>
      <c r="F11" s="1">
        <v>17408</v>
      </c>
      <c r="G11" t="s">
        <v>163</v>
      </c>
      <c r="H11" s="1">
        <v>27146</v>
      </c>
      <c r="I11" s="2">
        <v>1322.606</v>
      </c>
      <c r="J11">
        <v>811.851</v>
      </c>
      <c r="K11">
        <v>160</v>
      </c>
      <c r="L11" s="1">
        <v>17408</v>
      </c>
      <c r="M11" t="s">
        <v>163</v>
      </c>
      <c r="N11" s="1">
        <v>16113</v>
      </c>
      <c r="O11" s="2">
        <v>1355.2760000000001</v>
      </c>
      <c r="P11">
        <v>897.02499999999998</v>
      </c>
      <c r="Q11">
        <v>120</v>
      </c>
      <c r="R11" s="1">
        <v>16703</v>
      </c>
    </row>
    <row r="12" spans="1:18" x14ac:dyDescent="0.25">
      <c r="A12" t="s">
        <v>17</v>
      </c>
      <c r="B12" s="1">
        <v>43259</v>
      </c>
      <c r="C12">
        <v>164.536</v>
      </c>
      <c r="D12">
        <v>231.05799999999999</v>
      </c>
      <c r="E12">
        <v>0</v>
      </c>
      <c r="F12" s="1">
        <v>5000</v>
      </c>
      <c r="G12" t="s">
        <v>17</v>
      </c>
      <c r="H12" s="1">
        <v>27146</v>
      </c>
      <c r="I12" s="2">
        <v>162.50200000000001</v>
      </c>
      <c r="J12">
        <v>230.23500000000001</v>
      </c>
      <c r="K12">
        <v>0</v>
      </c>
      <c r="L12" s="1">
        <v>5000</v>
      </c>
      <c r="M12" t="s">
        <v>17</v>
      </c>
      <c r="N12" s="1">
        <v>16113</v>
      </c>
      <c r="O12">
        <v>167.964</v>
      </c>
      <c r="P12">
        <v>232.405</v>
      </c>
      <c r="Q12">
        <v>0</v>
      </c>
      <c r="R12" s="1">
        <v>3200</v>
      </c>
    </row>
    <row r="13" spans="1:18" x14ac:dyDescent="0.25">
      <c r="A13" t="s">
        <v>19</v>
      </c>
      <c r="B13" s="1">
        <v>43259</v>
      </c>
      <c r="C13" s="2">
        <v>944195.7</v>
      </c>
      <c r="D13" s="2">
        <v>893108.8</v>
      </c>
      <c r="E13" s="2">
        <v>85418.51</v>
      </c>
      <c r="F13" s="2">
        <v>28197546</v>
      </c>
      <c r="G13" t="s">
        <v>19</v>
      </c>
      <c r="H13" s="1">
        <v>27146</v>
      </c>
      <c r="I13" s="2">
        <v>909366.6</v>
      </c>
      <c r="J13" s="2">
        <v>841877</v>
      </c>
      <c r="K13" s="2">
        <v>99684.44</v>
      </c>
      <c r="L13" s="1">
        <v>28197546</v>
      </c>
      <c r="M13" t="s">
        <v>19</v>
      </c>
      <c r="N13" s="1">
        <v>16113</v>
      </c>
      <c r="O13" s="2">
        <v>1002873</v>
      </c>
      <c r="P13" s="2">
        <v>970545.6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43259</v>
      </c>
      <c r="C14" s="2">
        <v>931110.2</v>
      </c>
      <c r="D14" s="2">
        <v>839366.5</v>
      </c>
      <c r="E14" s="2">
        <v>85418.51</v>
      </c>
      <c r="F14" s="2">
        <v>28197546</v>
      </c>
      <c r="G14" t="s">
        <v>20</v>
      </c>
      <c r="H14" s="1">
        <v>27146</v>
      </c>
      <c r="I14" s="2">
        <v>891217.9</v>
      </c>
      <c r="J14" s="2">
        <v>788492.6</v>
      </c>
      <c r="K14" s="2">
        <v>118448.6</v>
      </c>
      <c r="L14" s="1">
        <v>28197546</v>
      </c>
      <c r="M14" t="s">
        <v>20</v>
      </c>
      <c r="N14" s="1">
        <v>16113</v>
      </c>
      <c r="O14" s="2">
        <v>998317.9</v>
      </c>
      <c r="P14" s="2">
        <v>914825.9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43259</v>
      </c>
      <c r="C15" s="2">
        <v>10770.91</v>
      </c>
      <c r="D15" s="2">
        <v>92667.89</v>
      </c>
      <c r="E15" s="2">
        <v>-2010000</v>
      </c>
      <c r="F15" s="2">
        <v>6900000</v>
      </c>
      <c r="G15" t="s">
        <v>190</v>
      </c>
      <c r="H15" s="1">
        <v>27146</v>
      </c>
      <c r="I15" s="2">
        <v>14895.89</v>
      </c>
      <c r="J15" s="2">
        <v>70289.070000000007</v>
      </c>
      <c r="K15" s="2">
        <v>-1850000</v>
      </c>
      <c r="L15" s="2">
        <v>2950000</v>
      </c>
      <c r="M15" t="s">
        <v>190</v>
      </c>
      <c r="N15" s="1">
        <v>16113</v>
      </c>
      <c r="O15" s="2">
        <v>3821.4369999999999</v>
      </c>
      <c r="P15" s="2">
        <v>121057.4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43259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27146</v>
      </c>
      <c r="I16" s="2">
        <v>1.2E-2</v>
      </c>
      <c r="J16" s="2">
        <v>0.108</v>
      </c>
      <c r="K16" s="2">
        <v>0</v>
      </c>
      <c r="L16" s="2">
        <v>1</v>
      </c>
      <c r="M16" t="s">
        <v>21</v>
      </c>
      <c r="N16" s="1">
        <v>16113</v>
      </c>
      <c r="O16">
        <v>1.6E-2</v>
      </c>
      <c r="P16">
        <v>0.126</v>
      </c>
      <c r="Q16">
        <v>0</v>
      </c>
      <c r="R16">
        <v>1</v>
      </c>
    </row>
    <row r="17" spans="1:18" x14ac:dyDescent="0.25">
      <c r="A17" t="s">
        <v>22</v>
      </c>
      <c r="B17" s="1">
        <v>43259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27146</v>
      </c>
      <c r="I17" s="2">
        <v>3.5999999999999997E-2</v>
      </c>
      <c r="J17" s="2">
        <v>0.187</v>
      </c>
      <c r="K17" s="1">
        <v>0</v>
      </c>
      <c r="L17" s="1">
        <v>1</v>
      </c>
      <c r="M17" t="s">
        <v>22</v>
      </c>
      <c r="N17" s="1">
        <v>16113</v>
      </c>
      <c r="O17">
        <v>3.5000000000000003E-2</v>
      </c>
      <c r="P17">
        <v>0.184</v>
      </c>
      <c r="Q17">
        <v>0</v>
      </c>
      <c r="R17">
        <v>1</v>
      </c>
    </row>
    <row r="18" spans="1:18" x14ac:dyDescent="0.25">
      <c r="A18" t="s">
        <v>23</v>
      </c>
      <c r="B18" s="1">
        <v>43259</v>
      </c>
      <c r="C18">
        <v>7.0000000000000001E-3</v>
      </c>
      <c r="D18">
        <v>8.4000000000000005E-2</v>
      </c>
      <c r="E18">
        <v>0</v>
      </c>
      <c r="F18">
        <v>1</v>
      </c>
      <c r="G18" t="s">
        <v>23</v>
      </c>
      <c r="H18" s="1">
        <v>27146</v>
      </c>
      <c r="I18">
        <v>8.0000000000000002E-3</v>
      </c>
      <c r="J18">
        <v>8.7999999999999995E-2</v>
      </c>
      <c r="K18">
        <v>0</v>
      </c>
      <c r="L18">
        <v>1</v>
      </c>
      <c r="M18" t="s">
        <v>23</v>
      </c>
      <c r="N18" s="1">
        <v>16113</v>
      </c>
      <c r="O18">
        <v>6.0000000000000001E-3</v>
      </c>
      <c r="P18">
        <v>7.6999999999999999E-2</v>
      </c>
      <c r="Q18">
        <v>0</v>
      </c>
      <c r="R18">
        <v>1</v>
      </c>
    </row>
    <row r="19" spans="1:18" x14ac:dyDescent="0.25">
      <c r="A19" t="s">
        <v>24</v>
      </c>
      <c r="B19" s="1">
        <v>43259</v>
      </c>
      <c r="C19">
        <v>9.0999999999999998E-2</v>
      </c>
      <c r="D19">
        <v>0.28799999999999998</v>
      </c>
      <c r="E19">
        <v>0</v>
      </c>
      <c r="F19">
        <v>1</v>
      </c>
      <c r="G19" t="s">
        <v>24</v>
      </c>
      <c r="H19" s="1">
        <v>27146</v>
      </c>
      <c r="I19">
        <v>9.5000000000000001E-2</v>
      </c>
      <c r="J19">
        <v>0.29299999999999998</v>
      </c>
      <c r="K19">
        <v>0</v>
      </c>
      <c r="L19">
        <v>1</v>
      </c>
      <c r="M19" t="s">
        <v>24</v>
      </c>
      <c r="N19" s="1">
        <v>16113</v>
      </c>
      <c r="O19">
        <v>8.5000000000000006E-2</v>
      </c>
      <c r="P19">
        <v>0.27800000000000002</v>
      </c>
      <c r="Q19">
        <v>0</v>
      </c>
      <c r="R19">
        <v>1</v>
      </c>
    </row>
    <row r="20" spans="1:18" x14ac:dyDescent="0.25">
      <c r="A20" t="s">
        <v>25</v>
      </c>
      <c r="B20" s="1">
        <v>43259</v>
      </c>
      <c r="C20">
        <v>0.29099999999999998</v>
      </c>
      <c r="D20">
        <v>0.45400000000000001</v>
      </c>
      <c r="E20">
        <v>0</v>
      </c>
      <c r="F20">
        <v>1</v>
      </c>
      <c r="G20" t="s">
        <v>25</v>
      </c>
      <c r="H20" s="1">
        <v>27146</v>
      </c>
      <c r="I20">
        <v>0.27900000000000003</v>
      </c>
      <c r="J20">
        <v>0.44800000000000001</v>
      </c>
      <c r="K20">
        <v>0</v>
      </c>
      <c r="L20">
        <v>1</v>
      </c>
      <c r="M20" t="s">
        <v>25</v>
      </c>
      <c r="N20" s="1">
        <v>16113</v>
      </c>
      <c r="O20">
        <v>0.312</v>
      </c>
      <c r="P20">
        <v>0.46300000000000002</v>
      </c>
      <c r="Q20">
        <v>0</v>
      </c>
      <c r="R20">
        <v>1</v>
      </c>
    </row>
    <row r="21" spans="1:18" x14ac:dyDescent="0.25">
      <c r="A21" t="s">
        <v>26</v>
      </c>
      <c r="B21" s="1">
        <v>43259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27146</v>
      </c>
      <c r="I21">
        <v>0.16900000000000001</v>
      </c>
      <c r="J21">
        <v>0.375</v>
      </c>
      <c r="K21">
        <v>0</v>
      </c>
      <c r="L21">
        <v>1</v>
      </c>
      <c r="M21" t="s">
        <v>26</v>
      </c>
      <c r="N21" s="1">
        <v>16113</v>
      </c>
      <c r="O21">
        <v>0.14000000000000001</v>
      </c>
      <c r="P21">
        <v>0.34699999999999998</v>
      </c>
      <c r="Q21">
        <v>0</v>
      </c>
      <c r="R21">
        <v>1</v>
      </c>
    </row>
    <row r="22" spans="1:18" x14ac:dyDescent="0.25">
      <c r="A22" t="s">
        <v>27</v>
      </c>
      <c r="B22" s="1">
        <v>43259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27146</v>
      </c>
      <c r="I22">
        <v>3.5999999999999997E-2</v>
      </c>
      <c r="J22">
        <v>0.187</v>
      </c>
      <c r="K22">
        <v>0</v>
      </c>
      <c r="L22">
        <v>1</v>
      </c>
      <c r="M22" t="s">
        <v>27</v>
      </c>
      <c r="N22" s="1">
        <v>16113</v>
      </c>
      <c r="O22">
        <v>3.5999999999999997E-2</v>
      </c>
      <c r="P22">
        <v>0.188</v>
      </c>
      <c r="Q22">
        <v>0</v>
      </c>
      <c r="R22">
        <v>1</v>
      </c>
    </row>
    <row r="23" spans="1:18" x14ac:dyDescent="0.25">
      <c r="A23" t="s">
        <v>28</v>
      </c>
      <c r="B23" s="1">
        <v>43259</v>
      </c>
      <c r="C23">
        <v>0.42499999999999999</v>
      </c>
      <c r="D23">
        <v>0.49399999999999999</v>
      </c>
      <c r="E23">
        <v>0</v>
      </c>
      <c r="F23">
        <v>1</v>
      </c>
      <c r="G23" t="s">
        <v>28</v>
      </c>
      <c r="H23" s="1">
        <v>27146</v>
      </c>
      <c r="I23">
        <v>0.42299999999999999</v>
      </c>
      <c r="J23">
        <v>0.49399999999999999</v>
      </c>
      <c r="K23">
        <v>0</v>
      </c>
      <c r="L23">
        <v>1</v>
      </c>
      <c r="M23" t="s">
        <v>28</v>
      </c>
      <c r="N23" s="1">
        <v>16113</v>
      </c>
      <c r="O23">
        <v>0.42899999999999999</v>
      </c>
      <c r="P23">
        <v>0.495</v>
      </c>
      <c r="Q23">
        <v>0</v>
      </c>
      <c r="R23">
        <v>1</v>
      </c>
    </row>
    <row r="24" spans="1:18" x14ac:dyDescent="0.25">
      <c r="A24" t="s">
        <v>29</v>
      </c>
      <c r="B24" s="1">
        <v>43259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27146</v>
      </c>
      <c r="I24">
        <v>8.9999999999999993E-3</v>
      </c>
      <c r="J24">
        <v>9.4E-2</v>
      </c>
      <c r="K24">
        <v>0</v>
      </c>
      <c r="L24">
        <v>1</v>
      </c>
      <c r="M24" t="s">
        <v>29</v>
      </c>
      <c r="N24" s="1">
        <v>16113</v>
      </c>
      <c r="O24">
        <v>8.9999999999999993E-3</v>
      </c>
      <c r="P24">
        <v>9.1999999999999998E-2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43259</v>
      </c>
      <c r="C25">
        <v>1.9E-2</v>
      </c>
      <c r="D25">
        <v>0.13500000000000001</v>
      </c>
      <c r="E25">
        <v>0</v>
      </c>
      <c r="F25">
        <v>1</v>
      </c>
      <c r="G25" t="s">
        <v>30</v>
      </c>
      <c r="H25" s="1">
        <v>27146</v>
      </c>
      <c r="I25">
        <v>1.6E-2</v>
      </c>
      <c r="J25">
        <v>0.125</v>
      </c>
      <c r="K25">
        <v>0</v>
      </c>
      <c r="L25">
        <v>1</v>
      </c>
      <c r="M25" t="s">
        <v>30</v>
      </c>
      <c r="N25" s="1">
        <v>16113</v>
      </c>
      <c r="O25">
        <v>2.3E-2</v>
      </c>
      <c r="P25">
        <v>0.151</v>
      </c>
      <c r="Q25">
        <v>0</v>
      </c>
      <c r="R25">
        <v>1</v>
      </c>
    </row>
    <row r="26" spans="1:18" x14ac:dyDescent="0.25">
      <c r="A26" t="s">
        <v>31</v>
      </c>
      <c r="B26" s="1">
        <v>43259</v>
      </c>
      <c r="C26">
        <v>4.4999999999999998E-2</v>
      </c>
      <c r="D26">
        <v>0.20599999999999999</v>
      </c>
      <c r="E26">
        <v>0</v>
      </c>
      <c r="F26">
        <v>1</v>
      </c>
      <c r="G26" t="s">
        <v>31</v>
      </c>
      <c r="H26" s="1">
        <v>27146</v>
      </c>
      <c r="I26">
        <v>4.5999999999999999E-2</v>
      </c>
      <c r="J26">
        <v>0.21</v>
      </c>
      <c r="K26">
        <v>0</v>
      </c>
      <c r="L26">
        <v>1</v>
      </c>
      <c r="M26" t="s">
        <v>31</v>
      </c>
      <c r="N26" s="1">
        <v>16113</v>
      </c>
      <c r="O26">
        <v>4.1000000000000002E-2</v>
      </c>
      <c r="P26">
        <v>0.19900000000000001</v>
      </c>
      <c r="Q26">
        <v>0</v>
      </c>
      <c r="R26">
        <v>1</v>
      </c>
    </row>
    <row r="27" spans="1:18" x14ac:dyDescent="0.25">
      <c r="A27" t="s">
        <v>32</v>
      </c>
      <c r="B27" s="1">
        <v>43259</v>
      </c>
      <c r="C27">
        <v>0.46</v>
      </c>
      <c r="D27">
        <v>0.498</v>
      </c>
      <c r="E27">
        <v>0</v>
      </c>
      <c r="F27">
        <v>1</v>
      </c>
      <c r="G27" t="s">
        <v>32</v>
      </c>
      <c r="H27" s="1">
        <v>27146</v>
      </c>
      <c r="I27">
        <v>0.45900000000000002</v>
      </c>
      <c r="J27">
        <v>0.498</v>
      </c>
      <c r="K27">
        <v>0</v>
      </c>
      <c r="L27">
        <v>1</v>
      </c>
      <c r="M27" t="s">
        <v>32</v>
      </c>
      <c r="N27" s="1">
        <v>16113</v>
      </c>
      <c r="O27">
        <v>0.46200000000000002</v>
      </c>
      <c r="P27">
        <v>0.499</v>
      </c>
      <c r="Q27">
        <v>0</v>
      </c>
      <c r="R27">
        <v>1</v>
      </c>
    </row>
    <row r="28" spans="1:18" x14ac:dyDescent="0.25">
      <c r="A28" t="s">
        <v>33</v>
      </c>
      <c r="B28" s="1">
        <v>43259</v>
      </c>
      <c r="C28">
        <v>37.308999999999997</v>
      </c>
      <c r="D28">
        <v>19.748999999999999</v>
      </c>
      <c r="E28">
        <v>0</v>
      </c>
      <c r="F28">
        <v>123</v>
      </c>
      <c r="G28" t="s">
        <v>33</v>
      </c>
      <c r="H28" s="1">
        <v>27146</v>
      </c>
      <c r="I28">
        <v>35.456000000000003</v>
      </c>
      <c r="J28">
        <v>19.376000000000001</v>
      </c>
      <c r="K28">
        <v>0</v>
      </c>
      <c r="L28">
        <v>112</v>
      </c>
      <c r="M28" t="s">
        <v>33</v>
      </c>
      <c r="N28" s="1">
        <v>16113</v>
      </c>
      <c r="O28">
        <v>40.432000000000002</v>
      </c>
      <c r="P28">
        <v>19.977</v>
      </c>
      <c r="Q28">
        <v>0</v>
      </c>
      <c r="R28">
        <v>123</v>
      </c>
    </row>
    <row r="29" spans="1:18" x14ac:dyDescent="0.25">
      <c r="A29" t="s">
        <v>34</v>
      </c>
      <c r="B29" s="1">
        <v>43259</v>
      </c>
      <c r="C29">
        <v>1.782</v>
      </c>
      <c r="D29">
        <v>1.569</v>
      </c>
      <c r="E29">
        <v>0</v>
      </c>
      <c r="F29">
        <v>15.129</v>
      </c>
      <c r="G29" t="s">
        <v>34</v>
      </c>
      <c r="H29" s="1">
        <v>27146</v>
      </c>
      <c r="I29">
        <v>1.633</v>
      </c>
      <c r="J29">
        <v>1.484</v>
      </c>
      <c r="K29">
        <v>0</v>
      </c>
      <c r="L29">
        <v>12.544</v>
      </c>
      <c r="M29" t="s">
        <v>34</v>
      </c>
      <c r="N29" s="1">
        <v>16113</v>
      </c>
      <c r="O29">
        <v>2.0339999999999998</v>
      </c>
      <c r="P29">
        <v>1.673</v>
      </c>
      <c r="Q29">
        <v>0</v>
      </c>
      <c r="R29">
        <v>15.129</v>
      </c>
    </row>
    <row r="30" spans="1:18" x14ac:dyDescent="0.25">
      <c r="A30" t="s">
        <v>35</v>
      </c>
      <c r="B30" s="1">
        <v>43259</v>
      </c>
      <c r="C30">
        <v>3.2170000000000001</v>
      </c>
      <c r="D30">
        <v>9.6039999999999992</v>
      </c>
      <c r="E30">
        <v>0</v>
      </c>
      <c r="F30">
        <v>94</v>
      </c>
      <c r="G30" t="s">
        <v>35</v>
      </c>
      <c r="H30" s="1">
        <v>27146</v>
      </c>
      <c r="I30">
        <v>2.9140000000000001</v>
      </c>
      <c r="J30">
        <v>8.9580000000000002</v>
      </c>
      <c r="K30">
        <v>0</v>
      </c>
      <c r="L30">
        <v>88</v>
      </c>
      <c r="M30" t="s">
        <v>35</v>
      </c>
      <c r="N30" s="1">
        <v>16113</v>
      </c>
      <c r="O30">
        <v>3.7280000000000002</v>
      </c>
      <c r="P30">
        <v>10.585000000000001</v>
      </c>
      <c r="Q30">
        <v>0</v>
      </c>
      <c r="R30">
        <v>94</v>
      </c>
    </row>
    <row r="31" spans="1:18" x14ac:dyDescent="0.25">
      <c r="A31" t="s">
        <v>18</v>
      </c>
      <c r="B31" s="1">
        <v>43259</v>
      </c>
      <c r="C31" s="2">
        <v>1480.087</v>
      </c>
      <c r="D31">
        <v>999.78800000000001</v>
      </c>
      <c r="E31">
        <v>175</v>
      </c>
      <c r="F31" s="1">
        <v>23350</v>
      </c>
      <c r="G31" t="s">
        <v>18</v>
      </c>
      <c r="H31" s="1">
        <v>27146</v>
      </c>
      <c r="I31" s="2">
        <v>1463.884</v>
      </c>
      <c r="J31">
        <v>959.98599999999999</v>
      </c>
      <c r="K31">
        <v>195</v>
      </c>
      <c r="L31" s="1">
        <v>23350</v>
      </c>
      <c r="M31" t="s">
        <v>18</v>
      </c>
      <c r="N31" s="1">
        <v>16113</v>
      </c>
      <c r="O31" s="2">
        <v>1507.385</v>
      </c>
      <c r="P31" s="2">
        <v>1062.953</v>
      </c>
      <c r="Q31">
        <v>175</v>
      </c>
      <c r="R31" s="1">
        <v>18919</v>
      </c>
    </row>
    <row r="32" spans="1:18" x14ac:dyDescent="0.25">
      <c r="A32" t="s">
        <v>37</v>
      </c>
      <c r="B32" s="1">
        <v>43259</v>
      </c>
      <c r="C32">
        <v>2.9929999999999999</v>
      </c>
      <c r="D32">
        <v>5.8659999999999997</v>
      </c>
      <c r="E32">
        <v>1.4E-2</v>
      </c>
      <c r="F32">
        <v>128.91800000000001</v>
      </c>
      <c r="G32" t="s">
        <v>37</v>
      </c>
      <c r="H32" s="1">
        <v>27146</v>
      </c>
      <c r="I32" s="2">
        <v>3.073</v>
      </c>
      <c r="J32">
        <v>5.8810000000000002</v>
      </c>
      <c r="K32">
        <v>1.4E-2</v>
      </c>
      <c r="L32" s="1">
        <v>128.91800000000001</v>
      </c>
      <c r="M32" t="s">
        <v>37</v>
      </c>
      <c r="N32" s="1">
        <v>16113</v>
      </c>
      <c r="O32">
        <v>2.86</v>
      </c>
      <c r="P32">
        <v>5.8380000000000001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43259</v>
      </c>
      <c r="C33">
        <v>2.0859999999999999</v>
      </c>
      <c r="D33">
        <v>2.4409999999999998</v>
      </c>
      <c r="E33">
        <v>0</v>
      </c>
      <c r="F33">
        <v>13.552</v>
      </c>
      <c r="G33" t="s">
        <v>164</v>
      </c>
      <c r="H33" s="1">
        <v>27146</v>
      </c>
      <c r="I33" s="2">
        <v>2.1429999999999998</v>
      </c>
      <c r="J33">
        <v>2.496</v>
      </c>
      <c r="K33">
        <v>0</v>
      </c>
      <c r="L33" s="1">
        <v>13.552</v>
      </c>
      <c r="M33" t="s">
        <v>164</v>
      </c>
      <c r="N33" s="1">
        <v>16113</v>
      </c>
      <c r="O33">
        <v>1.9890000000000001</v>
      </c>
      <c r="P33">
        <v>2.3420000000000001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43259</v>
      </c>
      <c r="C34">
        <v>0.42299999999999999</v>
      </c>
      <c r="D34">
        <v>0.312</v>
      </c>
      <c r="E34">
        <v>0</v>
      </c>
      <c r="F34">
        <v>3.56</v>
      </c>
      <c r="G34" t="s">
        <v>39</v>
      </c>
      <c r="H34" s="1">
        <v>27146</v>
      </c>
      <c r="I34">
        <v>0.42399999999999999</v>
      </c>
      <c r="J34">
        <v>0.309</v>
      </c>
      <c r="K34">
        <v>0</v>
      </c>
      <c r="L34">
        <v>3.302</v>
      </c>
      <c r="M34" t="s">
        <v>39</v>
      </c>
      <c r="N34" s="1">
        <v>16113</v>
      </c>
      <c r="O34">
        <v>0.42199999999999999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43259</v>
      </c>
      <c r="C35">
        <v>4.05</v>
      </c>
      <c r="D35">
        <v>3.9359999999999999</v>
      </c>
      <c r="E35">
        <v>0.01</v>
      </c>
      <c r="F35">
        <v>20.997</v>
      </c>
      <c r="G35" t="s">
        <v>40</v>
      </c>
      <c r="H35" s="1">
        <v>27146</v>
      </c>
      <c r="I35">
        <v>4.0679999999999996</v>
      </c>
      <c r="J35">
        <v>3.8820000000000001</v>
      </c>
      <c r="K35">
        <v>0.01</v>
      </c>
      <c r="L35">
        <v>20.997</v>
      </c>
      <c r="M35" t="s">
        <v>40</v>
      </c>
      <c r="N35" s="1">
        <v>16113</v>
      </c>
      <c r="O35">
        <v>4.0199999999999996</v>
      </c>
      <c r="P35">
        <v>4.0250000000000004</v>
      </c>
      <c r="Q35">
        <v>1.4999999999999999E-2</v>
      </c>
      <c r="R35">
        <v>20.927</v>
      </c>
    </row>
    <row r="36" spans="1:18" x14ac:dyDescent="0.25">
      <c r="A36" t="s">
        <v>41</v>
      </c>
      <c r="B36" s="1">
        <v>43259</v>
      </c>
      <c r="C36">
        <v>9.1059999999999999</v>
      </c>
      <c r="D36">
        <v>5.6079999999999997</v>
      </c>
      <c r="E36">
        <v>0.32300000000000001</v>
      </c>
      <c r="F36">
        <v>30.986000000000001</v>
      </c>
      <c r="G36" t="s">
        <v>41</v>
      </c>
      <c r="H36" s="1">
        <v>27146</v>
      </c>
      <c r="I36">
        <v>9.109</v>
      </c>
      <c r="J36">
        <v>5.61</v>
      </c>
      <c r="K36">
        <v>0.32300000000000001</v>
      </c>
      <c r="L36">
        <v>30.003</v>
      </c>
      <c r="M36" t="s">
        <v>41</v>
      </c>
      <c r="N36" s="1">
        <v>16113</v>
      </c>
      <c r="O36">
        <v>9.1</v>
      </c>
      <c r="P36">
        <v>5.6070000000000002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43259</v>
      </c>
      <c r="C37">
        <v>1.157</v>
      </c>
      <c r="D37">
        <v>4.5830000000000002</v>
      </c>
      <c r="E37">
        <v>1.6E-2</v>
      </c>
      <c r="F37">
        <v>196.49</v>
      </c>
      <c r="G37" t="s">
        <v>173</v>
      </c>
      <c r="H37" s="1">
        <v>27146</v>
      </c>
      <c r="I37">
        <v>1.1779999999999999</v>
      </c>
      <c r="J37">
        <v>4.819</v>
      </c>
      <c r="K37">
        <v>2.5999999999999999E-2</v>
      </c>
      <c r="L37">
        <v>196.49</v>
      </c>
      <c r="M37" t="s">
        <v>173</v>
      </c>
      <c r="N37" s="1">
        <v>16113</v>
      </c>
      <c r="O37">
        <v>1.123</v>
      </c>
      <c r="P37">
        <v>4.1559999999999997</v>
      </c>
      <c r="Q37">
        <v>1.6E-2</v>
      </c>
      <c r="R37">
        <v>196.49</v>
      </c>
    </row>
    <row r="38" spans="1:18" x14ac:dyDescent="0.25">
      <c r="A38" t="s">
        <v>174</v>
      </c>
      <c r="B38" s="1">
        <v>43259</v>
      </c>
      <c r="C38">
        <v>2.19</v>
      </c>
      <c r="D38">
        <v>1.593</v>
      </c>
      <c r="E38">
        <v>3.6999999999999998E-2</v>
      </c>
      <c r="F38">
        <v>17.684000000000001</v>
      </c>
      <c r="G38" t="s">
        <v>174</v>
      </c>
      <c r="H38" s="1">
        <v>27146</v>
      </c>
      <c r="I38">
        <v>2.1850000000000001</v>
      </c>
      <c r="J38">
        <v>1.5820000000000001</v>
      </c>
      <c r="K38">
        <v>4.2999999999999997E-2</v>
      </c>
      <c r="L38">
        <v>17.684000000000001</v>
      </c>
      <c r="M38" t="s">
        <v>174</v>
      </c>
      <c r="N38" s="1">
        <v>16113</v>
      </c>
      <c r="O38">
        <v>2.1989999999999998</v>
      </c>
      <c r="P38">
        <v>1.611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43259</v>
      </c>
      <c r="C39">
        <v>2.157</v>
      </c>
      <c r="D39">
        <v>1.5189999999999999</v>
      </c>
      <c r="E39">
        <v>3.4000000000000002E-2</v>
      </c>
      <c r="F39">
        <v>17.684000000000001</v>
      </c>
      <c r="G39" t="s">
        <v>175</v>
      </c>
      <c r="H39" s="1">
        <v>27146</v>
      </c>
      <c r="I39">
        <v>2.1659999999999999</v>
      </c>
      <c r="J39">
        <v>1.4970000000000001</v>
      </c>
      <c r="K39">
        <v>3.4000000000000002E-2</v>
      </c>
      <c r="L39">
        <v>17.684000000000001</v>
      </c>
      <c r="M39" t="s">
        <v>175</v>
      </c>
      <c r="N39" s="1">
        <v>16113</v>
      </c>
      <c r="O39">
        <v>2.1419999999999999</v>
      </c>
      <c r="P39">
        <v>1.556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43259</v>
      </c>
      <c r="C40">
        <v>0.25</v>
      </c>
      <c r="D40">
        <v>0.17</v>
      </c>
      <c r="E40">
        <v>0</v>
      </c>
      <c r="F40">
        <v>1</v>
      </c>
      <c r="G40" t="s">
        <v>42</v>
      </c>
      <c r="H40" s="1">
        <v>27146</v>
      </c>
      <c r="I40">
        <v>0.254</v>
      </c>
      <c r="J40">
        <v>0.16600000000000001</v>
      </c>
      <c r="K40">
        <v>0</v>
      </c>
      <c r="L40">
        <v>1</v>
      </c>
      <c r="M40" t="s">
        <v>42</v>
      </c>
      <c r="N40" s="1">
        <v>16113</v>
      </c>
      <c r="O40">
        <v>0.24199999999999999</v>
      </c>
      <c r="P40">
        <v>0.17599999999999999</v>
      </c>
      <c r="Q40">
        <v>0</v>
      </c>
      <c r="R40">
        <v>0.91800000000000004</v>
      </c>
    </row>
    <row r="41" spans="1:18" x14ac:dyDescent="0.25">
      <c r="A41" t="s">
        <v>43</v>
      </c>
      <c r="B41" s="1">
        <v>43259</v>
      </c>
      <c r="C41">
        <v>2.1000000000000001E-2</v>
      </c>
      <c r="D41">
        <v>3.4000000000000002E-2</v>
      </c>
      <c r="E41">
        <v>0</v>
      </c>
      <c r="F41">
        <v>0.77600000000000002</v>
      </c>
      <c r="G41" t="s">
        <v>43</v>
      </c>
      <c r="H41" s="1">
        <v>27146</v>
      </c>
      <c r="I41">
        <v>2.1999999999999999E-2</v>
      </c>
      <c r="J41">
        <v>3.2000000000000001E-2</v>
      </c>
      <c r="K41">
        <v>0</v>
      </c>
      <c r="L41">
        <v>0.77600000000000002</v>
      </c>
      <c r="M41" t="s">
        <v>43</v>
      </c>
      <c r="N41" s="1">
        <v>16113</v>
      </c>
      <c r="O41">
        <v>1.9E-2</v>
      </c>
      <c r="P41">
        <v>3.6999999999999998E-2</v>
      </c>
      <c r="Q41">
        <v>0</v>
      </c>
      <c r="R41">
        <v>0.77600000000000002</v>
      </c>
    </row>
    <row r="42" spans="1:18" x14ac:dyDescent="0.25">
      <c r="A42" t="s">
        <v>44</v>
      </c>
      <c r="B42" s="1">
        <v>43259</v>
      </c>
      <c r="C42">
        <v>0.43</v>
      </c>
      <c r="D42">
        <v>0.189</v>
      </c>
      <c r="E42">
        <v>0</v>
      </c>
      <c r="F42">
        <v>1</v>
      </c>
      <c r="G42" t="s">
        <v>44</v>
      </c>
      <c r="H42" s="1">
        <v>27146</v>
      </c>
      <c r="I42">
        <v>0.42399999999999999</v>
      </c>
      <c r="J42">
        <v>0.183</v>
      </c>
      <c r="K42">
        <v>0</v>
      </c>
      <c r="L42">
        <v>1</v>
      </c>
      <c r="M42" t="s">
        <v>44</v>
      </c>
      <c r="N42" s="1">
        <v>16113</v>
      </c>
      <c r="O42">
        <v>0.441</v>
      </c>
      <c r="P42">
        <v>0.19800000000000001</v>
      </c>
      <c r="Q42">
        <v>0</v>
      </c>
      <c r="R42">
        <v>1</v>
      </c>
    </row>
    <row r="43" spans="1:18" x14ac:dyDescent="0.25">
      <c r="A43" t="s">
        <v>45</v>
      </c>
      <c r="B43" s="1">
        <v>43259</v>
      </c>
      <c r="C43">
        <v>6.9000000000000006E-2</v>
      </c>
      <c r="D43">
        <v>0.09</v>
      </c>
      <c r="E43">
        <v>0</v>
      </c>
      <c r="F43">
        <v>0.71</v>
      </c>
      <c r="G43" t="s">
        <v>45</v>
      </c>
      <c r="H43" s="1">
        <v>27146</v>
      </c>
      <c r="I43">
        <v>6.9000000000000006E-2</v>
      </c>
      <c r="J43">
        <v>8.3000000000000004E-2</v>
      </c>
      <c r="K43">
        <v>0</v>
      </c>
      <c r="L43">
        <v>0.60799999999999998</v>
      </c>
      <c r="M43" t="s">
        <v>45</v>
      </c>
      <c r="N43" s="1">
        <v>16113</v>
      </c>
      <c r="O43">
        <v>6.8000000000000005E-2</v>
      </c>
      <c r="P43">
        <v>0.1</v>
      </c>
      <c r="Q43">
        <v>0</v>
      </c>
      <c r="R43">
        <v>0.71</v>
      </c>
    </row>
    <row r="44" spans="1:18" x14ac:dyDescent="0.25">
      <c r="A44" t="s">
        <v>46</v>
      </c>
      <c r="B44" s="1">
        <v>43259</v>
      </c>
      <c r="C44">
        <v>0.871</v>
      </c>
      <c r="D44">
        <v>0.16800000000000001</v>
      </c>
      <c r="E44">
        <v>1.2E-2</v>
      </c>
      <c r="F44">
        <v>1</v>
      </c>
      <c r="G44" t="s">
        <v>46</v>
      </c>
      <c r="H44" s="1">
        <v>27146</v>
      </c>
      <c r="I44">
        <v>0.87</v>
      </c>
      <c r="J44">
        <v>0.17100000000000001</v>
      </c>
      <c r="K44">
        <v>1.2E-2</v>
      </c>
      <c r="L44">
        <v>1</v>
      </c>
      <c r="M44" t="s">
        <v>46</v>
      </c>
      <c r="N44" s="1">
        <v>16113</v>
      </c>
      <c r="O44">
        <v>0.874</v>
      </c>
      <c r="P44">
        <v>0.16300000000000001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43259</v>
      </c>
      <c r="C45">
        <v>0.128</v>
      </c>
      <c r="D45">
        <v>0.16600000000000001</v>
      </c>
      <c r="E45">
        <v>0</v>
      </c>
      <c r="F45">
        <v>0.93</v>
      </c>
      <c r="G45" t="s">
        <v>47</v>
      </c>
      <c r="H45" s="1">
        <v>27146</v>
      </c>
      <c r="I45">
        <v>0.129</v>
      </c>
      <c r="J45">
        <v>0.17</v>
      </c>
      <c r="K45">
        <v>0</v>
      </c>
      <c r="L45">
        <v>0.93</v>
      </c>
      <c r="M45" t="s">
        <v>47</v>
      </c>
      <c r="N45" s="1">
        <v>16113</v>
      </c>
      <c r="O45">
        <v>0.125</v>
      </c>
      <c r="P45">
        <v>0.161</v>
      </c>
      <c r="Q45">
        <v>0</v>
      </c>
      <c r="R45">
        <v>0.92600000000000005</v>
      </c>
    </row>
    <row r="46" spans="1:18" x14ac:dyDescent="0.25">
      <c r="A46" t="s">
        <v>48</v>
      </c>
      <c r="B46" s="1">
        <v>43259</v>
      </c>
      <c r="C46">
        <v>0.63400000000000001</v>
      </c>
      <c r="D46">
        <v>0.20799999999999999</v>
      </c>
      <c r="E46">
        <v>0</v>
      </c>
      <c r="F46">
        <v>1</v>
      </c>
      <c r="G46" t="s">
        <v>48</v>
      </c>
      <c r="H46" s="1">
        <v>27146</v>
      </c>
      <c r="I46">
        <v>0.624</v>
      </c>
      <c r="J46">
        <v>0.20599999999999999</v>
      </c>
      <c r="K46">
        <v>0</v>
      </c>
      <c r="L46">
        <v>1</v>
      </c>
      <c r="M46" t="s">
        <v>48</v>
      </c>
      <c r="N46" s="1">
        <v>16113</v>
      </c>
      <c r="O46">
        <v>0.65100000000000002</v>
      </c>
      <c r="P46">
        <v>0.21099999999999999</v>
      </c>
      <c r="Q46">
        <v>0</v>
      </c>
      <c r="R46">
        <v>1</v>
      </c>
    </row>
    <row r="47" spans="1:18" x14ac:dyDescent="0.25">
      <c r="A47" t="s">
        <v>49</v>
      </c>
      <c r="B47" s="1">
        <v>43259</v>
      </c>
      <c r="C47">
        <v>0.36499999999999999</v>
      </c>
      <c r="D47">
        <v>0.20799999999999999</v>
      </c>
      <c r="E47">
        <v>0</v>
      </c>
      <c r="F47">
        <v>1</v>
      </c>
      <c r="G47" t="s">
        <v>49</v>
      </c>
      <c r="H47" s="1">
        <v>27146</v>
      </c>
      <c r="I47">
        <v>0.375</v>
      </c>
      <c r="J47">
        <v>0.20599999999999999</v>
      </c>
      <c r="K47">
        <v>0</v>
      </c>
      <c r="L47">
        <v>1</v>
      </c>
      <c r="M47" t="s">
        <v>49</v>
      </c>
      <c r="N47" s="1">
        <v>16113</v>
      </c>
      <c r="O47">
        <v>0.34699999999999998</v>
      </c>
      <c r="P47">
        <v>0.21099999999999999</v>
      </c>
      <c r="Q47">
        <v>0</v>
      </c>
      <c r="R47">
        <v>1</v>
      </c>
    </row>
    <row r="48" spans="1:18" x14ac:dyDescent="0.25">
      <c r="A48" t="s">
        <v>50</v>
      </c>
      <c r="B48" s="1">
        <v>43259</v>
      </c>
      <c r="C48">
        <v>16.745999999999999</v>
      </c>
      <c r="D48">
        <v>46.05</v>
      </c>
      <c r="E48">
        <v>0</v>
      </c>
      <c r="F48" s="1">
        <v>1000</v>
      </c>
      <c r="G48" t="s">
        <v>50</v>
      </c>
      <c r="H48" s="1">
        <v>27146</v>
      </c>
      <c r="I48">
        <v>17.460999999999999</v>
      </c>
      <c r="J48">
        <v>45.436</v>
      </c>
      <c r="K48">
        <v>0</v>
      </c>
      <c r="L48">
        <v>667</v>
      </c>
      <c r="M48" t="s">
        <v>50</v>
      </c>
      <c r="N48" s="1">
        <v>16113</v>
      </c>
      <c r="O48">
        <v>15.541</v>
      </c>
      <c r="P48">
        <v>47.043999999999997</v>
      </c>
      <c r="Q48">
        <v>0</v>
      </c>
      <c r="R48" s="1">
        <v>1000</v>
      </c>
    </row>
    <row r="49" spans="1:18" x14ac:dyDescent="0.25">
      <c r="A49" t="s">
        <v>51</v>
      </c>
      <c r="B49" s="1">
        <v>43259</v>
      </c>
      <c r="C49">
        <v>0.69799999999999995</v>
      </c>
      <c r="D49">
        <v>1.5049999999999999</v>
      </c>
      <c r="E49">
        <v>0</v>
      </c>
      <c r="F49">
        <v>36</v>
      </c>
      <c r="G49" t="s">
        <v>51</v>
      </c>
      <c r="H49" s="1">
        <v>27146</v>
      </c>
      <c r="I49">
        <v>0.66600000000000004</v>
      </c>
      <c r="J49">
        <v>1.4770000000000001</v>
      </c>
      <c r="K49">
        <v>0</v>
      </c>
      <c r="L49">
        <v>36</v>
      </c>
      <c r="M49" t="s">
        <v>51</v>
      </c>
      <c r="N49" s="1">
        <v>16113</v>
      </c>
      <c r="O49">
        <v>0.752</v>
      </c>
      <c r="P49">
        <v>1.5489999999999999</v>
      </c>
      <c r="Q49">
        <v>0</v>
      </c>
      <c r="R49">
        <v>23</v>
      </c>
    </row>
    <row r="50" spans="1:18" x14ac:dyDescent="0.25">
      <c r="A50" t="s">
        <v>52</v>
      </c>
      <c r="B50" s="1">
        <v>43259</v>
      </c>
      <c r="C50">
        <v>0.38900000000000001</v>
      </c>
      <c r="D50">
        <v>0.48799999999999999</v>
      </c>
      <c r="E50">
        <v>0</v>
      </c>
      <c r="F50">
        <v>1</v>
      </c>
      <c r="G50" t="s">
        <v>52</v>
      </c>
      <c r="H50" s="1">
        <v>27146</v>
      </c>
      <c r="I50">
        <v>0.375</v>
      </c>
      <c r="J50">
        <v>0.48399999999999999</v>
      </c>
      <c r="K50">
        <v>0</v>
      </c>
      <c r="L50">
        <v>1</v>
      </c>
      <c r="M50" t="s">
        <v>52</v>
      </c>
      <c r="N50" s="1">
        <v>16113</v>
      </c>
      <c r="O50">
        <v>0.41299999999999998</v>
      </c>
      <c r="P50">
        <v>0.49199999999999999</v>
      </c>
      <c r="Q50">
        <v>0</v>
      </c>
      <c r="R50">
        <v>1</v>
      </c>
    </row>
    <row r="51" spans="1:18" x14ac:dyDescent="0.25">
      <c r="A51" t="s">
        <v>53</v>
      </c>
      <c r="B51" s="1">
        <v>43259</v>
      </c>
      <c r="C51" s="2">
        <v>2361399</v>
      </c>
      <c r="D51" s="2">
        <v>7647.2809999999999</v>
      </c>
      <c r="E51" s="2">
        <v>2350907</v>
      </c>
      <c r="F51" s="2">
        <v>2400056</v>
      </c>
      <c r="G51" t="s">
        <v>53</v>
      </c>
      <c r="H51" s="1">
        <v>27146</v>
      </c>
      <c r="I51" s="2">
        <v>2361475</v>
      </c>
      <c r="J51" s="2">
        <v>7571.741</v>
      </c>
      <c r="K51" s="2">
        <v>2350907</v>
      </c>
      <c r="L51" s="2">
        <v>2400056</v>
      </c>
      <c r="M51" t="s">
        <v>53</v>
      </c>
      <c r="N51" s="1">
        <v>16113</v>
      </c>
      <c r="O51" s="2">
        <v>2361270</v>
      </c>
      <c r="P51" s="2">
        <v>7771.4369999999999</v>
      </c>
      <c r="Q51" s="2">
        <v>2350948</v>
      </c>
      <c r="R51" s="2">
        <v>2400056</v>
      </c>
    </row>
    <row r="52" spans="1:18" x14ac:dyDescent="0.25">
      <c r="A52" t="s">
        <v>54</v>
      </c>
      <c r="B52" s="1">
        <v>43259</v>
      </c>
      <c r="C52" s="2">
        <v>613185.1</v>
      </c>
      <c r="D52" s="2">
        <v>13161.23</v>
      </c>
      <c r="E52" s="2">
        <v>579824.19999999995</v>
      </c>
      <c r="F52" s="2">
        <v>638667.69999999995</v>
      </c>
      <c r="G52" t="s">
        <v>54</v>
      </c>
      <c r="H52" s="1">
        <v>27146</v>
      </c>
      <c r="I52" s="2">
        <v>612734</v>
      </c>
      <c r="J52" s="2">
        <v>13152.56</v>
      </c>
      <c r="K52" s="2">
        <v>579824.19999999995</v>
      </c>
      <c r="L52" s="2">
        <v>638667.69999999995</v>
      </c>
      <c r="M52" t="s">
        <v>54</v>
      </c>
      <c r="N52" s="1">
        <v>16113</v>
      </c>
      <c r="O52" s="2">
        <v>613944.9</v>
      </c>
      <c r="P52" s="2">
        <v>13141.26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43259</v>
      </c>
      <c r="C53">
        <v>0.54</v>
      </c>
      <c r="D53">
        <v>0.498</v>
      </c>
      <c r="E53">
        <v>0</v>
      </c>
      <c r="F53">
        <v>1</v>
      </c>
      <c r="G53" t="s">
        <v>56</v>
      </c>
      <c r="H53" s="1">
        <v>27146</v>
      </c>
      <c r="I53" s="2">
        <v>0.54100000000000004</v>
      </c>
      <c r="J53" s="2">
        <v>0.498</v>
      </c>
      <c r="K53" s="2">
        <v>0</v>
      </c>
      <c r="L53" s="2">
        <v>1</v>
      </c>
      <c r="M53" t="s">
        <v>56</v>
      </c>
      <c r="N53" s="1">
        <v>16113</v>
      </c>
      <c r="O53">
        <v>0.53800000000000003</v>
      </c>
      <c r="P53">
        <v>0.499</v>
      </c>
      <c r="Q53">
        <v>0</v>
      </c>
      <c r="R53">
        <v>1</v>
      </c>
    </row>
    <row r="54" spans="1:18" x14ac:dyDescent="0.25">
      <c r="A54" t="s">
        <v>57</v>
      </c>
      <c r="B54" s="1">
        <v>43259</v>
      </c>
      <c r="C54">
        <v>0.46</v>
      </c>
      <c r="D54">
        <v>0.498</v>
      </c>
      <c r="E54">
        <v>0</v>
      </c>
      <c r="F54">
        <v>1</v>
      </c>
      <c r="G54" t="s">
        <v>57</v>
      </c>
      <c r="H54" s="1">
        <v>27146</v>
      </c>
      <c r="I54" s="2">
        <v>0.45900000000000002</v>
      </c>
      <c r="J54" s="2">
        <v>0.498</v>
      </c>
      <c r="K54" s="2">
        <v>0</v>
      </c>
      <c r="L54" s="2">
        <v>1</v>
      </c>
      <c r="M54" t="s">
        <v>57</v>
      </c>
      <c r="N54" s="1">
        <v>16113</v>
      </c>
      <c r="O54">
        <v>0.46200000000000002</v>
      </c>
      <c r="P54">
        <v>0.499</v>
      </c>
      <c r="Q54">
        <v>0</v>
      </c>
      <c r="R54">
        <v>1</v>
      </c>
    </row>
    <row r="55" spans="1:18" x14ac:dyDescent="0.25">
      <c r="A55" t="s">
        <v>58</v>
      </c>
      <c r="B55" s="1">
        <v>43259</v>
      </c>
      <c r="C55">
        <v>0.34899999999999998</v>
      </c>
      <c r="D55">
        <v>0.47699999999999998</v>
      </c>
      <c r="E55">
        <v>0</v>
      </c>
      <c r="F55">
        <v>1</v>
      </c>
      <c r="G55" t="s">
        <v>58</v>
      </c>
      <c r="H55" s="1">
        <v>27146</v>
      </c>
      <c r="I55">
        <v>0.35099999999999998</v>
      </c>
      <c r="J55">
        <v>0.47699999999999998</v>
      </c>
      <c r="K55">
        <v>0</v>
      </c>
      <c r="L55">
        <v>1</v>
      </c>
      <c r="M55" t="s">
        <v>58</v>
      </c>
      <c r="N55" s="1">
        <v>16113</v>
      </c>
      <c r="O55">
        <v>0.34699999999999998</v>
      </c>
      <c r="P55">
        <v>0.47599999999999998</v>
      </c>
      <c r="Q55">
        <v>0</v>
      </c>
      <c r="R55">
        <v>1</v>
      </c>
    </row>
    <row r="56" spans="1:18" x14ac:dyDescent="0.25">
      <c r="A56" t="s">
        <v>59</v>
      </c>
      <c r="B56" s="1">
        <v>43259</v>
      </c>
      <c r="C56">
        <v>0.33500000000000002</v>
      </c>
      <c r="D56">
        <v>0.47199999999999998</v>
      </c>
      <c r="E56">
        <v>0</v>
      </c>
      <c r="F56">
        <v>1</v>
      </c>
      <c r="G56" t="s">
        <v>59</v>
      </c>
      <c r="H56" s="1">
        <v>27146</v>
      </c>
      <c r="I56">
        <v>0.34799999999999998</v>
      </c>
      <c r="J56">
        <v>0.47599999999999998</v>
      </c>
      <c r="K56">
        <v>0</v>
      </c>
      <c r="L56">
        <v>1</v>
      </c>
      <c r="M56" t="s">
        <v>59</v>
      </c>
      <c r="N56" s="1">
        <v>16113</v>
      </c>
      <c r="O56">
        <v>0.315</v>
      </c>
      <c r="P56">
        <v>0.46400000000000002</v>
      </c>
      <c r="Q56">
        <v>0</v>
      </c>
      <c r="R56">
        <v>1</v>
      </c>
    </row>
    <row r="57" spans="1:18" x14ac:dyDescent="0.25">
      <c r="A57" t="s">
        <v>60</v>
      </c>
      <c r="B57" s="1">
        <v>43259</v>
      </c>
      <c r="C57">
        <v>0.315</v>
      </c>
      <c r="D57">
        <v>0.46500000000000002</v>
      </c>
      <c r="E57">
        <v>0</v>
      </c>
      <c r="F57">
        <v>1</v>
      </c>
      <c r="G57" t="s">
        <v>60</v>
      </c>
      <c r="H57" s="1">
        <v>27146</v>
      </c>
      <c r="I57">
        <v>0.30099999999999999</v>
      </c>
      <c r="J57">
        <v>0.45900000000000002</v>
      </c>
      <c r="K57">
        <v>0</v>
      </c>
      <c r="L57">
        <v>1</v>
      </c>
      <c r="M57" t="s">
        <v>60</v>
      </c>
      <c r="N57" s="1">
        <v>16113</v>
      </c>
      <c r="O57">
        <v>0.33900000000000002</v>
      </c>
      <c r="P57">
        <v>0.47299999999999998</v>
      </c>
      <c r="Q57">
        <v>0</v>
      </c>
      <c r="R57">
        <v>1</v>
      </c>
    </row>
    <row r="58" spans="1:18" x14ac:dyDescent="0.25">
      <c r="A58" t="s">
        <v>61</v>
      </c>
      <c r="B58" s="1">
        <v>43259</v>
      </c>
      <c r="C58" s="2">
        <v>2018.818</v>
      </c>
      <c r="D58">
        <v>2</v>
      </c>
      <c r="E58" s="1">
        <v>2016</v>
      </c>
      <c r="F58" s="1">
        <v>2023</v>
      </c>
      <c r="G58" t="s">
        <v>61</v>
      </c>
      <c r="H58" s="1">
        <v>27146</v>
      </c>
      <c r="I58" s="2">
        <v>2017.501</v>
      </c>
      <c r="J58">
        <v>1.163</v>
      </c>
      <c r="K58" s="1">
        <v>2016</v>
      </c>
      <c r="L58" s="1">
        <v>2020</v>
      </c>
      <c r="M58" t="s">
        <v>61</v>
      </c>
      <c r="N58" s="1">
        <v>16113</v>
      </c>
      <c r="O58" s="2">
        <v>2021.0360000000001</v>
      </c>
      <c r="P58">
        <v>0.78900000000000003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43259</v>
      </c>
      <c r="C59">
        <v>0.46</v>
      </c>
      <c r="D59">
        <v>0.498</v>
      </c>
      <c r="E59">
        <v>0</v>
      </c>
      <c r="F59">
        <v>1</v>
      </c>
      <c r="G59" t="s">
        <v>62</v>
      </c>
      <c r="H59" s="1">
        <v>27146</v>
      </c>
      <c r="I59" s="2">
        <v>0.46</v>
      </c>
      <c r="J59">
        <v>0.498</v>
      </c>
      <c r="K59" s="1">
        <v>0</v>
      </c>
      <c r="L59" s="1">
        <v>1</v>
      </c>
      <c r="M59" t="s">
        <v>62</v>
      </c>
      <c r="N59" s="1">
        <v>16113</v>
      </c>
      <c r="O59">
        <v>0.46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43259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27146</v>
      </c>
      <c r="I60" s="2">
        <v>8.0000000000000002E-3</v>
      </c>
      <c r="J60">
        <v>0.09</v>
      </c>
      <c r="K60" s="1">
        <v>0</v>
      </c>
      <c r="L60" s="1">
        <v>1</v>
      </c>
      <c r="M60" t="s">
        <v>63</v>
      </c>
      <c r="N60" s="1">
        <v>16113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43259</v>
      </c>
      <c r="C61">
        <v>3.1E-2</v>
      </c>
      <c r="D61">
        <v>0.17199999999999999</v>
      </c>
      <c r="E61">
        <v>0</v>
      </c>
      <c r="F61">
        <v>1</v>
      </c>
      <c r="G61" t="s">
        <v>64</v>
      </c>
      <c r="H61" s="1">
        <v>27146</v>
      </c>
      <c r="I61">
        <v>2.8000000000000001E-2</v>
      </c>
      <c r="J61">
        <v>0.16600000000000001</v>
      </c>
      <c r="K61">
        <v>0</v>
      </c>
      <c r="L61">
        <v>1</v>
      </c>
      <c r="M61" t="s">
        <v>64</v>
      </c>
      <c r="N61" s="1">
        <v>16113</v>
      </c>
      <c r="O61">
        <v>3.4000000000000002E-2</v>
      </c>
      <c r="P61">
        <v>0.182</v>
      </c>
      <c r="Q61">
        <v>0</v>
      </c>
      <c r="R61">
        <v>1</v>
      </c>
    </row>
    <row r="62" spans="1:18" x14ac:dyDescent="0.25">
      <c r="A62" t="s">
        <v>65</v>
      </c>
      <c r="B62" s="1">
        <v>43259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27146</v>
      </c>
      <c r="I62">
        <v>0.16</v>
      </c>
      <c r="J62">
        <v>0.36699999999999999</v>
      </c>
      <c r="K62">
        <v>0</v>
      </c>
      <c r="L62">
        <v>1</v>
      </c>
      <c r="M62" t="s">
        <v>65</v>
      </c>
      <c r="N62" s="1">
        <v>16113</v>
      </c>
      <c r="O62">
        <v>0.13100000000000001</v>
      </c>
      <c r="P62">
        <v>0.33700000000000002</v>
      </c>
      <c r="Q62">
        <v>0</v>
      </c>
      <c r="R62">
        <v>1</v>
      </c>
    </row>
    <row r="63" spans="1:18" x14ac:dyDescent="0.25">
      <c r="A63" t="s">
        <v>66</v>
      </c>
      <c r="B63" s="1">
        <v>43259</v>
      </c>
      <c r="C63">
        <v>0.16600000000000001</v>
      </c>
      <c r="D63">
        <v>0.372</v>
      </c>
      <c r="E63">
        <v>0</v>
      </c>
      <c r="F63">
        <v>1</v>
      </c>
      <c r="G63" t="s">
        <v>66</v>
      </c>
      <c r="H63" s="1">
        <v>27146</v>
      </c>
      <c r="I63">
        <v>0.16</v>
      </c>
      <c r="J63">
        <v>0.36699999999999999</v>
      </c>
      <c r="K63">
        <v>0</v>
      </c>
      <c r="L63">
        <v>1</v>
      </c>
      <c r="M63" t="s">
        <v>66</v>
      </c>
      <c r="N63" s="1">
        <v>16113</v>
      </c>
      <c r="O63">
        <v>0.17599999999999999</v>
      </c>
      <c r="P63">
        <v>0.38100000000000001</v>
      </c>
      <c r="Q63">
        <v>0</v>
      </c>
      <c r="R63">
        <v>1</v>
      </c>
    </row>
    <row r="64" spans="1:18" x14ac:dyDescent="0.25">
      <c r="A64" t="s">
        <v>67</v>
      </c>
      <c r="B64" s="1">
        <v>43259</v>
      </c>
      <c r="C64">
        <v>3.7999999999999999E-2</v>
      </c>
      <c r="D64">
        <v>0.192</v>
      </c>
      <c r="E64">
        <v>0</v>
      </c>
      <c r="F64">
        <v>1</v>
      </c>
      <c r="G64" t="s">
        <v>67</v>
      </c>
      <c r="H64" s="1">
        <v>27146</v>
      </c>
      <c r="I64">
        <v>3.7999999999999999E-2</v>
      </c>
      <c r="J64">
        <v>0.191</v>
      </c>
      <c r="K64">
        <v>0</v>
      </c>
      <c r="L64">
        <v>1</v>
      </c>
      <c r="M64" t="s">
        <v>67</v>
      </c>
      <c r="N64" s="1">
        <v>16113</v>
      </c>
      <c r="O64">
        <v>3.9E-2</v>
      </c>
      <c r="P64">
        <v>0.19400000000000001</v>
      </c>
      <c r="Q64">
        <v>0</v>
      </c>
      <c r="R64">
        <v>1</v>
      </c>
    </row>
    <row r="65" spans="1:18" x14ac:dyDescent="0.25">
      <c r="A65" t="s">
        <v>68</v>
      </c>
      <c r="B65" s="1">
        <v>43259</v>
      </c>
      <c r="C65">
        <v>0.11600000000000001</v>
      </c>
      <c r="D65">
        <v>0.32</v>
      </c>
      <c r="E65">
        <v>0</v>
      </c>
      <c r="F65">
        <v>1</v>
      </c>
      <c r="G65" t="s">
        <v>68</v>
      </c>
      <c r="H65" s="1">
        <v>27146</v>
      </c>
      <c r="I65">
        <v>0.111</v>
      </c>
      <c r="J65">
        <v>0.314</v>
      </c>
      <c r="K65">
        <v>0</v>
      </c>
      <c r="L65">
        <v>1</v>
      </c>
      <c r="M65" t="s">
        <v>68</v>
      </c>
      <c r="N65" s="1">
        <v>16113</v>
      </c>
      <c r="O65">
        <v>0.124</v>
      </c>
      <c r="P65">
        <v>0.33</v>
      </c>
      <c r="Q65">
        <v>0</v>
      </c>
      <c r="R65">
        <v>1</v>
      </c>
    </row>
    <row r="66" spans="1:18" x14ac:dyDescent="0.25">
      <c r="A66" t="s">
        <v>69</v>
      </c>
      <c r="B66" s="1">
        <v>43259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27146</v>
      </c>
      <c r="I66">
        <v>3.4000000000000002E-2</v>
      </c>
      <c r="J66">
        <v>0.18099999999999999</v>
      </c>
      <c r="K66">
        <v>0</v>
      </c>
      <c r="L66">
        <v>1</v>
      </c>
      <c r="M66" t="s">
        <v>69</v>
      </c>
      <c r="N66" s="1">
        <v>16113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43259</v>
      </c>
      <c r="C67">
        <v>0.20699999999999999</v>
      </c>
      <c r="D67">
        <v>0.40500000000000003</v>
      </c>
      <c r="E67">
        <v>0</v>
      </c>
      <c r="F67">
        <v>1</v>
      </c>
      <c r="G67" t="s">
        <v>70</v>
      </c>
      <c r="H67" s="1">
        <v>27146</v>
      </c>
      <c r="I67">
        <v>0.19800000000000001</v>
      </c>
      <c r="J67">
        <v>0.39900000000000002</v>
      </c>
      <c r="K67">
        <v>0</v>
      </c>
      <c r="L67">
        <v>1</v>
      </c>
      <c r="M67" t="s">
        <v>70</v>
      </c>
      <c r="N67" s="1">
        <v>16113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43259</v>
      </c>
      <c r="C68">
        <v>0.32500000000000001</v>
      </c>
      <c r="D68">
        <v>0.46800000000000003</v>
      </c>
      <c r="E68">
        <v>0</v>
      </c>
      <c r="F68">
        <v>1</v>
      </c>
      <c r="G68" t="s">
        <v>71</v>
      </c>
      <c r="H68" s="1">
        <v>27146</v>
      </c>
      <c r="I68">
        <v>0.34200000000000003</v>
      </c>
      <c r="J68">
        <v>0.47399999999999998</v>
      </c>
      <c r="K68">
        <v>0</v>
      </c>
      <c r="L68">
        <v>1</v>
      </c>
      <c r="M68" t="s">
        <v>71</v>
      </c>
      <c r="N68" s="1">
        <v>16113</v>
      </c>
      <c r="O68">
        <v>0.29599999999999999</v>
      </c>
      <c r="P68">
        <v>0.45700000000000002</v>
      </c>
      <c r="Q68">
        <v>0</v>
      </c>
      <c r="R68">
        <v>1</v>
      </c>
    </row>
    <row r="69" spans="1:18" x14ac:dyDescent="0.25">
      <c r="A69" t="s">
        <v>72</v>
      </c>
      <c r="B69" s="1">
        <v>43259</v>
      </c>
      <c r="C69">
        <v>0.41399999999999998</v>
      </c>
      <c r="D69">
        <v>0.49299999999999999</v>
      </c>
      <c r="E69">
        <v>0</v>
      </c>
      <c r="F69">
        <v>1</v>
      </c>
      <c r="G69" t="s">
        <v>72</v>
      </c>
      <c r="H69" s="1">
        <v>27146</v>
      </c>
      <c r="I69">
        <v>0.40799999999999997</v>
      </c>
      <c r="J69">
        <v>0.49199999999999999</v>
      </c>
      <c r="K69">
        <v>0</v>
      </c>
      <c r="L69">
        <v>1</v>
      </c>
      <c r="M69" t="s">
        <v>72</v>
      </c>
      <c r="N69" s="1">
        <v>16113</v>
      </c>
      <c r="O69">
        <v>0.42299999999999999</v>
      </c>
      <c r="P69">
        <v>0.49399999999999999</v>
      </c>
      <c r="Q69">
        <v>0</v>
      </c>
      <c r="R69">
        <v>1</v>
      </c>
    </row>
    <row r="70" spans="1:18" x14ac:dyDescent="0.25">
      <c r="A70" t="s">
        <v>73</v>
      </c>
      <c r="B70" s="1">
        <v>43259</v>
      </c>
      <c r="C70">
        <v>5.3999999999999999E-2</v>
      </c>
      <c r="D70">
        <v>0.22600000000000001</v>
      </c>
      <c r="E70">
        <v>0</v>
      </c>
      <c r="F70">
        <v>1</v>
      </c>
      <c r="G70" t="s">
        <v>73</v>
      </c>
      <c r="H70" s="1">
        <v>27146</v>
      </c>
      <c r="I70">
        <v>5.0999999999999997E-2</v>
      </c>
      <c r="J70">
        <v>0.221</v>
      </c>
      <c r="K70">
        <v>0</v>
      </c>
      <c r="L70">
        <v>1</v>
      </c>
      <c r="M70" t="s">
        <v>73</v>
      </c>
      <c r="N70" s="1">
        <v>16113</v>
      </c>
      <c r="O70">
        <v>5.8000000000000003E-2</v>
      </c>
      <c r="P70">
        <v>0.23400000000000001</v>
      </c>
      <c r="Q70">
        <v>0</v>
      </c>
      <c r="R70">
        <v>1</v>
      </c>
    </row>
    <row r="71" spans="1:18" x14ac:dyDescent="0.25">
      <c r="A71" t="s">
        <v>165</v>
      </c>
      <c r="B71" s="1">
        <v>43259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27146</v>
      </c>
      <c r="I71">
        <v>5.8000000000000003E-2</v>
      </c>
      <c r="J71">
        <v>0.23499999999999999</v>
      </c>
      <c r="K71">
        <v>0</v>
      </c>
      <c r="L71">
        <v>1</v>
      </c>
      <c r="M71" t="s">
        <v>165</v>
      </c>
      <c r="N71" s="1">
        <v>16113</v>
      </c>
      <c r="O71">
        <v>5.7000000000000002E-2</v>
      </c>
      <c r="P71">
        <v>0.23100000000000001</v>
      </c>
      <c r="Q71">
        <v>0</v>
      </c>
      <c r="R71">
        <v>1</v>
      </c>
    </row>
    <row r="72" spans="1:18" x14ac:dyDescent="0.25">
      <c r="A72" t="s">
        <v>166</v>
      </c>
      <c r="B72" s="1">
        <v>43259</v>
      </c>
      <c r="C72">
        <v>0.26200000000000001</v>
      </c>
      <c r="D72">
        <v>0.44</v>
      </c>
      <c r="E72">
        <v>0</v>
      </c>
      <c r="F72">
        <v>1</v>
      </c>
      <c r="G72" t="s">
        <v>166</v>
      </c>
      <c r="H72" s="1">
        <v>27146</v>
      </c>
      <c r="I72">
        <v>0.255</v>
      </c>
      <c r="J72">
        <v>0.436</v>
      </c>
      <c r="K72">
        <v>0</v>
      </c>
      <c r="L72">
        <v>1</v>
      </c>
      <c r="M72" t="s">
        <v>166</v>
      </c>
      <c r="N72" s="1">
        <v>16113</v>
      </c>
      <c r="O72">
        <v>0.27300000000000002</v>
      </c>
      <c r="P72">
        <v>0.44600000000000001</v>
      </c>
      <c r="Q72">
        <v>0</v>
      </c>
      <c r="R72">
        <v>1</v>
      </c>
    </row>
    <row r="73" spans="1:18" x14ac:dyDescent="0.25">
      <c r="A73" t="s">
        <v>167</v>
      </c>
      <c r="B73" s="1">
        <v>43259</v>
      </c>
      <c r="C73">
        <v>0.46500000000000002</v>
      </c>
      <c r="D73">
        <v>0.499</v>
      </c>
      <c r="E73">
        <v>0</v>
      </c>
      <c r="F73">
        <v>1</v>
      </c>
      <c r="G73" t="s">
        <v>167</v>
      </c>
      <c r="H73" s="1">
        <v>27146</v>
      </c>
      <c r="I73">
        <v>0.48599999999999999</v>
      </c>
      <c r="J73">
        <v>0.5</v>
      </c>
      <c r="K73">
        <v>0</v>
      </c>
      <c r="L73">
        <v>1</v>
      </c>
      <c r="M73" t="s">
        <v>167</v>
      </c>
      <c r="N73" s="1">
        <v>16113</v>
      </c>
      <c r="O73">
        <v>0.43099999999999999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43259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27146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16113</v>
      </c>
      <c r="O74">
        <v>6.3E-2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43259</v>
      </c>
      <c r="C75">
        <v>0.11799999999999999</v>
      </c>
      <c r="D75">
        <v>0.32200000000000001</v>
      </c>
      <c r="E75">
        <v>0</v>
      </c>
      <c r="F75">
        <v>1</v>
      </c>
      <c r="G75" t="s">
        <v>169</v>
      </c>
      <c r="H75" s="1">
        <v>27146</v>
      </c>
      <c r="I75">
        <v>0.111</v>
      </c>
      <c r="J75">
        <v>0.314</v>
      </c>
      <c r="K75">
        <v>0</v>
      </c>
      <c r="L75">
        <v>1</v>
      </c>
      <c r="M75" t="s">
        <v>169</v>
      </c>
      <c r="N75" s="1">
        <v>16113</v>
      </c>
      <c r="O75">
        <v>0.129</v>
      </c>
      <c r="P75">
        <v>0.33600000000000002</v>
      </c>
      <c r="Q75">
        <v>0</v>
      </c>
      <c r="R75">
        <v>1</v>
      </c>
    </row>
    <row r="76" spans="1:18" x14ac:dyDescent="0.25">
      <c r="A76" t="s">
        <v>170</v>
      </c>
      <c r="B76" s="1">
        <v>43259</v>
      </c>
      <c r="C76">
        <v>3.6999999999999998E-2</v>
      </c>
      <c r="D76">
        <v>0.19</v>
      </c>
      <c r="E76">
        <v>0</v>
      </c>
      <c r="F76">
        <v>1</v>
      </c>
      <c r="G76" t="s">
        <v>170</v>
      </c>
      <c r="H76" s="1">
        <v>27146</v>
      </c>
      <c r="I76">
        <v>3.2000000000000001E-2</v>
      </c>
      <c r="J76">
        <v>0.17599999999999999</v>
      </c>
      <c r="K76">
        <v>0</v>
      </c>
      <c r="L76">
        <v>1</v>
      </c>
      <c r="M76" t="s">
        <v>170</v>
      </c>
      <c r="N76" s="1">
        <v>16113</v>
      </c>
      <c r="O76">
        <v>4.7E-2</v>
      </c>
      <c r="P76">
        <v>0.21099999999999999</v>
      </c>
      <c r="Q76">
        <v>0</v>
      </c>
      <c r="R76">
        <v>1</v>
      </c>
    </row>
    <row r="77" spans="1:18" x14ac:dyDescent="0.25">
      <c r="A77" t="s">
        <v>79</v>
      </c>
      <c r="B77" s="1">
        <v>43259</v>
      </c>
      <c r="C77">
        <v>0.126</v>
      </c>
      <c r="D77">
        <v>0.33200000000000002</v>
      </c>
      <c r="E77">
        <v>0</v>
      </c>
      <c r="F77">
        <v>1</v>
      </c>
      <c r="G77" t="s">
        <v>79</v>
      </c>
      <c r="H77" s="1">
        <v>27146</v>
      </c>
      <c r="I77">
        <v>0.125</v>
      </c>
      <c r="J77">
        <v>0.33100000000000002</v>
      </c>
      <c r="K77">
        <v>0</v>
      </c>
      <c r="L77">
        <v>1</v>
      </c>
      <c r="M77" t="s">
        <v>79</v>
      </c>
      <c r="N77" s="1">
        <v>16113</v>
      </c>
      <c r="O77">
        <v>0.128</v>
      </c>
      <c r="P77">
        <v>0.33400000000000002</v>
      </c>
      <c r="Q77">
        <v>0</v>
      </c>
      <c r="R77">
        <v>1</v>
      </c>
    </row>
    <row r="78" spans="1:18" x14ac:dyDescent="0.25">
      <c r="A78" t="s">
        <v>80</v>
      </c>
      <c r="B78" s="1">
        <v>43259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27146</v>
      </c>
      <c r="I78">
        <v>5.0000000000000001E-3</v>
      </c>
      <c r="J78">
        <v>7.2999999999999995E-2</v>
      </c>
      <c r="K78">
        <v>0</v>
      </c>
      <c r="L78">
        <v>1</v>
      </c>
      <c r="M78" t="s">
        <v>80</v>
      </c>
      <c r="N78" s="1">
        <v>16113</v>
      </c>
      <c r="O78">
        <v>7.0000000000000001E-3</v>
      </c>
      <c r="P78">
        <v>8.5999999999999993E-2</v>
      </c>
      <c r="Q78">
        <v>0</v>
      </c>
      <c r="R78">
        <v>1</v>
      </c>
    </row>
    <row r="79" spans="1:18" x14ac:dyDescent="0.25">
      <c r="A79" t="s">
        <v>81</v>
      </c>
      <c r="B79" s="1">
        <v>43259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27146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16113</v>
      </c>
      <c r="O79">
        <v>2E-3</v>
      </c>
      <c r="P79">
        <v>0.04</v>
      </c>
      <c r="Q79">
        <v>0</v>
      </c>
      <c r="R79">
        <v>1</v>
      </c>
    </row>
    <row r="80" spans="1:18" x14ac:dyDescent="0.25">
      <c r="A80" t="s">
        <v>82</v>
      </c>
      <c r="B80" s="1">
        <v>43259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27146</v>
      </c>
      <c r="I80">
        <v>4.2999999999999997E-2</v>
      </c>
      <c r="J80">
        <v>0.20200000000000001</v>
      </c>
      <c r="K80">
        <v>0</v>
      </c>
      <c r="L80">
        <v>1</v>
      </c>
      <c r="M80" t="s">
        <v>82</v>
      </c>
      <c r="N80" s="1">
        <v>16113</v>
      </c>
      <c r="O80">
        <v>4.2999999999999997E-2</v>
      </c>
      <c r="P80">
        <v>0.20300000000000001</v>
      </c>
      <c r="Q80">
        <v>0</v>
      </c>
      <c r="R80">
        <v>1</v>
      </c>
    </row>
    <row r="81" spans="1:18" x14ac:dyDescent="0.25">
      <c r="A81" t="s">
        <v>83</v>
      </c>
      <c r="B81" s="1">
        <v>43259</v>
      </c>
      <c r="C81">
        <v>0.40300000000000002</v>
      </c>
      <c r="D81">
        <v>0.49</v>
      </c>
      <c r="E81">
        <v>0</v>
      </c>
      <c r="F81">
        <v>1</v>
      </c>
      <c r="G81" t="s">
        <v>83</v>
      </c>
      <c r="H81" s="1">
        <v>27146</v>
      </c>
      <c r="I81">
        <v>0.42</v>
      </c>
      <c r="J81">
        <v>0.49399999999999999</v>
      </c>
      <c r="K81">
        <v>0</v>
      </c>
      <c r="L81">
        <v>1</v>
      </c>
      <c r="M81" t="s">
        <v>83</v>
      </c>
      <c r="N81" s="1">
        <v>16113</v>
      </c>
      <c r="O81">
        <v>0.374</v>
      </c>
      <c r="P81">
        <v>0.48399999999999999</v>
      </c>
      <c r="Q81">
        <v>0</v>
      </c>
      <c r="R81">
        <v>1</v>
      </c>
    </row>
    <row r="82" spans="1:18" x14ac:dyDescent="0.25">
      <c r="A82" t="s">
        <v>84</v>
      </c>
      <c r="B82" s="1">
        <v>43259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27146</v>
      </c>
      <c r="I82">
        <v>7.0000000000000001E-3</v>
      </c>
      <c r="J82">
        <v>8.2000000000000003E-2</v>
      </c>
      <c r="K82">
        <v>0</v>
      </c>
      <c r="L82">
        <v>1</v>
      </c>
      <c r="M82" t="s">
        <v>84</v>
      </c>
      <c r="N82" s="1">
        <v>16113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43259</v>
      </c>
      <c r="C83">
        <v>0.41299999999999998</v>
      </c>
      <c r="D83">
        <v>0.49199999999999999</v>
      </c>
      <c r="E83">
        <v>0</v>
      </c>
      <c r="F83">
        <v>1</v>
      </c>
      <c r="G83" t="s">
        <v>85</v>
      </c>
      <c r="H83" s="1">
        <v>27146</v>
      </c>
      <c r="I83">
        <v>0.39800000000000002</v>
      </c>
      <c r="J83">
        <v>0.49</v>
      </c>
      <c r="K83">
        <v>0</v>
      </c>
      <c r="L83">
        <v>1</v>
      </c>
      <c r="M83" t="s">
        <v>85</v>
      </c>
      <c r="N83" s="1">
        <v>16113</v>
      </c>
      <c r="O83">
        <v>0.437</v>
      </c>
      <c r="P83">
        <v>0.496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B3AD-0BB9-49C9-B4CF-B1EDD454AED5}">
  <sheetPr codeName="Sheet8"/>
  <dimension ref="A1:R85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23359</v>
      </c>
      <c r="C3">
        <v>1.18</v>
      </c>
      <c r="D3">
        <v>0.42699999999999999</v>
      </c>
      <c r="E3">
        <v>1</v>
      </c>
      <c r="F3">
        <v>5</v>
      </c>
      <c r="G3" t="s">
        <v>10</v>
      </c>
      <c r="H3" s="1">
        <v>14694</v>
      </c>
      <c r="I3">
        <v>1.2609999999999999</v>
      </c>
      <c r="J3">
        <v>0.497</v>
      </c>
      <c r="K3">
        <v>1</v>
      </c>
      <c r="L3">
        <v>5</v>
      </c>
      <c r="M3" t="s">
        <v>10</v>
      </c>
      <c r="N3" s="1">
        <v>8665</v>
      </c>
      <c r="O3">
        <v>1.0409999999999999</v>
      </c>
      <c r="P3">
        <v>0.20399999999999999</v>
      </c>
      <c r="Q3">
        <v>1</v>
      </c>
      <c r="R3">
        <v>4</v>
      </c>
    </row>
    <row r="4" spans="1:18" x14ac:dyDescent="0.25">
      <c r="A4" t="s">
        <v>11</v>
      </c>
      <c r="B4" s="1">
        <v>23359</v>
      </c>
      <c r="C4">
        <v>0.371</v>
      </c>
      <c r="D4">
        <v>0.48299999999999998</v>
      </c>
      <c r="E4">
        <v>0</v>
      </c>
      <c r="F4">
        <v>1</v>
      </c>
      <c r="G4" t="s">
        <v>11</v>
      </c>
      <c r="H4" s="1">
        <v>14694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8665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23359</v>
      </c>
      <c r="C5">
        <v>0.33700000000000002</v>
      </c>
      <c r="D5">
        <v>0.47299999999999998</v>
      </c>
      <c r="E5">
        <v>0</v>
      </c>
      <c r="F5">
        <v>1</v>
      </c>
      <c r="G5" t="s">
        <v>12</v>
      </c>
      <c r="H5" s="1">
        <v>14694</v>
      </c>
      <c r="I5">
        <v>2E-3</v>
      </c>
      <c r="J5">
        <v>0.04</v>
      </c>
      <c r="K5">
        <v>0</v>
      </c>
      <c r="L5">
        <v>1</v>
      </c>
      <c r="M5" t="s">
        <v>12</v>
      </c>
      <c r="N5" s="1">
        <v>8665</v>
      </c>
      <c r="O5">
        <v>0.90500000000000003</v>
      </c>
      <c r="P5">
        <v>0.29399999999999998</v>
      </c>
      <c r="Q5">
        <v>0</v>
      </c>
      <c r="R5">
        <v>1</v>
      </c>
    </row>
    <row r="6" spans="1:18" x14ac:dyDescent="0.25">
      <c r="A6" t="s">
        <v>36</v>
      </c>
      <c r="B6" s="1">
        <v>8665</v>
      </c>
      <c r="C6">
        <v>304.83800000000002</v>
      </c>
      <c r="D6">
        <v>565.71500000000003</v>
      </c>
      <c r="E6">
        <v>0</v>
      </c>
      <c r="F6" s="1">
        <v>4021</v>
      </c>
      <c r="G6" t="s">
        <v>13</v>
      </c>
      <c r="H6" s="1">
        <v>14694</v>
      </c>
      <c r="I6">
        <v>1.5</v>
      </c>
      <c r="J6">
        <v>0.55300000000000005</v>
      </c>
      <c r="K6">
        <v>0</v>
      </c>
      <c r="L6">
        <v>5</v>
      </c>
      <c r="M6" t="s">
        <v>36</v>
      </c>
      <c r="N6" s="1">
        <v>8665</v>
      </c>
      <c r="O6">
        <v>304.83800000000002</v>
      </c>
      <c r="P6">
        <v>565.71500000000003</v>
      </c>
      <c r="Q6">
        <v>0</v>
      </c>
      <c r="R6" s="1">
        <v>4021</v>
      </c>
    </row>
    <row r="7" spans="1:18" x14ac:dyDescent="0.25">
      <c r="A7" t="s">
        <v>13</v>
      </c>
      <c r="B7" s="1">
        <v>23359</v>
      </c>
      <c r="C7">
        <v>1.4910000000000001</v>
      </c>
      <c r="D7">
        <v>0.55300000000000005</v>
      </c>
      <c r="E7">
        <v>0</v>
      </c>
      <c r="F7">
        <v>6</v>
      </c>
      <c r="G7" t="s">
        <v>14</v>
      </c>
      <c r="H7" s="1">
        <v>14694</v>
      </c>
      <c r="I7">
        <v>0.17399999999999999</v>
      </c>
      <c r="J7">
        <v>0.38600000000000001</v>
      </c>
      <c r="K7">
        <v>0</v>
      </c>
      <c r="L7">
        <v>5</v>
      </c>
      <c r="M7" t="s">
        <v>13</v>
      </c>
      <c r="N7" s="1">
        <v>8665</v>
      </c>
      <c r="O7">
        <v>1.4750000000000001</v>
      </c>
      <c r="P7">
        <v>0.55300000000000005</v>
      </c>
      <c r="Q7">
        <v>1</v>
      </c>
      <c r="R7">
        <v>6</v>
      </c>
    </row>
    <row r="8" spans="1:18" x14ac:dyDescent="0.25">
      <c r="A8" t="s">
        <v>14</v>
      </c>
      <c r="B8" s="1">
        <v>23359</v>
      </c>
      <c r="C8">
        <v>0.16700000000000001</v>
      </c>
      <c r="D8">
        <v>0.378</v>
      </c>
      <c r="E8">
        <v>0</v>
      </c>
      <c r="F8">
        <v>5</v>
      </c>
      <c r="G8" t="s">
        <v>15</v>
      </c>
      <c r="H8" s="1">
        <v>14694</v>
      </c>
      <c r="I8">
        <v>1.8180000000000001</v>
      </c>
      <c r="J8">
        <v>0.91700000000000004</v>
      </c>
      <c r="K8">
        <v>0</v>
      </c>
      <c r="L8">
        <v>5</v>
      </c>
      <c r="M8" t="s">
        <v>14</v>
      </c>
      <c r="N8" s="1">
        <v>8665</v>
      </c>
      <c r="O8">
        <v>0.154</v>
      </c>
      <c r="P8">
        <v>0.36499999999999999</v>
      </c>
      <c r="Q8">
        <v>0</v>
      </c>
      <c r="R8">
        <v>2</v>
      </c>
    </row>
    <row r="9" spans="1:18" x14ac:dyDescent="0.25">
      <c r="A9" t="s">
        <v>15</v>
      </c>
      <c r="B9" s="1">
        <v>23359</v>
      </c>
      <c r="C9">
        <v>1.7909999999999999</v>
      </c>
      <c r="D9">
        <v>0.91900000000000004</v>
      </c>
      <c r="E9">
        <v>0</v>
      </c>
      <c r="F9">
        <v>8</v>
      </c>
      <c r="G9" t="s">
        <v>16</v>
      </c>
      <c r="H9" s="1">
        <v>14694</v>
      </c>
      <c r="I9">
        <v>51.731999999999999</v>
      </c>
      <c r="J9">
        <v>59.206000000000003</v>
      </c>
      <c r="K9">
        <v>0</v>
      </c>
      <c r="L9">
        <v>785</v>
      </c>
      <c r="M9" t="s">
        <v>15</v>
      </c>
      <c r="N9" s="1">
        <v>8665</v>
      </c>
      <c r="O9">
        <v>1.746</v>
      </c>
      <c r="P9">
        <v>0.92100000000000004</v>
      </c>
      <c r="Q9">
        <v>0</v>
      </c>
      <c r="R9">
        <v>8</v>
      </c>
    </row>
    <row r="10" spans="1:18" x14ac:dyDescent="0.25">
      <c r="A10" t="s">
        <v>16</v>
      </c>
      <c r="B10" s="1">
        <v>23359</v>
      </c>
      <c r="C10">
        <v>48.395000000000003</v>
      </c>
      <c r="D10">
        <v>62.38</v>
      </c>
      <c r="E10">
        <v>0</v>
      </c>
      <c r="F10">
        <v>946</v>
      </c>
      <c r="G10" t="s">
        <v>163</v>
      </c>
      <c r="H10" s="1">
        <v>14694</v>
      </c>
      <c r="I10">
        <v>880.93799999999999</v>
      </c>
      <c r="J10">
        <v>383.17599999999999</v>
      </c>
      <c r="K10">
        <v>160</v>
      </c>
      <c r="L10" s="1">
        <v>6273</v>
      </c>
      <c r="M10" t="s">
        <v>16</v>
      </c>
      <c r="N10" s="1">
        <v>8665</v>
      </c>
      <c r="O10">
        <v>42.735999999999997</v>
      </c>
      <c r="P10">
        <v>67.048000000000002</v>
      </c>
      <c r="Q10">
        <v>0</v>
      </c>
      <c r="R10">
        <v>946</v>
      </c>
    </row>
    <row r="11" spans="1:18" x14ac:dyDescent="0.25">
      <c r="A11" t="s">
        <v>163</v>
      </c>
      <c r="B11" s="1">
        <v>23359</v>
      </c>
      <c r="C11">
        <v>873.95100000000002</v>
      </c>
      <c r="D11">
        <v>388.78699999999998</v>
      </c>
      <c r="E11">
        <v>120</v>
      </c>
      <c r="F11" s="1">
        <v>10740</v>
      </c>
      <c r="G11" t="s">
        <v>17</v>
      </c>
      <c r="H11" s="1">
        <v>14694</v>
      </c>
      <c r="I11">
        <v>20.187999999999999</v>
      </c>
      <c r="J11">
        <v>84.468000000000004</v>
      </c>
      <c r="K11">
        <v>0</v>
      </c>
      <c r="L11" s="1">
        <v>942</v>
      </c>
      <c r="M11" t="s">
        <v>163</v>
      </c>
      <c r="N11" s="1">
        <v>8665</v>
      </c>
      <c r="O11">
        <v>862.10199999999998</v>
      </c>
      <c r="P11">
        <v>397.863</v>
      </c>
      <c r="Q11">
        <v>120</v>
      </c>
      <c r="R11" s="1">
        <v>10740</v>
      </c>
    </row>
    <row r="12" spans="1:18" x14ac:dyDescent="0.25">
      <c r="A12" t="s">
        <v>17</v>
      </c>
      <c r="B12" s="1">
        <v>23359</v>
      </c>
      <c r="C12">
        <v>22.058</v>
      </c>
      <c r="D12">
        <v>88.484999999999999</v>
      </c>
      <c r="E12">
        <v>0</v>
      </c>
      <c r="F12" s="1">
        <v>1042</v>
      </c>
      <c r="G12" t="s">
        <v>19</v>
      </c>
      <c r="H12" s="1">
        <v>14694</v>
      </c>
      <c r="I12" s="2">
        <v>669139.80000000005</v>
      </c>
      <c r="J12" s="2">
        <v>626922.80000000005</v>
      </c>
      <c r="K12" s="2">
        <v>99684.44</v>
      </c>
      <c r="L12" s="1">
        <v>28197546</v>
      </c>
      <c r="M12" t="s">
        <v>17</v>
      </c>
      <c r="N12" s="1">
        <v>8665</v>
      </c>
      <c r="O12">
        <v>25.228999999999999</v>
      </c>
      <c r="P12">
        <v>94.83</v>
      </c>
      <c r="Q12">
        <v>0</v>
      </c>
      <c r="R12" s="1">
        <v>1042</v>
      </c>
    </row>
    <row r="13" spans="1:18" x14ac:dyDescent="0.25">
      <c r="A13" t="s">
        <v>19</v>
      </c>
      <c r="B13" s="1">
        <v>23359</v>
      </c>
      <c r="C13" s="2">
        <v>669221.1</v>
      </c>
      <c r="D13" s="2">
        <v>623487.69999999995</v>
      </c>
      <c r="E13" s="2">
        <v>85418.51</v>
      </c>
      <c r="F13" s="2">
        <v>28197546</v>
      </c>
      <c r="G13" t="s">
        <v>20</v>
      </c>
      <c r="H13" s="1">
        <v>14694</v>
      </c>
      <c r="I13" s="2">
        <v>657174.9</v>
      </c>
      <c r="J13" s="2">
        <v>604880.80000000005</v>
      </c>
      <c r="K13" s="2">
        <v>118448.6</v>
      </c>
      <c r="L13" s="2">
        <v>28197546</v>
      </c>
      <c r="M13" t="s">
        <v>19</v>
      </c>
      <c r="N13" s="1">
        <v>8665</v>
      </c>
      <c r="O13" s="2">
        <v>669358.9</v>
      </c>
      <c r="P13" s="2">
        <v>617654.80000000005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23359</v>
      </c>
      <c r="C14" s="2">
        <v>659039.19999999995</v>
      </c>
      <c r="D14" s="2">
        <v>595675.4</v>
      </c>
      <c r="E14" s="2">
        <v>85418.51</v>
      </c>
      <c r="F14" s="2">
        <v>28197546</v>
      </c>
      <c r="G14" t="s">
        <v>190</v>
      </c>
      <c r="H14" s="1">
        <v>14694</v>
      </c>
      <c r="I14" s="2">
        <v>9820.3790000000008</v>
      </c>
      <c r="J14" s="2">
        <v>32766.63</v>
      </c>
      <c r="K14" s="2">
        <v>-152000</v>
      </c>
      <c r="L14" s="2">
        <v>750000</v>
      </c>
      <c r="M14" t="s">
        <v>20</v>
      </c>
      <c r="N14" s="1">
        <v>8665</v>
      </c>
      <c r="O14" s="2">
        <v>662200.6</v>
      </c>
      <c r="P14" s="2">
        <v>579751.80000000005</v>
      </c>
      <c r="Q14" s="2">
        <v>85418.51</v>
      </c>
      <c r="R14" s="2">
        <v>11791788</v>
      </c>
    </row>
    <row r="15" spans="1:18" x14ac:dyDescent="0.25">
      <c r="A15" t="s">
        <v>190</v>
      </c>
      <c r="B15" s="1">
        <v>23359</v>
      </c>
      <c r="C15" s="2">
        <v>8501.4599999999991</v>
      </c>
      <c r="D15" s="2">
        <v>48055.53</v>
      </c>
      <c r="E15" s="1">
        <v>-300000</v>
      </c>
      <c r="F15" s="1">
        <v>4750000</v>
      </c>
      <c r="G15" t="s">
        <v>21</v>
      </c>
      <c r="H15" s="1">
        <v>14694</v>
      </c>
      <c r="I15" s="2">
        <v>1E-3</v>
      </c>
      <c r="J15" s="2">
        <v>3.4000000000000002E-2</v>
      </c>
      <c r="K15" s="2">
        <v>0</v>
      </c>
      <c r="L15" s="2">
        <v>1</v>
      </c>
      <c r="M15" t="s">
        <v>190</v>
      </c>
      <c r="N15" s="1">
        <v>8665</v>
      </c>
      <c r="O15" s="2">
        <v>6264.8530000000001</v>
      </c>
      <c r="P15" s="2">
        <v>66311.38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23359</v>
      </c>
      <c r="C16">
        <v>1E-3</v>
      </c>
      <c r="D16">
        <v>3.5999999999999997E-2</v>
      </c>
      <c r="E16">
        <v>0</v>
      </c>
      <c r="F16">
        <v>1</v>
      </c>
      <c r="G16" t="s">
        <v>22</v>
      </c>
      <c r="H16" s="1">
        <v>14694</v>
      </c>
      <c r="I16" s="2">
        <v>0.03</v>
      </c>
      <c r="J16" s="2">
        <v>0.17100000000000001</v>
      </c>
      <c r="K16" s="1">
        <v>0</v>
      </c>
      <c r="L16" s="1">
        <v>1</v>
      </c>
      <c r="M16" t="s">
        <v>21</v>
      </c>
      <c r="N16" s="1">
        <v>8665</v>
      </c>
      <c r="O16">
        <v>2E-3</v>
      </c>
      <c r="P16">
        <v>0.04</v>
      </c>
      <c r="Q16">
        <v>0</v>
      </c>
      <c r="R16">
        <v>1</v>
      </c>
    </row>
    <row r="17" spans="1:18" x14ac:dyDescent="0.25">
      <c r="A17" t="s">
        <v>22</v>
      </c>
      <c r="B17" s="1">
        <v>23359</v>
      </c>
      <c r="C17">
        <v>2.8000000000000001E-2</v>
      </c>
      <c r="D17">
        <v>0.16400000000000001</v>
      </c>
      <c r="E17">
        <v>0</v>
      </c>
      <c r="F17">
        <v>1</v>
      </c>
      <c r="G17" t="s">
        <v>23</v>
      </c>
      <c r="H17" s="1">
        <v>14694</v>
      </c>
      <c r="I17">
        <v>7.0000000000000001E-3</v>
      </c>
      <c r="J17">
        <v>8.4000000000000005E-2</v>
      </c>
      <c r="K17">
        <v>0</v>
      </c>
      <c r="L17">
        <v>1</v>
      </c>
      <c r="M17" t="s">
        <v>22</v>
      </c>
      <c r="N17" s="1">
        <v>8665</v>
      </c>
      <c r="O17">
        <v>2.3E-2</v>
      </c>
      <c r="P17">
        <v>0.151</v>
      </c>
      <c r="Q17">
        <v>0</v>
      </c>
      <c r="R17">
        <v>1</v>
      </c>
    </row>
    <row r="18" spans="1:18" x14ac:dyDescent="0.25">
      <c r="A18" t="s">
        <v>23</v>
      </c>
      <c r="B18" s="1">
        <v>23359</v>
      </c>
      <c r="C18">
        <v>6.0000000000000001E-3</v>
      </c>
      <c r="D18">
        <v>7.5999999999999998E-2</v>
      </c>
      <c r="E18">
        <v>0</v>
      </c>
      <c r="F18">
        <v>1</v>
      </c>
      <c r="G18" t="s">
        <v>24</v>
      </c>
      <c r="H18" s="1">
        <v>14694</v>
      </c>
      <c r="I18">
        <v>0.17599999999999999</v>
      </c>
      <c r="J18">
        <v>0.38100000000000001</v>
      </c>
      <c r="K18">
        <v>0</v>
      </c>
      <c r="L18">
        <v>1</v>
      </c>
      <c r="M18" t="s">
        <v>23</v>
      </c>
      <c r="N18" s="1">
        <v>8665</v>
      </c>
      <c r="O18">
        <v>4.0000000000000001E-3</v>
      </c>
      <c r="P18">
        <v>6.2E-2</v>
      </c>
      <c r="Q18">
        <v>0</v>
      </c>
      <c r="R18">
        <v>1</v>
      </c>
    </row>
    <row r="19" spans="1:18" x14ac:dyDescent="0.25">
      <c r="A19" t="s">
        <v>24</v>
      </c>
      <c r="B19" s="1">
        <v>23359</v>
      </c>
      <c r="C19">
        <v>0.16900000000000001</v>
      </c>
      <c r="D19">
        <v>0.375</v>
      </c>
      <c r="E19">
        <v>0</v>
      </c>
      <c r="F19">
        <v>1</v>
      </c>
      <c r="G19" t="s">
        <v>25</v>
      </c>
      <c r="H19" s="1">
        <v>14694</v>
      </c>
      <c r="I19">
        <v>0.51500000000000001</v>
      </c>
      <c r="J19">
        <v>0.5</v>
      </c>
      <c r="K19">
        <v>0</v>
      </c>
      <c r="L19">
        <v>1</v>
      </c>
      <c r="M19" t="s">
        <v>24</v>
      </c>
      <c r="N19" s="1">
        <v>8665</v>
      </c>
      <c r="O19">
        <v>0.158</v>
      </c>
      <c r="P19">
        <v>0.36399999999999999</v>
      </c>
      <c r="Q19">
        <v>0</v>
      </c>
      <c r="R19">
        <v>1</v>
      </c>
    </row>
    <row r="20" spans="1:18" x14ac:dyDescent="0.25">
      <c r="A20" t="s">
        <v>25</v>
      </c>
      <c r="B20" s="1">
        <v>23359</v>
      </c>
      <c r="C20">
        <v>0.53900000000000003</v>
      </c>
      <c r="D20">
        <v>0.498</v>
      </c>
      <c r="E20">
        <v>0</v>
      </c>
      <c r="F20">
        <v>1</v>
      </c>
      <c r="G20" t="s">
        <v>26</v>
      </c>
      <c r="H20" s="1">
        <v>14694</v>
      </c>
      <c r="I20">
        <v>0.312</v>
      </c>
      <c r="J20">
        <v>0.46300000000000002</v>
      </c>
      <c r="K20">
        <v>0</v>
      </c>
      <c r="L20">
        <v>1</v>
      </c>
      <c r="M20" t="s">
        <v>25</v>
      </c>
      <c r="N20" s="1">
        <v>8665</v>
      </c>
      <c r="O20">
        <v>0.57999999999999996</v>
      </c>
      <c r="P20">
        <v>0.49399999999999999</v>
      </c>
      <c r="Q20">
        <v>0</v>
      </c>
      <c r="R20">
        <v>1</v>
      </c>
    </row>
    <row r="21" spans="1:18" x14ac:dyDescent="0.25">
      <c r="A21" t="s">
        <v>26</v>
      </c>
      <c r="B21" s="1">
        <v>23359</v>
      </c>
      <c r="C21">
        <v>0.29299999999999998</v>
      </c>
      <c r="D21">
        <v>0.45500000000000002</v>
      </c>
      <c r="E21">
        <v>0</v>
      </c>
      <c r="F21">
        <v>1</v>
      </c>
      <c r="G21" t="s">
        <v>27</v>
      </c>
      <c r="H21" s="1">
        <v>14694</v>
      </c>
      <c r="I21">
        <v>6.7000000000000004E-2</v>
      </c>
      <c r="J21">
        <v>0.25</v>
      </c>
      <c r="K21">
        <v>0</v>
      </c>
      <c r="L21">
        <v>1</v>
      </c>
      <c r="M21" t="s">
        <v>26</v>
      </c>
      <c r="N21" s="1">
        <v>8665</v>
      </c>
      <c r="O21">
        <v>0.26100000000000001</v>
      </c>
      <c r="P21">
        <v>0.439</v>
      </c>
      <c r="Q21">
        <v>0</v>
      </c>
      <c r="R21">
        <v>1</v>
      </c>
    </row>
    <row r="22" spans="1:18" x14ac:dyDescent="0.25">
      <c r="A22" t="s">
        <v>27</v>
      </c>
      <c r="B22" s="1">
        <v>23359</v>
      </c>
      <c r="C22">
        <v>6.7000000000000004E-2</v>
      </c>
      <c r="D22">
        <v>0.25</v>
      </c>
      <c r="E22">
        <v>0</v>
      </c>
      <c r="F22">
        <v>1</v>
      </c>
      <c r="G22" t="s">
        <v>28</v>
      </c>
      <c r="H22" s="1">
        <v>14694</v>
      </c>
      <c r="I22">
        <v>4.0000000000000001E-3</v>
      </c>
      <c r="J22">
        <v>5.8999999999999997E-2</v>
      </c>
      <c r="K22">
        <v>0</v>
      </c>
      <c r="L22">
        <v>1</v>
      </c>
      <c r="M22" t="s">
        <v>27</v>
      </c>
      <c r="N22" s="1">
        <v>8665</v>
      </c>
      <c r="O22">
        <v>6.8000000000000005E-2</v>
      </c>
      <c r="P22">
        <v>0.252</v>
      </c>
      <c r="Q22">
        <v>0</v>
      </c>
      <c r="R22">
        <v>1</v>
      </c>
    </row>
    <row r="23" spans="1:18" x14ac:dyDescent="0.25">
      <c r="A23" t="s">
        <v>28</v>
      </c>
      <c r="B23" s="1">
        <v>23359</v>
      </c>
      <c r="C23">
        <v>3.0000000000000001E-3</v>
      </c>
      <c r="D23">
        <v>5.3999999999999999E-2</v>
      </c>
      <c r="E23">
        <v>0</v>
      </c>
      <c r="F23">
        <v>1</v>
      </c>
      <c r="G23" t="s">
        <v>29</v>
      </c>
      <c r="H23" s="1">
        <v>14694</v>
      </c>
      <c r="I23">
        <v>1E-4</v>
      </c>
      <c r="J23">
        <v>1.2E-2</v>
      </c>
      <c r="K23">
        <v>0</v>
      </c>
      <c r="L23">
        <v>1</v>
      </c>
      <c r="M23" t="s">
        <v>28</v>
      </c>
      <c r="N23" s="1">
        <v>8665</v>
      </c>
      <c r="O23">
        <v>2E-3</v>
      </c>
      <c r="P23">
        <v>4.2999999999999997E-2</v>
      </c>
      <c r="Q23">
        <v>0</v>
      </c>
      <c r="R23">
        <v>1</v>
      </c>
    </row>
    <row r="24" spans="1:18" x14ac:dyDescent="0.25">
      <c r="A24" t="s">
        <v>29</v>
      </c>
      <c r="B24" s="1">
        <v>23359</v>
      </c>
      <c r="C24">
        <v>1E-4</v>
      </c>
      <c r="D24">
        <v>8.9999999999999993E-3</v>
      </c>
      <c r="E24">
        <v>0</v>
      </c>
      <c r="F24">
        <v>1</v>
      </c>
      <c r="G24" t="s">
        <v>30</v>
      </c>
      <c r="H24" s="1">
        <v>14694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8665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23359</v>
      </c>
      <c r="C25">
        <v>0</v>
      </c>
      <c r="D25">
        <v>0</v>
      </c>
      <c r="E25">
        <v>0</v>
      </c>
      <c r="F25">
        <v>0</v>
      </c>
      <c r="G25" t="s">
        <v>31</v>
      </c>
      <c r="H25" s="1">
        <v>14694</v>
      </c>
      <c r="I25">
        <v>8.5999999999999993E-2</v>
      </c>
      <c r="J25">
        <v>0.28000000000000003</v>
      </c>
      <c r="K25">
        <v>0</v>
      </c>
      <c r="L25">
        <v>1</v>
      </c>
      <c r="M25" t="s">
        <v>30</v>
      </c>
      <c r="N25" s="1">
        <v>8665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23359</v>
      </c>
      <c r="C26">
        <v>8.2000000000000003E-2</v>
      </c>
      <c r="D26">
        <v>0.27500000000000002</v>
      </c>
      <c r="E26">
        <v>0</v>
      </c>
      <c r="F26">
        <v>1</v>
      </c>
      <c r="G26" t="s">
        <v>32</v>
      </c>
      <c r="H26" s="1">
        <v>14694</v>
      </c>
      <c r="I26">
        <v>1E-3</v>
      </c>
      <c r="J26">
        <v>0.03</v>
      </c>
      <c r="K26">
        <v>0</v>
      </c>
      <c r="L26">
        <v>1</v>
      </c>
      <c r="M26" t="s">
        <v>31</v>
      </c>
      <c r="N26" s="1">
        <v>8665</v>
      </c>
      <c r="O26">
        <v>7.6999999999999999E-2</v>
      </c>
      <c r="P26">
        <v>0.26600000000000001</v>
      </c>
      <c r="Q26">
        <v>0</v>
      </c>
      <c r="R26">
        <v>1</v>
      </c>
    </row>
    <row r="27" spans="1:18" x14ac:dyDescent="0.25">
      <c r="A27" t="s">
        <v>32</v>
      </c>
      <c r="B27" s="1">
        <v>23359</v>
      </c>
      <c r="C27">
        <v>1E-3</v>
      </c>
      <c r="D27">
        <v>2.4E-2</v>
      </c>
      <c r="E27">
        <v>0</v>
      </c>
      <c r="F27">
        <v>1</v>
      </c>
      <c r="G27" t="s">
        <v>33</v>
      </c>
      <c r="H27" s="1">
        <v>14694</v>
      </c>
      <c r="I27">
        <v>34.192999999999998</v>
      </c>
      <c r="J27">
        <v>15.675000000000001</v>
      </c>
      <c r="K27">
        <v>0</v>
      </c>
      <c r="L27">
        <v>90</v>
      </c>
      <c r="M27" t="s">
        <v>32</v>
      </c>
      <c r="N27" s="1">
        <v>8665</v>
      </c>
      <c r="O27">
        <v>1E-4</v>
      </c>
      <c r="P27">
        <v>1.0999999999999999E-2</v>
      </c>
      <c r="Q27">
        <v>0</v>
      </c>
      <c r="R27">
        <v>1</v>
      </c>
    </row>
    <row r="28" spans="1:18" x14ac:dyDescent="0.25">
      <c r="A28" t="s">
        <v>33</v>
      </c>
      <c r="B28" s="1">
        <v>23359</v>
      </c>
      <c r="C28">
        <v>35.415999999999997</v>
      </c>
      <c r="D28">
        <v>16.100999999999999</v>
      </c>
      <c r="E28">
        <v>0</v>
      </c>
      <c r="F28">
        <v>90</v>
      </c>
      <c r="G28" t="s">
        <v>34</v>
      </c>
      <c r="H28" s="1">
        <v>14694</v>
      </c>
      <c r="I28">
        <v>1.415</v>
      </c>
      <c r="J28">
        <v>0.96399999999999997</v>
      </c>
      <c r="K28">
        <v>0</v>
      </c>
      <c r="L28">
        <v>8.1</v>
      </c>
      <c r="M28" t="s">
        <v>33</v>
      </c>
      <c r="N28" s="1">
        <v>8665</v>
      </c>
      <c r="O28">
        <v>37.488</v>
      </c>
      <c r="P28">
        <v>16.594999999999999</v>
      </c>
      <c r="Q28">
        <v>0</v>
      </c>
      <c r="R28">
        <v>83</v>
      </c>
    </row>
    <row r="29" spans="1:18" x14ac:dyDescent="0.25">
      <c r="A29" t="s">
        <v>34</v>
      </c>
      <c r="B29" s="1">
        <v>23359</v>
      </c>
      <c r="C29">
        <v>1.5129999999999999</v>
      </c>
      <c r="D29">
        <v>1.014</v>
      </c>
      <c r="E29">
        <v>0</v>
      </c>
      <c r="F29">
        <v>8.1</v>
      </c>
      <c r="G29" t="s">
        <v>35</v>
      </c>
      <c r="H29" s="1">
        <v>14694</v>
      </c>
      <c r="I29">
        <v>1.397</v>
      </c>
      <c r="J29">
        <v>3.91</v>
      </c>
      <c r="K29">
        <v>0</v>
      </c>
      <c r="L29">
        <v>57</v>
      </c>
      <c r="M29" t="s">
        <v>34</v>
      </c>
      <c r="N29" s="1">
        <v>8665</v>
      </c>
      <c r="O29">
        <v>1.681</v>
      </c>
      <c r="P29">
        <v>1.0720000000000001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23359</v>
      </c>
      <c r="C30">
        <v>1.4419999999999999</v>
      </c>
      <c r="D30">
        <v>4.0839999999999996</v>
      </c>
      <c r="E30">
        <v>0</v>
      </c>
      <c r="F30">
        <v>57</v>
      </c>
      <c r="G30" t="s">
        <v>18</v>
      </c>
      <c r="H30" s="1">
        <v>14694</v>
      </c>
      <c r="I30">
        <v>962.24</v>
      </c>
      <c r="J30">
        <v>435.83800000000002</v>
      </c>
      <c r="K30">
        <v>195</v>
      </c>
      <c r="L30" s="1">
        <v>7582</v>
      </c>
      <c r="M30" t="s">
        <v>35</v>
      </c>
      <c r="N30" s="1">
        <v>8665</v>
      </c>
      <c r="O30">
        <v>1.5169999999999999</v>
      </c>
      <c r="P30">
        <v>4.3630000000000004</v>
      </c>
      <c r="Q30">
        <v>0</v>
      </c>
      <c r="R30">
        <v>45</v>
      </c>
    </row>
    <row r="31" spans="1:18" x14ac:dyDescent="0.25">
      <c r="A31" t="s">
        <v>18</v>
      </c>
      <c r="B31" s="1">
        <v>23359</v>
      </c>
      <c r="C31">
        <v>954.47699999999998</v>
      </c>
      <c r="D31">
        <v>439.66699999999997</v>
      </c>
      <c r="E31">
        <v>175</v>
      </c>
      <c r="F31" s="1">
        <v>11155</v>
      </c>
      <c r="G31" t="s">
        <v>37</v>
      </c>
      <c r="H31" s="1">
        <v>14694</v>
      </c>
      <c r="I31">
        <v>4.87</v>
      </c>
      <c r="J31">
        <v>6.8159999999999998</v>
      </c>
      <c r="K31">
        <v>1.4E-2</v>
      </c>
      <c r="L31" s="1">
        <v>52.774999999999999</v>
      </c>
      <c r="M31" t="s">
        <v>18</v>
      </c>
      <c r="N31" s="1">
        <v>8665</v>
      </c>
      <c r="O31">
        <v>941.31200000000001</v>
      </c>
      <c r="P31">
        <v>445.803</v>
      </c>
      <c r="Q31">
        <v>175</v>
      </c>
      <c r="R31" s="1">
        <v>11155</v>
      </c>
    </row>
    <row r="32" spans="1:18" x14ac:dyDescent="0.25">
      <c r="A32" t="s">
        <v>37</v>
      </c>
      <c r="B32" s="1">
        <v>23359</v>
      </c>
      <c r="C32">
        <v>4.7910000000000004</v>
      </c>
      <c r="D32">
        <v>6.7919999999999998</v>
      </c>
      <c r="E32">
        <v>1.4E-2</v>
      </c>
      <c r="F32">
        <v>111.96899999999999</v>
      </c>
      <c r="G32" t="s">
        <v>164</v>
      </c>
      <c r="H32" s="1">
        <v>14694</v>
      </c>
      <c r="I32">
        <v>1.7849999999999999</v>
      </c>
      <c r="J32">
        <v>2.3130000000000002</v>
      </c>
      <c r="K32">
        <v>0</v>
      </c>
      <c r="L32" s="1">
        <v>12.788</v>
      </c>
      <c r="M32" t="s">
        <v>37</v>
      </c>
      <c r="N32" s="1">
        <v>8665</v>
      </c>
      <c r="O32">
        <v>4.657</v>
      </c>
      <c r="P32">
        <v>6.7489999999999997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23359</v>
      </c>
      <c r="C33">
        <v>1.7090000000000001</v>
      </c>
      <c r="D33">
        <v>2.218</v>
      </c>
      <c r="E33">
        <v>0</v>
      </c>
      <c r="F33">
        <v>12.788</v>
      </c>
      <c r="G33" t="s">
        <v>39</v>
      </c>
      <c r="H33" s="1">
        <v>14694</v>
      </c>
      <c r="I33">
        <v>0.33300000000000002</v>
      </c>
      <c r="J33">
        <v>0.26400000000000001</v>
      </c>
      <c r="K33">
        <v>1.2E-2</v>
      </c>
      <c r="L33">
        <v>1.7529999999999999</v>
      </c>
      <c r="M33" t="s">
        <v>164</v>
      </c>
      <c r="N33" s="1">
        <v>8665</v>
      </c>
      <c r="O33">
        <v>1.58</v>
      </c>
      <c r="P33">
        <v>2.0390000000000001</v>
      </c>
      <c r="Q33">
        <v>0</v>
      </c>
      <c r="R33">
        <v>12.788</v>
      </c>
    </row>
    <row r="34" spans="1:18" x14ac:dyDescent="0.25">
      <c r="A34" t="s">
        <v>39</v>
      </c>
      <c r="B34" s="1">
        <v>23359</v>
      </c>
      <c r="C34">
        <v>0.33500000000000002</v>
      </c>
      <c r="D34">
        <v>0.26700000000000002</v>
      </c>
      <c r="E34">
        <v>0</v>
      </c>
      <c r="F34">
        <v>2.165</v>
      </c>
      <c r="G34" t="s">
        <v>40</v>
      </c>
      <c r="H34" s="1">
        <v>14694</v>
      </c>
      <c r="I34">
        <v>3.1139999999999999</v>
      </c>
      <c r="J34">
        <v>3.3359999999999999</v>
      </c>
      <c r="K34">
        <v>1.4999999999999999E-2</v>
      </c>
      <c r="L34">
        <v>20.402999999999999</v>
      </c>
      <c r="M34" t="s">
        <v>39</v>
      </c>
      <c r="N34" s="1">
        <v>8665</v>
      </c>
      <c r="O34">
        <v>0.33800000000000002</v>
      </c>
      <c r="P34">
        <v>0.27300000000000002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23359</v>
      </c>
      <c r="C35">
        <v>3.113</v>
      </c>
      <c r="D35">
        <v>3.444</v>
      </c>
      <c r="E35">
        <v>1.4999999999999999E-2</v>
      </c>
      <c r="F35">
        <v>20.402999999999999</v>
      </c>
      <c r="G35" t="s">
        <v>41</v>
      </c>
      <c r="H35" s="1">
        <v>14694</v>
      </c>
      <c r="I35">
        <v>7.6829999999999998</v>
      </c>
      <c r="J35">
        <v>5.2030000000000003</v>
      </c>
      <c r="K35">
        <v>0.99299999999999999</v>
      </c>
      <c r="L35">
        <v>25.135999999999999</v>
      </c>
      <c r="M35" t="s">
        <v>40</v>
      </c>
      <c r="N35" s="1">
        <v>8665</v>
      </c>
      <c r="O35">
        <v>3.11</v>
      </c>
      <c r="P35">
        <v>3.62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23359</v>
      </c>
      <c r="C36">
        <v>7.5750000000000002</v>
      </c>
      <c r="D36">
        <v>5.1479999999999997</v>
      </c>
      <c r="E36">
        <v>0.99299999999999999</v>
      </c>
      <c r="F36">
        <v>25.135999999999999</v>
      </c>
      <c r="G36" t="s">
        <v>173</v>
      </c>
      <c r="H36" s="1">
        <v>14694</v>
      </c>
      <c r="I36">
        <v>1.29</v>
      </c>
      <c r="J36">
        <v>6.5069999999999997</v>
      </c>
      <c r="K36">
        <v>4.2999999999999997E-2</v>
      </c>
      <c r="L36">
        <v>196.49</v>
      </c>
      <c r="M36" t="s">
        <v>41</v>
      </c>
      <c r="N36" s="1">
        <v>8665</v>
      </c>
      <c r="O36">
        <v>7.3920000000000003</v>
      </c>
      <c r="P36">
        <v>5.048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23359</v>
      </c>
      <c r="C37">
        <v>1.256</v>
      </c>
      <c r="D37">
        <v>6.1909999999999998</v>
      </c>
      <c r="E37">
        <v>4.2999999999999997E-2</v>
      </c>
      <c r="F37">
        <v>196.49</v>
      </c>
      <c r="G37" t="s">
        <v>174</v>
      </c>
      <c r="H37" s="1">
        <v>14694</v>
      </c>
      <c r="I37">
        <v>1.948</v>
      </c>
      <c r="J37">
        <v>1.33</v>
      </c>
      <c r="K37">
        <v>7.3999999999999996E-2</v>
      </c>
      <c r="L37">
        <v>7.2789999999999999</v>
      </c>
      <c r="M37" t="s">
        <v>173</v>
      </c>
      <c r="N37" s="1">
        <v>8665</v>
      </c>
      <c r="O37">
        <v>1.198</v>
      </c>
      <c r="P37">
        <v>5.6139999999999999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23359</v>
      </c>
      <c r="C38">
        <v>1.9430000000000001</v>
      </c>
      <c r="D38">
        <v>1.3180000000000001</v>
      </c>
      <c r="E38">
        <v>7.0999999999999994E-2</v>
      </c>
      <c r="F38">
        <v>7.2789999999999999</v>
      </c>
      <c r="G38" t="s">
        <v>175</v>
      </c>
      <c r="H38" s="1">
        <v>14694</v>
      </c>
      <c r="I38">
        <v>1.839</v>
      </c>
      <c r="J38">
        <v>1.208</v>
      </c>
      <c r="K38">
        <v>3.4000000000000002E-2</v>
      </c>
      <c r="L38">
        <v>6.8040000000000003</v>
      </c>
      <c r="M38" t="s">
        <v>174</v>
      </c>
      <c r="N38" s="1">
        <v>8665</v>
      </c>
      <c r="O38">
        <v>1.9339999999999999</v>
      </c>
      <c r="P38">
        <v>1.2989999999999999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23359</v>
      </c>
      <c r="C39">
        <v>1.806</v>
      </c>
      <c r="D39">
        <v>1.1990000000000001</v>
      </c>
      <c r="E39">
        <v>3.4000000000000002E-2</v>
      </c>
      <c r="F39">
        <v>6.8040000000000003</v>
      </c>
      <c r="G39" t="s">
        <v>42</v>
      </c>
      <c r="H39" s="1">
        <v>14694</v>
      </c>
      <c r="I39">
        <v>0.28299999999999997</v>
      </c>
      <c r="J39">
        <v>0.17199999999999999</v>
      </c>
      <c r="K39">
        <v>0</v>
      </c>
      <c r="L39">
        <v>1</v>
      </c>
      <c r="M39" t="s">
        <v>175</v>
      </c>
      <c r="N39" s="1">
        <v>8665</v>
      </c>
      <c r="O39">
        <v>1.75</v>
      </c>
      <c r="P39">
        <v>1.1819999999999999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23359</v>
      </c>
      <c r="C40">
        <v>0.27600000000000002</v>
      </c>
      <c r="D40">
        <v>0.17499999999999999</v>
      </c>
      <c r="E40">
        <v>0</v>
      </c>
      <c r="F40">
        <v>1</v>
      </c>
      <c r="G40" t="s">
        <v>43</v>
      </c>
      <c r="H40" s="1">
        <v>14694</v>
      </c>
      <c r="I40">
        <v>2.4E-2</v>
      </c>
      <c r="J40">
        <v>3.1E-2</v>
      </c>
      <c r="K40">
        <v>0</v>
      </c>
      <c r="L40">
        <v>0.77600000000000002</v>
      </c>
      <c r="M40" t="s">
        <v>42</v>
      </c>
      <c r="N40" s="1">
        <v>8665</v>
      </c>
      <c r="O40">
        <v>0.26600000000000001</v>
      </c>
      <c r="P40">
        <v>0.17899999999999999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23359</v>
      </c>
      <c r="C41">
        <v>2.3E-2</v>
      </c>
      <c r="D41">
        <v>3.4000000000000002E-2</v>
      </c>
      <c r="E41">
        <v>0</v>
      </c>
      <c r="F41">
        <v>0.77600000000000002</v>
      </c>
      <c r="G41" t="s">
        <v>44</v>
      </c>
      <c r="H41" s="1">
        <v>14694</v>
      </c>
      <c r="I41">
        <v>0.42899999999999999</v>
      </c>
      <c r="J41">
        <v>0.17699999999999999</v>
      </c>
      <c r="K41">
        <v>0</v>
      </c>
      <c r="L41">
        <v>1</v>
      </c>
      <c r="M41" t="s">
        <v>43</v>
      </c>
      <c r="N41" s="1">
        <v>8665</v>
      </c>
      <c r="O41">
        <v>2.1999999999999999E-2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23359</v>
      </c>
      <c r="C42">
        <v>0.439</v>
      </c>
      <c r="D42">
        <v>0.183</v>
      </c>
      <c r="E42">
        <v>0</v>
      </c>
      <c r="F42">
        <v>1</v>
      </c>
      <c r="G42" t="s">
        <v>45</v>
      </c>
      <c r="H42" s="1">
        <v>14694</v>
      </c>
      <c r="I42">
        <v>5.8999999999999997E-2</v>
      </c>
      <c r="J42">
        <v>6.9000000000000006E-2</v>
      </c>
      <c r="K42">
        <v>0</v>
      </c>
      <c r="L42">
        <v>0.55700000000000005</v>
      </c>
      <c r="M42" t="s">
        <v>44</v>
      </c>
      <c r="N42" s="1">
        <v>8665</v>
      </c>
      <c r="O42">
        <v>0.45500000000000002</v>
      </c>
      <c r="P42">
        <v>0.192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23359</v>
      </c>
      <c r="C43">
        <v>5.8000000000000003E-2</v>
      </c>
      <c r="D43">
        <v>7.4999999999999997E-2</v>
      </c>
      <c r="E43">
        <v>0</v>
      </c>
      <c r="F43">
        <v>0.64</v>
      </c>
      <c r="G43" t="s">
        <v>46</v>
      </c>
      <c r="H43" s="1">
        <v>14694</v>
      </c>
      <c r="I43">
        <v>0.81399999999999995</v>
      </c>
      <c r="J43">
        <v>0.20599999999999999</v>
      </c>
      <c r="K43">
        <v>7.0000000000000007E-2</v>
      </c>
      <c r="L43">
        <v>1</v>
      </c>
      <c r="M43" t="s">
        <v>45</v>
      </c>
      <c r="N43" s="1">
        <v>8665</v>
      </c>
      <c r="O43">
        <v>5.7000000000000002E-2</v>
      </c>
      <c r="P43">
        <v>8.5000000000000006E-2</v>
      </c>
      <c r="Q43">
        <v>0</v>
      </c>
      <c r="R43">
        <v>0.64</v>
      </c>
    </row>
    <row r="44" spans="1:18" x14ac:dyDescent="0.25">
      <c r="A44" t="s">
        <v>46</v>
      </c>
      <c r="B44" s="1">
        <v>23359</v>
      </c>
      <c r="C44">
        <v>0.81699999999999995</v>
      </c>
      <c r="D44">
        <v>0.20100000000000001</v>
      </c>
      <c r="E44">
        <v>7.0000000000000007E-2</v>
      </c>
      <c r="F44">
        <v>1</v>
      </c>
      <c r="G44" t="s">
        <v>47</v>
      </c>
      <c r="H44" s="1">
        <v>14694</v>
      </c>
      <c r="I44">
        <v>0.186</v>
      </c>
      <c r="J44">
        <v>0.20599999999999999</v>
      </c>
      <c r="K44">
        <v>0</v>
      </c>
      <c r="L44">
        <v>0.93</v>
      </c>
      <c r="M44" t="s">
        <v>46</v>
      </c>
      <c r="N44" s="1">
        <v>8665</v>
      </c>
      <c r="O44">
        <v>0.82399999999999995</v>
      </c>
      <c r="P44">
        <v>0.191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23359</v>
      </c>
      <c r="C45">
        <v>0.182</v>
      </c>
      <c r="D45">
        <v>0.2</v>
      </c>
      <c r="E45">
        <v>0</v>
      </c>
      <c r="F45">
        <v>0.93</v>
      </c>
      <c r="G45" t="s">
        <v>48</v>
      </c>
      <c r="H45" s="1">
        <v>14694</v>
      </c>
      <c r="I45">
        <v>0.52700000000000002</v>
      </c>
      <c r="J45">
        <v>0.189</v>
      </c>
      <c r="K45">
        <v>0</v>
      </c>
      <c r="L45">
        <v>1</v>
      </c>
      <c r="M45" t="s">
        <v>47</v>
      </c>
      <c r="N45" s="1">
        <v>8665</v>
      </c>
      <c r="O45">
        <v>0.17499999999999999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23359</v>
      </c>
      <c r="C46">
        <v>0.53900000000000003</v>
      </c>
      <c r="D46">
        <v>0.192</v>
      </c>
      <c r="E46">
        <v>0</v>
      </c>
      <c r="F46">
        <v>1</v>
      </c>
      <c r="G46" t="s">
        <v>49</v>
      </c>
      <c r="H46" s="1">
        <v>14694</v>
      </c>
      <c r="I46">
        <v>0.47199999999999998</v>
      </c>
      <c r="J46">
        <v>0.189</v>
      </c>
      <c r="K46">
        <v>0</v>
      </c>
      <c r="L46">
        <v>1</v>
      </c>
      <c r="M46" t="s">
        <v>48</v>
      </c>
      <c r="N46" s="1">
        <v>8665</v>
      </c>
      <c r="O46">
        <v>0.56000000000000005</v>
      </c>
      <c r="P46">
        <v>0.19600000000000001</v>
      </c>
      <c r="Q46">
        <v>0</v>
      </c>
      <c r="R46">
        <v>1</v>
      </c>
    </row>
    <row r="47" spans="1:18" x14ac:dyDescent="0.25">
      <c r="A47" t="s">
        <v>49</v>
      </c>
      <c r="B47" s="1">
        <v>23359</v>
      </c>
      <c r="C47">
        <v>0.46</v>
      </c>
      <c r="D47">
        <v>0.192</v>
      </c>
      <c r="E47">
        <v>0</v>
      </c>
      <c r="F47">
        <v>1</v>
      </c>
      <c r="G47" t="s">
        <v>50</v>
      </c>
      <c r="H47" s="1">
        <v>14694</v>
      </c>
      <c r="I47">
        <v>11.456</v>
      </c>
      <c r="J47">
        <v>39.076999999999998</v>
      </c>
      <c r="K47">
        <v>0</v>
      </c>
      <c r="L47">
        <v>651</v>
      </c>
      <c r="M47" t="s">
        <v>49</v>
      </c>
      <c r="N47" s="1">
        <v>8665</v>
      </c>
      <c r="O47">
        <v>0.439</v>
      </c>
      <c r="P47">
        <v>0.19600000000000001</v>
      </c>
      <c r="Q47">
        <v>0</v>
      </c>
      <c r="R47">
        <v>1</v>
      </c>
    </row>
    <row r="48" spans="1:18" x14ac:dyDescent="0.25">
      <c r="A48" t="s">
        <v>50</v>
      </c>
      <c r="B48" s="1">
        <v>23359</v>
      </c>
      <c r="C48">
        <v>11.28</v>
      </c>
      <c r="D48">
        <v>40.374000000000002</v>
      </c>
      <c r="E48">
        <v>0</v>
      </c>
      <c r="F48" s="1">
        <v>1000</v>
      </c>
      <c r="G48" t="s">
        <v>51</v>
      </c>
      <c r="H48" s="1">
        <v>14694</v>
      </c>
      <c r="I48">
        <v>1.2310000000000001</v>
      </c>
      <c r="J48">
        <v>1.8260000000000001</v>
      </c>
      <c r="K48">
        <v>0</v>
      </c>
      <c r="L48">
        <v>36</v>
      </c>
      <c r="M48" t="s">
        <v>50</v>
      </c>
      <c r="N48" s="1">
        <v>8665</v>
      </c>
      <c r="O48">
        <v>10.981</v>
      </c>
      <c r="P48">
        <v>42.482999999999997</v>
      </c>
      <c r="Q48">
        <v>0</v>
      </c>
      <c r="R48" s="1">
        <v>1000</v>
      </c>
    </row>
    <row r="49" spans="1:18" x14ac:dyDescent="0.25">
      <c r="A49" t="s">
        <v>51</v>
      </c>
      <c r="B49" s="1">
        <v>23359</v>
      </c>
      <c r="C49">
        <v>1.278</v>
      </c>
      <c r="D49">
        <v>1.857</v>
      </c>
      <c r="E49">
        <v>0</v>
      </c>
      <c r="F49">
        <v>36</v>
      </c>
      <c r="G49" t="s">
        <v>52</v>
      </c>
      <c r="H49" s="1">
        <v>14694</v>
      </c>
      <c r="I49">
        <v>0.35599999999999998</v>
      </c>
      <c r="J49">
        <v>0.47899999999999998</v>
      </c>
      <c r="K49">
        <v>0</v>
      </c>
      <c r="L49">
        <v>1</v>
      </c>
      <c r="M49" t="s">
        <v>51</v>
      </c>
      <c r="N49" s="1">
        <v>8665</v>
      </c>
      <c r="O49">
        <v>1.357</v>
      </c>
      <c r="P49">
        <v>1.9059999999999999</v>
      </c>
      <c r="Q49">
        <v>0</v>
      </c>
      <c r="R49">
        <v>23</v>
      </c>
    </row>
    <row r="50" spans="1:18" x14ac:dyDescent="0.25">
      <c r="A50" t="s">
        <v>52</v>
      </c>
      <c r="B50" s="1">
        <v>23359</v>
      </c>
      <c r="C50">
        <v>0.35799999999999998</v>
      </c>
      <c r="D50">
        <v>0.47899999999999998</v>
      </c>
      <c r="E50">
        <v>0</v>
      </c>
      <c r="F50">
        <v>1</v>
      </c>
      <c r="G50" t="s">
        <v>53</v>
      </c>
      <c r="H50" s="1">
        <v>14694</v>
      </c>
      <c r="I50" s="2">
        <v>2359773</v>
      </c>
      <c r="J50" s="2">
        <v>6978.7780000000002</v>
      </c>
      <c r="K50" s="2">
        <v>2351041</v>
      </c>
      <c r="L50" s="2">
        <v>2400056</v>
      </c>
      <c r="M50" t="s">
        <v>52</v>
      </c>
      <c r="N50" s="1">
        <v>8665</v>
      </c>
      <c r="O50">
        <v>0.36099999999999999</v>
      </c>
      <c r="P50">
        <v>0.48</v>
      </c>
      <c r="Q50">
        <v>0</v>
      </c>
      <c r="R50">
        <v>1</v>
      </c>
    </row>
    <row r="51" spans="1:18" x14ac:dyDescent="0.25">
      <c r="A51" t="s">
        <v>53</v>
      </c>
      <c r="B51" s="1">
        <v>23359</v>
      </c>
      <c r="C51" s="2">
        <v>2359578</v>
      </c>
      <c r="D51" s="2">
        <v>6889.6779999999999</v>
      </c>
      <c r="E51" s="2">
        <v>2351041</v>
      </c>
      <c r="F51" s="2">
        <v>2400056</v>
      </c>
      <c r="G51" t="s">
        <v>54</v>
      </c>
      <c r="H51" s="1">
        <v>14694</v>
      </c>
      <c r="I51" s="2">
        <v>614345.9</v>
      </c>
      <c r="J51" s="2">
        <v>11436.43</v>
      </c>
      <c r="K51" s="2">
        <v>580446.1</v>
      </c>
      <c r="L51" s="2">
        <v>637819.69999999995</v>
      </c>
      <c r="M51" t="s">
        <v>53</v>
      </c>
      <c r="N51" s="1">
        <v>8665</v>
      </c>
      <c r="O51" s="2">
        <v>2359246</v>
      </c>
      <c r="P51" s="2">
        <v>6723.2809999999999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23359</v>
      </c>
      <c r="C52" s="2">
        <v>614645.9</v>
      </c>
      <c r="D52" s="2">
        <v>11418.35</v>
      </c>
      <c r="E52" s="2">
        <v>580446.1</v>
      </c>
      <c r="F52" s="2">
        <v>637819.69999999995</v>
      </c>
      <c r="G52" t="s">
        <v>56</v>
      </c>
      <c r="H52" s="1">
        <v>14694</v>
      </c>
      <c r="I52" s="2">
        <v>1</v>
      </c>
      <c r="J52" s="2">
        <v>0</v>
      </c>
      <c r="K52" s="2">
        <v>1</v>
      </c>
      <c r="L52" s="2">
        <v>1</v>
      </c>
      <c r="M52" t="s">
        <v>54</v>
      </c>
      <c r="N52" s="1">
        <v>8665</v>
      </c>
      <c r="O52" s="2">
        <v>615154.6</v>
      </c>
      <c r="P52" s="2">
        <v>11370.22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23359</v>
      </c>
      <c r="C53">
        <v>1</v>
      </c>
      <c r="D53">
        <v>0</v>
      </c>
      <c r="E53">
        <v>1</v>
      </c>
      <c r="F53">
        <v>1</v>
      </c>
      <c r="G53" t="s">
        <v>57</v>
      </c>
      <c r="H53" s="1">
        <v>14694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8665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23359</v>
      </c>
      <c r="C54">
        <v>0</v>
      </c>
      <c r="D54">
        <v>0</v>
      </c>
      <c r="E54">
        <v>0</v>
      </c>
      <c r="F54">
        <v>0</v>
      </c>
      <c r="G54" t="s">
        <v>58</v>
      </c>
      <c r="H54" s="1">
        <v>14694</v>
      </c>
      <c r="I54">
        <v>0.27600000000000002</v>
      </c>
      <c r="J54">
        <v>0.44700000000000001</v>
      </c>
      <c r="K54">
        <v>0</v>
      </c>
      <c r="L54">
        <v>1</v>
      </c>
      <c r="M54" t="s">
        <v>57</v>
      </c>
      <c r="N54" s="1">
        <v>8665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23359</v>
      </c>
      <c r="C55">
        <v>0.26300000000000001</v>
      </c>
      <c r="D55">
        <v>0.44</v>
      </c>
      <c r="E55">
        <v>0</v>
      </c>
      <c r="F55">
        <v>1</v>
      </c>
      <c r="G55" t="s">
        <v>59</v>
      </c>
      <c r="H55" s="1">
        <v>14694</v>
      </c>
      <c r="I55">
        <v>0.20899999999999999</v>
      </c>
      <c r="J55">
        <v>0.40600000000000003</v>
      </c>
      <c r="K55">
        <v>0</v>
      </c>
      <c r="L55">
        <v>1</v>
      </c>
      <c r="M55" t="s">
        <v>58</v>
      </c>
      <c r="N55" s="1">
        <v>8665</v>
      </c>
      <c r="O55">
        <v>0.24199999999999999</v>
      </c>
      <c r="P55">
        <v>0.42799999999999999</v>
      </c>
      <c r="Q55">
        <v>0</v>
      </c>
      <c r="R55">
        <v>1</v>
      </c>
    </row>
    <row r="56" spans="1:18" x14ac:dyDescent="0.25">
      <c r="A56" t="s">
        <v>59</v>
      </c>
      <c r="B56" s="1">
        <v>23359</v>
      </c>
      <c r="C56">
        <v>0.19700000000000001</v>
      </c>
      <c r="D56">
        <v>0.39800000000000002</v>
      </c>
      <c r="E56">
        <v>0</v>
      </c>
      <c r="F56">
        <v>1</v>
      </c>
      <c r="G56" t="s">
        <v>60</v>
      </c>
      <c r="H56" s="1">
        <v>14694</v>
      </c>
      <c r="I56">
        <v>0.51500000000000001</v>
      </c>
      <c r="J56">
        <v>0.5</v>
      </c>
      <c r="K56">
        <v>0</v>
      </c>
      <c r="L56">
        <v>1</v>
      </c>
      <c r="M56" t="s">
        <v>59</v>
      </c>
      <c r="N56" s="1">
        <v>8665</v>
      </c>
      <c r="O56">
        <v>0.17799999999999999</v>
      </c>
      <c r="P56">
        <v>0.38300000000000001</v>
      </c>
      <c r="Q56">
        <v>0</v>
      </c>
      <c r="R56">
        <v>1</v>
      </c>
    </row>
    <row r="57" spans="1:18" x14ac:dyDescent="0.25">
      <c r="A57" t="s">
        <v>60</v>
      </c>
      <c r="B57" s="1">
        <v>23359</v>
      </c>
      <c r="C57">
        <v>0.53900000000000003</v>
      </c>
      <c r="D57">
        <v>0.498</v>
      </c>
      <c r="E57">
        <v>0</v>
      </c>
      <c r="F57">
        <v>1</v>
      </c>
      <c r="G57" t="s">
        <v>61</v>
      </c>
      <c r="H57" s="1">
        <v>14694</v>
      </c>
      <c r="I57" s="2">
        <v>2017.4970000000001</v>
      </c>
      <c r="J57">
        <v>1.1579999999999999</v>
      </c>
      <c r="K57" s="1">
        <v>2016</v>
      </c>
      <c r="L57" s="1">
        <v>2020</v>
      </c>
      <c r="M57" t="s">
        <v>60</v>
      </c>
      <c r="N57" s="1">
        <v>8665</v>
      </c>
      <c r="O57">
        <v>0.57999999999999996</v>
      </c>
      <c r="P57">
        <v>0.49399999999999999</v>
      </c>
      <c r="Q57">
        <v>0</v>
      </c>
      <c r="R57">
        <v>1</v>
      </c>
    </row>
    <row r="58" spans="1:18" x14ac:dyDescent="0.25">
      <c r="A58" t="s">
        <v>61</v>
      </c>
      <c r="B58" s="1">
        <v>23359</v>
      </c>
      <c r="C58" s="2">
        <v>2018.816</v>
      </c>
      <c r="D58">
        <v>2.0009999999999999</v>
      </c>
      <c r="E58" s="1">
        <v>2016</v>
      </c>
      <c r="F58" s="1">
        <v>2023</v>
      </c>
      <c r="G58" t="s">
        <v>62</v>
      </c>
      <c r="H58" s="1">
        <v>14694</v>
      </c>
      <c r="I58" s="2">
        <v>0.11</v>
      </c>
      <c r="J58">
        <v>0.313</v>
      </c>
      <c r="K58" s="1">
        <v>0</v>
      </c>
      <c r="L58" s="1">
        <v>1</v>
      </c>
      <c r="M58" t="s">
        <v>61</v>
      </c>
      <c r="N58" s="1">
        <v>8665</v>
      </c>
      <c r="O58" s="2">
        <v>2021.0519999999999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23359</v>
      </c>
      <c r="C59">
        <v>0.10100000000000001</v>
      </c>
      <c r="D59">
        <v>0.30099999999999999</v>
      </c>
      <c r="E59">
        <v>0</v>
      </c>
      <c r="F59">
        <v>1</v>
      </c>
      <c r="G59" t="s">
        <v>63</v>
      </c>
      <c r="H59" s="1">
        <v>14694</v>
      </c>
      <c r="I59" s="2">
        <v>2.9999999999999997E-4</v>
      </c>
      <c r="J59">
        <v>1.7999999999999999E-2</v>
      </c>
      <c r="K59" s="1">
        <v>0</v>
      </c>
      <c r="L59" s="1">
        <v>1</v>
      </c>
      <c r="M59" t="s">
        <v>62</v>
      </c>
      <c r="N59" s="1">
        <v>8665</v>
      </c>
      <c r="O59">
        <v>8.5999999999999993E-2</v>
      </c>
      <c r="P59">
        <v>0.28000000000000003</v>
      </c>
      <c r="Q59">
        <v>0</v>
      </c>
      <c r="R59">
        <v>1</v>
      </c>
    </row>
    <row r="60" spans="1:18" x14ac:dyDescent="0.25">
      <c r="A60" t="s">
        <v>63</v>
      </c>
      <c r="B60" s="1">
        <v>23359</v>
      </c>
      <c r="C60">
        <v>4.0000000000000002E-4</v>
      </c>
      <c r="D60">
        <v>2.1000000000000001E-2</v>
      </c>
      <c r="E60">
        <v>0</v>
      </c>
      <c r="F60">
        <v>1</v>
      </c>
      <c r="G60" t="s">
        <v>64</v>
      </c>
      <c r="H60" s="1">
        <v>14694</v>
      </c>
      <c r="I60">
        <v>5.1999999999999998E-2</v>
      </c>
      <c r="J60">
        <v>0.222</v>
      </c>
      <c r="K60">
        <v>0</v>
      </c>
      <c r="L60">
        <v>1</v>
      </c>
      <c r="M60" t="s">
        <v>63</v>
      </c>
      <c r="N60" s="1">
        <v>8665</v>
      </c>
      <c r="O60">
        <v>1E-3</v>
      </c>
      <c r="P60">
        <v>2.4E-2</v>
      </c>
      <c r="Q60">
        <v>0</v>
      </c>
      <c r="R60">
        <v>1</v>
      </c>
    </row>
    <row r="61" spans="1:18" x14ac:dyDescent="0.25">
      <c r="A61" t="s">
        <v>64</v>
      </c>
      <c r="B61" s="1">
        <v>23359</v>
      </c>
      <c r="C61">
        <v>5.6000000000000001E-2</v>
      </c>
      <c r="D61">
        <v>0.23100000000000001</v>
      </c>
      <c r="E61">
        <v>0</v>
      </c>
      <c r="F61">
        <v>1</v>
      </c>
      <c r="G61" t="s">
        <v>65</v>
      </c>
      <c r="H61" s="1">
        <v>14694</v>
      </c>
      <c r="I61">
        <v>0.23</v>
      </c>
      <c r="J61">
        <v>0.42099999999999999</v>
      </c>
      <c r="K61">
        <v>0</v>
      </c>
      <c r="L61">
        <v>1</v>
      </c>
      <c r="M61" t="s">
        <v>64</v>
      </c>
      <c r="N61" s="1">
        <v>8665</v>
      </c>
      <c r="O61">
        <v>6.4000000000000001E-2</v>
      </c>
      <c r="P61">
        <v>0.24399999999999999</v>
      </c>
      <c r="Q61">
        <v>0</v>
      </c>
      <c r="R61">
        <v>1</v>
      </c>
    </row>
    <row r="62" spans="1:18" x14ac:dyDescent="0.25">
      <c r="A62" t="s">
        <v>65</v>
      </c>
      <c r="B62" s="1">
        <v>23359</v>
      </c>
      <c r="C62">
        <v>0.217</v>
      </c>
      <c r="D62">
        <v>0.41199999999999998</v>
      </c>
      <c r="E62">
        <v>0</v>
      </c>
      <c r="F62">
        <v>1</v>
      </c>
      <c r="G62" t="s">
        <v>66</v>
      </c>
      <c r="H62" s="1">
        <v>14694</v>
      </c>
      <c r="I62">
        <v>0.28100000000000003</v>
      </c>
      <c r="J62">
        <v>0.45</v>
      </c>
      <c r="K62">
        <v>0</v>
      </c>
      <c r="L62">
        <v>1</v>
      </c>
      <c r="M62" t="s">
        <v>65</v>
      </c>
      <c r="N62" s="1">
        <v>8665</v>
      </c>
      <c r="O62">
        <v>0.19600000000000001</v>
      </c>
      <c r="P62">
        <v>0.39700000000000002</v>
      </c>
      <c r="Q62">
        <v>0</v>
      </c>
      <c r="R62">
        <v>1</v>
      </c>
    </row>
    <row r="63" spans="1:18" x14ac:dyDescent="0.25">
      <c r="A63" t="s">
        <v>66</v>
      </c>
      <c r="B63" s="1">
        <v>23359</v>
      </c>
      <c r="C63">
        <v>0.29299999999999998</v>
      </c>
      <c r="D63">
        <v>0.45500000000000002</v>
      </c>
      <c r="E63">
        <v>0</v>
      </c>
      <c r="F63">
        <v>1</v>
      </c>
      <c r="G63" t="s">
        <v>67</v>
      </c>
      <c r="H63" s="1">
        <v>14694</v>
      </c>
      <c r="I63">
        <v>6.9000000000000006E-2</v>
      </c>
      <c r="J63">
        <v>0.254</v>
      </c>
      <c r="K63">
        <v>0</v>
      </c>
      <c r="L63">
        <v>1</v>
      </c>
      <c r="M63" t="s">
        <v>66</v>
      </c>
      <c r="N63" s="1">
        <v>8665</v>
      </c>
      <c r="O63">
        <v>0.313</v>
      </c>
      <c r="P63">
        <v>0.46400000000000002</v>
      </c>
      <c r="Q63">
        <v>0</v>
      </c>
      <c r="R63">
        <v>1</v>
      </c>
    </row>
    <row r="64" spans="1:18" x14ac:dyDescent="0.25">
      <c r="A64" t="s">
        <v>67</v>
      </c>
      <c r="B64" s="1">
        <v>23359</v>
      </c>
      <c r="C64">
        <v>7.0000000000000007E-2</v>
      </c>
      <c r="D64">
        <v>0.25600000000000001</v>
      </c>
      <c r="E64">
        <v>0</v>
      </c>
      <c r="F64">
        <v>1</v>
      </c>
      <c r="G64" t="s">
        <v>68</v>
      </c>
      <c r="H64" s="1">
        <v>14694</v>
      </c>
      <c r="I64">
        <v>0.19400000000000001</v>
      </c>
      <c r="J64">
        <v>0.39500000000000002</v>
      </c>
      <c r="K64">
        <v>0</v>
      </c>
      <c r="L64">
        <v>1</v>
      </c>
      <c r="M64" t="s">
        <v>67</v>
      </c>
      <c r="N64" s="1">
        <v>8665</v>
      </c>
      <c r="O64">
        <v>7.1999999999999995E-2</v>
      </c>
      <c r="P64">
        <v>0.25900000000000001</v>
      </c>
      <c r="Q64">
        <v>0</v>
      </c>
      <c r="R64">
        <v>1</v>
      </c>
    </row>
    <row r="65" spans="1:18" x14ac:dyDescent="0.25">
      <c r="A65" t="s">
        <v>68</v>
      </c>
      <c r="B65" s="1">
        <v>23359</v>
      </c>
      <c r="C65">
        <v>0.20300000000000001</v>
      </c>
      <c r="D65">
        <v>0.40200000000000002</v>
      </c>
      <c r="E65">
        <v>0</v>
      </c>
      <c r="F65">
        <v>1</v>
      </c>
      <c r="G65" t="s">
        <v>69</v>
      </c>
      <c r="H65" s="1">
        <v>14694</v>
      </c>
      <c r="I65">
        <v>6.3E-2</v>
      </c>
      <c r="J65">
        <v>0.24299999999999999</v>
      </c>
      <c r="K65">
        <v>0</v>
      </c>
      <c r="L65">
        <v>1</v>
      </c>
      <c r="M65" t="s">
        <v>68</v>
      </c>
      <c r="N65" s="1">
        <v>8665</v>
      </c>
      <c r="O65">
        <v>0.218</v>
      </c>
      <c r="P65">
        <v>0.41299999999999998</v>
      </c>
      <c r="Q65">
        <v>0</v>
      </c>
      <c r="R65">
        <v>1</v>
      </c>
    </row>
    <row r="66" spans="1:18" x14ac:dyDescent="0.25">
      <c r="A66" t="s">
        <v>69</v>
      </c>
      <c r="B66" s="1">
        <v>23359</v>
      </c>
      <c r="C66">
        <v>5.8999999999999997E-2</v>
      </c>
      <c r="D66">
        <v>0.23499999999999999</v>
      </c>
      <c r="E66">
        <v>0</v>
      </c>
      <c r="F66">
        <v>1</v>
      </c>
      <c r="G66" t="s">
        <v>70</v>
      </c>
      <c r="H66" s="1">
        <v>14694</v>
      </c>
      <c r="I66">
        <v>0.18</v>
      </c>
      <c r="J66">
        <v>0.38400000000000001</v>
      </c>
      <c r="K66">
        <v>0</v>
      </c>
      <c r="L66">
        <v>1</v>
      </c>
      <c r="M66" t="s">
        <v>69</v>
      </c>
      <c r="N66" s="1">
        <v>8665</v>
      </c>
      <c r="O66">
        <v>5.0999999999999997E-2</v>
      </c>
      <c r="P66">
        <v>0.221</v>
      </c>
      <c r="Q66">
        <v>0</v>
      </c>
      <c r="R66">
        <v>1</v>
      </c>
    </row>
    <row r="67" spans="1:18" x14ac:dyDescent="0.25">
      <c r="A67" t="s">
        <v>70</v>
      </c>
      <c r="B67" s="1">
        <v>23359</v>
      </c>
      <c r="C67">
        <v>0.185</v>
      </c>
      <c r="D67">
        <v>0.38800000000000001</v>
      </c>
      <c r="E67">
        <v>0</v>
      </c>
      <c r="F67">
        <v>1</v>
      </c>
      <c r="G67" t="s">
        <v>71</v>
      </c>
      <c r="H67" s="1">
        <v>14694</v>
      </c>
      <c r="I67">
        <v>0.371</v>
      </c>
      <c r="J67">
        <v>0.48299999999999998</v>
      </c>
      <c r="K67">
        <v>0</v>
      </c>
      <c r="L67">
        <v>1</v>
      </c>
      <c r="M67" t="s">
        <v>70</v>
      </c>
      <c r="N67" s="1">
        <v>8665</v>
      </c>
      <c r="O67">
        <v>0.193</v>
      </c>
      <c r="P67">
        <v>0.39500000000000002</v>
      </c>
      <c r="Q67">
        <v>0</v>
      </c>
      <c r="R67">
        <v>1</v>
      </c>
    </row>
    <row r="68" spans="1:18" x14ac:dyDescent="0.25">
      <c r="A68" t="s">
        <v>71</v>
      </c>
      <c r="B68" s="1">
        <v>23359</v>
      </c>
      <c r="C68">
        <v>0.35699999999999998</v>
      </c>
      <c r="D68">
        <v>0.47899999999999998</v>
      </c>
      <c r="E68">
        <v>0</v>
      </c>
      <c r="F68">
        <v>1</v>
      </c>
      <c r="G68" t="s">
        <v>72</v>
      </c>
      <c r="H68" s="1">
        <v>14694</v>
      </c>
      <c r="I68">
        <v>0.42199999999999999</v>
      </c>
      <c r="J68">
        <v>0.49399999999999999</v>
      </c>
      <c r="K68">
        <v>0</v>
      </c>
      <c r="L68">
        <v>1</v>
      </c>
      <c r="M68" t="s">
        <v>71</v>
      </c>
      <c r="N68" s="1">
        <v>8665</v>
      </c>
      <c r="O68">
        <v>0.33400000000000002</v>
      </c>
      <c r="P68">
        <v>0.47199999999999998</v>
      </c>
      <c r="Q68">
        <v>0</v>
      </c>
      <c r="R68">
        <v>1</v>
      </c>
    </row>
    <row r="69" spans="1:18" x14ac:dyDescent="0.25">
      <c r="A69" t="s">
        <v>72</v>
      </c>
      <c r="B69" s="1">
        <v>23359</v>
      </c>
      <c r="C69">
        <v>0.43</v>
      </c>
      <c r="D69">
        <v>0.495</v>
      </c>
      <c r="E69">
        <v>0</v>
      </c>
      <c r="F69">
        <v>1</v>
      </c>
      <c r="G69" t="s">
        <v>73</v>
      </c>
      <c r="H69" s="1">
        <v>14694</v>
      </c>
      <c r="I69">
        <v>2.7E-2</v>
      </c>
      <c r="J69">
        <v>0.16200000000000001</v>
      </c>
      <c r="K69">
        <v>0</v>
      </c>
      <c r="L69">
        <v>1</v>
      </c>
      <c r="M69" t="s">
        <v>72</v>
      </c>
      <c r="N69" s="1">
        <v>8665</v>
      </c>
      <c r="O69">
        <v>0.442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23359</v>
      </c>
      <c r="C70">
        <v>2.9000000000000001E-2</v>
      </c>
      <c r="D70">
        <v>0.16600000000000001</v>
      </c>
      <c r="E70">
        <v>0</v>
      </c>
      <c r="F70">
        <v>1</v>
      </c>
      <c r="G70" t="s">
        <v>165</v>
      </c>
      <c r="H70" s="1">
        <v>14694</v>
      </c>
      <c r="I70">
        <v>0.104</v>
      </c>
      <c r="J70">
        <v>0.30499999999999999</v>
      </c>
      <c r="K70">
        <v>0</v>
      </c>
      <c r="L70">
        <v>1</v>
      </c>
      <c r="M70" t="s">
        <v>73</v>
      </c>
      <c r="N70" s="1">
        <v>8665</v>
      </c>
      <c r="O70">
        <v>3.1E-2</v>
      </c>
      <c r="P70">
        <v>0.17399999999999999</v>
      </c>
      <c r="Q70">
        <v>0</v>
      </c>
      <c r="R70">
        <v>1</v>
      </c>
    </row>
    <row r="71" spans="1:18" x14ac:dyDescent="0.25">
      <c r="A71" t="s">
        <v>165</v>
      </c>
      <c r="B71" s="1">
        <v>23359</v>
      </c>
      <c r="C71">
        <v>0.10299999999999999</v>
      </c>
      <c r="D71">
        <v>0.30399999999999999</v>
      </c>
      <c r="E71">
        <v>0</v>
      </c>
      <c r="F71">
        <v>1</v>
      </c>
      <c r="G71" t="s">
        <v>166</v>
      </c>
      <c r="H71" s="1">
        <v>14694</v>
      </c>
      <c r="I71">
        <v>0.44</v>
      </c>
      <c r="J71">
        <v>0.496</v>
      </c>
      <c r="K71">
        <v>0</v>
      </c>
      <c r="L71">
        <v>1</v>
      </c>
      <c r="M71" t="s">
        <v>165</v>
      </c>
      <c r="N71" s="1">
        <v>8665</v>
      </c>
      <c r="O71">
        <v>0.10199999999999999</v>
      </c>
      <c r="P71">
        <v>0.30199999999999999</v>
      </c>
      <c r="Q71">
        <v>0</v>
      </c>
      <c r="R71">
        <v>1</v>
      </c>
    </row>
    <row r="72" spans="1:18" x14ac:dyDescent="0.25">
      <c r="A72" t="s">
        <v>166</v>
      </c>
      <c r="B72" s="1">
        <v>23359</v>
      </c>
      <c r="C72">
        <v>0.45600000000000002</v>
      </c>
      <c r="D72">
        <v>0.498</v>
      </c>
      <c r="E72">
        <v>0</v>
      </c>
      <c r="F72">
        <v>1</v>
      </c>
      <c r="G72" t="s">
        <v>167</v>
      </c>
      <c r="H72" s="1">
        <v>14694</v>
      </c>
      <c r="I72">
        <v>0.438</v>
      </c>
      <c r="J72">
        <v>0.496</v>
      </c>
      <c r="K72">
        <v>0</v>
      </c>
      <c r="L72">
        <v>1</v>
      </c>
      <c r="M72" t="s">
        <v>166</v>
      </c>
      <c r="N72" s="1">
        <v>8665</v>
      </c>
      <c r="O72">
        <v>0.48199999999999998</v>
      </c>
      <c r="P72">
        <v>0.5</v>
      </c>
      <c r="Q72">
        <v>0</v>
      </c>
      <c r="R72">
        <v>1</v>
      </c>
    </row>
    <row r="73" spans="1:18" x14ac:dyDescent="0.25">
      <c r="A73" t="s">
        <v>167</v>
      </c>
      <c r="B73" s="1">
        <v>23359</v>
      </c>
      <c r="C73">
        <v>0.42299999999999999</v>
      </c>
      <c r="D73">
        <v>0.49399999999999999</v>
      </c>
      <c r="E73">
        <v>0</v>
      </c>
      <c r="F73">
        <v>1</v>
      </c>
      <c r="G73" t="s">
        <v>168</v>
      </c>
      <c r="H73" s="1">
        <v>14694</v>
      </c>
      <c r="I73">
        <v>8.9999999999999993E-3</v>
      </c>
      <c r="J73">
        <v>9.2999999999999999E-2</v>
      </c>
      <c r="K73">
        <v>0</v>
      </c>
      <c r="L73">
        <v>1</v>
      </c>
      <c r="M73" t="s">
        <v>167</v>
      </c>
      <c r="N73" s="1">
        <v>8665</v>
      </c>
      <c r="O73">
        <v>0.39700000000000002</v>
      </c>
      <c r="P73">
        <v>0.48899999999999999</v>
      </c>
      <c r="Q73">
        <v>0</v>
      </c>
      <c r="R73">
        <v>1</v>
      </c>
    </row>
    <row r="74" spans="1:18" x14ac:dyDescent="0.25">
      <c r="A74" t="s">
        <v>168</v>
      </c>
      <c r="B74" s="1">
        <v>23359</v>
      </c>
      <c r="C74">
        <v>8.9999999999999993E-3</v>
      </c>
      <c r="D74">
        <v>9.5000000000000001E-2</v>
      </c>
      <c r="E74">
        <v>0</v>
      </c>
      <c r="F74">
        <v>1</v>
      </c>
      <c r="G74" t="s">
        <v>169</v>
      </c>
      <c r="H74" s="1">
        <v>14694</v>
      </c>
      <c r="I74">
        <v>8.0000000000000002E-3</v>
      </c>
      <c r="J74">
        <v>8.8999999999999996E-2</v>
      </c>
      <c r="K74">
        <v>0</v>
      </c>
      <c r="L74">
        <v>1</v>
      </c>
      <c r="M74" t="s">
        <v>168</v>
      </c>
      <c r="N74" s="1">
        <v>8665</v>
      </c>
      <c r="O74">
        <v>8.9999999999999993E-3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23359</v>
      </c>
      <c r="C75">
        <v>8.0000000000000002E-3</v>
      </c>
      <c r="D75">
        <v>0.09</v>
      </c>
      <c r="E75">
        <v>0</v>
      </c>
      <c r="F75">
        <v>1</v>
      </c>
      <c r="G75" t="s">
        <v>170</v>
      </c>
      <c r="H75" s="1">
        <v>14694</v>
      </c>
      <c r="I75">
        <v>1E-3</v>
      </c>
      <c r="J75">
        <v>3.4000000000000002E-2</v>
      </c>
      <c r="K75">
        <v>0</v>
      </c>
      <c r="L75">
        <v>1</v>
      </c>
      <c r="M75" t="s">
        <v>169</v>
      </c>
      <c r="N75" s="1">
        <v>8665</v>
      </c>
      <c r="O75">
        <v>8.0000000000000002E-3</v>
      </c>
      <c r="P75">
        <v>9.0999999999999998E-2</v>
      </c>
      <c r="Q75">
        <v>0</v>
      </c>
      <c r="R75">
        <v>1</v>
      </c>
    </row>
    <row r="76" spans="1:18" x14ac:dyDescent="0.25">
      <c r="A76" t="s">
        <v>170</v>
      </c>
      <c r="B76" s="1">
        <v>23359</v>
      </c>
      <c r="C76">
        <v>1E-3</v>
      </c>
      <c r="D76">
        <v>3.5000000000000003E-2</v>
      </c>
      <c r="E76">
        <v>0</v>
      </c>
      <c r="F76">
        <v>1</v>
      </c>
      <c r="G76" t="s">
        <v>79</v>
      </c>
      <c r="H76" s="1">
        <v>14694</v>
      </c>
      <c r="I76">
        <v>0.20499999999999999</v>
      </c>
      <c r="J76">
        <v>0.40400000000000003</v>
      </c>
      <c r="K76">
        <v>0</v>
      </c>
      <c r="L76">
        <v>1</v>
      </c>
      <c r="M76" t="s">
        <v>170</v>
      </c>
      <c r="N76" s="1">
        <v>8665</v>
      </c>
      <c r="O76">
        <v>1E-3</v>
      </c>
      <c r="P76">
        <v>3.6999999999999998E-2</v>
      </c>
      <c r="Q76">
        <v>0</v>
      </c>
      <c r="R76">
        <v>1</v>
      </c>
    </row>
    <row r="77" spans="1:18" x14ac:dyDescent="0.25">
      <c r="A77" t="s">
        <v>79</v>
      </c>
      <c r="B77" s="1">
        <v>23359</v>
      </c>
      <c r="C77">
        <v>0.20599999999999999</v>
      </c>
      <c r="D77">
        <v>0.40400000000000003</v>
      </c>
      <c r="E77">
        <v>0</v>
      </c>
      <c r="F77">
        <v>1</v>
      </c>
      <c r="G77" t="s">
        <v>80</v>
      </c>
      <c r="H77" s="1">
        <v>14694</v>
      </c>
      <c r="I77">
        <v>8.9999999999999993E-3</v>
      </c>
      <c r="J77">
        <v>9.7000000000000003E-2</v>
      </c>
      <c r="K77">
        <v>0</v>
      </c>
      <c r="L77">
        <v>1</v>
      </c>
      <c r="M77" t="s">
        <v>79</v>
      </c>
      <c r="N77" s="1">
        <v>8665</v>
      </c>
      <c r="O77">
        <v>0.20599999999999999</v>
      </c>
      <c r="P77">
        <v>0.40400000000000003</v>
      </c>
      <c r="Q77">
        <v>0</v>
      </c>
      <c r="R77">
        <v>1</v>
      </c>
    </row>
    <row r="78" spans="1:18" x14ac:dyDescent="0.25">
      <c r="A78" t="s">
        <v>80</v>
      </c>
      <c r="B78" s="1">
        <v>23359</v>
      </c>
      <c r="C78">
        <v>1.0999999999999999E-2</v>
      </c>
      <c r="D78">
        <v>0.105</v>
      </c>
      <c r="E78">
        <v>0</v>
      </c>
      <c r="F78">
        <v>1</v>
      </c>
      <c r="G78" t="s">
        <v>81</v>
      </c>
      <c r="H78" s="1">
        <v>14694</v>
      </c>
      <c r="I78">
        <v>1E-3</v>
      </c>
      <c r="J78">
        <v>2.5000000000000001E-2</v>
      </c>
      <c r="K78">
        <v>0</v>
      </c>
      <c r="L78">
        <v>1</v>
      </c>
      <c r="M78" t="s">
        <v>80</v>
      </c>
      <c r="N78" s="1">
        <v>8665</v>
      </c>
      <c r="O78">
        <v>1.4E-2</v>
      </c>
      <c r="P78">
        <v>0.11600000000000001</v>
      </c>
      <c r="Q78">
        <v>0</v>
      </c>
      <c r="R78">
        <v>1</v>
      </c>
    </row>
    <row r="79" spans="1:18" x14ac:dyDescent="0.25">
      <c r="A79" t="s">
        <v>81</v>
      </c>
      <c r="B79" s="1">
        <v>23359</v>
      </c>
      <c r="C79">
        <v>1E-3</v>
      </c>
      <c r="D79">
        <v>2.4E-2</v>
      </c>
      <c r="E79">
        <v>0</v>
      </c>
      <c r="F79">
        <v>1</v>
      </c>
      <c r="G79" t="s">
        <v>82</v>
      </c>
      <c r="H79" s="1">
        <v>14694</v>
      </c>
      <c r="I79">
        <v>7.4999999999999997E-2</v>
      </c>
      <c r="J79">
        <v>0.26400000000000001</v>
      </c>
      <c r="K79">
        <v>0</v>
      </c>
      <c r="L79">
        <v>1</v>
      </c>
      <c r="M79" t="s">
        <v>81</v>
      </c>
      <c r="N79" s="1">
        <v>8665</v>
      </c>
      <c r="O79">
        <v>1E-3</v>
      </c>
      <c r="P79">
        <v>2.4E-2</v>
      </c>
      <c r="Q79">
        <v>0</v>
      </c>
      <c r="R79">
        <v>1</v>
      </c>
    </row>
    <row r="80" spans="1:18" x14ac:dyDescent="0.25">
      <c r="A80" t="s">
        <v>82</v>
      </c>
      <c r="B80" s="1">
        <v>23359</v>
      </c>
      <c r="C80">
        <v>7.5999999999999998E-2</v>
      </c>
      <c r="D80">
        <v>0.26500000000000001</v>
      </c>
      <c r="E80">
        <v>0</v>
      </c>
      <c r="F80">
        <v>1</v>
      </c>
      <c r="G80" t="s">
        <v>83</v>
      </c>
      <c r="H80" s="1">
        <v>14694</v>
      </c>
      <c r="I80">
        <v>0.30199999999999999</v>
      </c>
      <c r="J80">
        <v>0.45900000000000002</v>
      </c>
      <c r="K80">
        <v>0</v>
      </c>
      <c r="L80">
        <v>1</v>
      </c>
      <c r="M80" t="s">
        <v>82</v>
      </c>
      <c r="N80" s="1">
        <v>8665</v>
      </c>
      <c r="O80">
        <v>7.5999999999999998E-2</v>
      </c>
      <c r="P80">
        <v>0.26600000000000001</v>
      </c>
      <c r="Q80">
        <v>0</v>
      </c>
      <c r="R80">
        <v>1</v>
      </c>
    </row>
    <row r="81" spans="1:18" x14ac:dyDescent="0.25">
      <c r="A81" t="s">
        <v>83</v>
      </c>
      <c r="B81" s="1">
        <v>23359</v>
      </c>
      <c r="C81">
        <v>0.28799999999999998</v>
      </c>
      <c r="D81">
        <v>0.45300000000000001</v>
      </c>
      <c r="E81">
        <v>0</v>
      </c>
      <c r="F81">
        <v>1</v>
      </c>
      <c r="G81" t="s">
        <v>84</v>
      </c>
      <c r="H81" s="1">
        <v>14694</v>
      </c>
      <c r="I81">
        <v>7.0000000000000001E-3</v>
      </c>
      <c r="J81">
        <v>8.5000000000000006E-2</v>
      </c>
      <c r="K81">
        <v>0</v>
      </c>
      <c r="L81">
        <v>1</v>
      </c>
      <c r="M81" t="s">
        <v>83</v>
      </c>
      <c r="N81" s="1">
        <v>8665</v>
      </c>
      <c r="O81">
        <v>0.26400000000000001</v>
      </c>
      <c r="P81">
        <v>0.441</v>
      </c>
      <c r="Q81">
        <v>0</v>
      </c>
      <c r="R81">
        <v>1</v>
      </c>
    </row>
    <row r="82" spans="1:18" x14ac:dyDescent="0.25">
      <c r="A82" t="s">
        <v>84</v>
      </c>
      <c r="B82" s="1">
        <v>23359</v>
      </c>
      <c r="C82">
        <v>8.0000000000000002E-3</v>
      </c>
      <c r="D82">
        <v>0.09</v>
      </c>
      <c r="E82">
        <v>0</v>
      </c>
      <c r="F82">
        <v>1</v>
      </c>
      <c r="G82" t="s">
        <v>85</v>
      </c>
      <c r="H82" s="1">
        <v>14694</v>
      </c>
      <c r="I82">
        <v>0.4</v>
      </c>
      <c r="J82">
        <v>0.49</v>
      </c>
      <c r="K82">
        <v>0</v>
      </c>
      <c r="L82">
        <v>1</v>
      </c>
      <c r="M82" t="s">
        <v>84</v>
      </c>
      <c r="N82" s="1">
        <v>8665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23359</v>
      </c>
      <c r="C83">
        <v>0.41099999999999998</v>
      </c>
      <c r="D83">
        <v>0.49199999999999999</v>
      </c>
      <c r="E83">
        <v>0</v>
      </c>
      <c r="F83">
        <v>1</v>
      </c>
      <c r="G83" t="s">
        <v>6</v>
      </c>
      <c r="H83" s="1" t="s">
        <v>7</v>
      </c>
      <c r="I83" t="s">
        <v>8</v>
      </c>
      <c r="J83" t="s">
        <v>162</v>
      </c>
      <c r="K83" t="s">
        <v>8</v>
      </c>
      <c r="L83" t="s">
        <v>9</v>
      </c>
      <c r="M83" t="s">
        <v>85</v>
      </c>
      <c r="N83" s="1">
        <v>8665</v>
      </c>
      <c r="O83">
        <v>0.43</v>
      </c>
      <c r="P83">
        <v>0.495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49C9-FB3B-4E53-8F09-613CE49C1E96}">
  <sheetPr codeName="Sheet9"/>
  <dimension ref="A1:R86"/>
  <sheetViews>
    <sheetView workbookViewId="0">
      <selection activeCell="U21" sqref="U21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19900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12452</v>
      </c>
      <c r="I3">
        <v>1.2330000000000001</v>
      </c>
      <c r="J3">
        <v>0.47299999999999998</v>
      </c>
      <c r="K3">
        <v>1</v>
      </c>
      <c r="L3">
        <v>4</v>
      </c>
      <c r="M3" t="s">
        <v>10</v>
      </c>
      <c r="N3" s="1">
        <v>7448</v>
      </c>
      <c r="O3">
        <v>1.0609999999999999</v>
      </c>
      <c r="P3">
        <v>0.245</v>
      </c>
      <c r="Q3">
        <v>1</v>
      </c>
      <c r="R3">
        <v>3</v>
      </c>
    </row>
    <row r="4" spans="1:18" x14ac:dyDescent="0.25">
      <c r="A4" t="s">
        <v>11</v>
      </c>
      <c r="B4" s="1">
        <v>19900</v>
      </c>
      <c r="C4">
        <v>0.374</v>
      </c>
      <c r="D4">
        <v>0.48399999999999999</v>
      </c>
      <c r="E4">
        <v>0</v>
      </c>
      <c r="F4">
        <v>1</v>
      </c>
      <c r="G4" t="s">
        <v>11</v>
      </c>
      <c r="H4" s="1">
        <v>12452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7448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19900</v>
      </c>
      <c r="C5">
        <v>0.32700000000000001</v>
      </c>
      <c r="D5">
        <v>0.46899999999999997</v>
      </c>
      <c r="E5">
        <v>0</v>
      </c>
      <c r="F5">
        <v>1</v>
      </c>
      <c r="G5" t="s">
        <v>12</v>
      </c>
      <c r="H5" s="1">
        <v>12452</v>
      </c>
      <c r="I5">
        <v>1E-3</v>
      </c>
      <c r="J5">
        <v>3.4000000000000002E-2</v>
      </c>
      <c r="K5">
        <v>0</v>
      </c>
      <c r="L5">
        <v>1</v>
      </c>
      <c r="M5" t="s">
        <v>12</v>
      </c>
      <c r="N5" s="1">
        <v>7448</v>
      </c>
      <c r="O5">
        <v>0.872</v>
      </c>
      <c r="P5">
        <v>0.33400000000000002</v>
      </c>
      <c r="Q5">
        <v>0</v>
      </c>
      <c r="R5">
        <v>1</v>
      </c>
    </row>
    <row r="6" spans="1:18" x14ac:dyDescent="0.25">
      <c r="A6" t="s">
        <v>36</v>
      </c>
      <c r="B6" s="1">
        <v>7448</v>
      </c>
      <c r="C6">
        <v>287.40600000000001</v>
      </c>
      <c r="D6">
        <v>542.74099999999999</v>
      </c>
      <c r="E6">
        <v>0</v>
      </c>
      <c r="F6" s="1">
        <v>4021</v>
      </c>
      <c r="H6" s="1"/>
      <c r="M6" t="s">
        <v>36</v>
      </c>
      <c r="N6" s="1">
        <v>7448</v>
      </c>
      <c r="O6">
        <v>287.40600000000001</v>
      </c>
      <c r="P6">
        <v>542.74099999999999</v>
      </c>
      <c r="Q6">
        <v>0</v>
      </c>
      <c r="R6" s="1">
        <v>4021</v>
      </c>
    </row>
    <row r="7" spans="1:18" x14ac:dyDescent="0.25">
      <c r="A7" t="s">
        <v>13</v>
      </c>
      <c r="B7" s="1">
        <v>19900</v>
      </c>
      <c r="C7">
        <v>2.3879999999999999</v>
      </c>
      <c r="D7">
        <v>0.98</v>
      </c>
      <c r="E7">
        <v>0</v>
      </c>
      <c r="F7">
        <v>17</v>
      </c>
      <c r="G7" t="s">
        <v>13</v>
      </c>
      <c r="H7" s="1">
        <v>12452</v>
      </c>
      <c r="I7">
        <v>2.355</v>
      </c>
      <c r="J7">
        <v>0.94099999999999995</v>
      </c>
      <c r="K7">
        <v>0</v>
      </c>
      <c r="L7">
        <v>17</v>
      </c>
      <c r="M7" t="s">
        <v>13</v>
      </c>
      <c r="N7" s="1">
        <v>7448</v>
      </c>
      <c r="O7">
        <v>2.4449999999999998</v>
      </c>
      <c r="P7">
        <v>1.04</v>
      </c>
      <c r="Q7">
        <v>0</v>
      </c>
      <c r="R7">
        <v>14</v>
      </c>
    </row>
    <row r="8" spans="1:18" x14ac:dyDescent="0.25">
      <c r="A8" t="s">
        <v>14</v>
      </c>
      <c r="B8" s="1">
        <v>19900</v>
      </c>
      <c r="C8">
        <v>0.38500000000000001</v>
      </c>
      <c r="D8">
        <v>0.52500000000000002</v>
      </c>
      <c r="E8">
        <v>0</v>
      </c>
      <c r="F8">
        <v>5</v>
      </c>
      <c r="G8" t="s">
        <v>14</v>
      </c>
      <c r="H8" s="1">
        <v>12452</v>
      </c>
      <c r="I8">
        <v>0.39300000000000002</v>
      </c>
      <c r="J8">
        <v>0.52</v>
      </c>
      <c r="K8">
        <v>0</v>
      </c>
      <c r="L8">
        <v>5</v>
      </c>
      <c r="M8" t="s">
        <v>14</v>
      </c>
      <c r="N8" s="1">
        <v>7448</v>
      </c>
      <c r="O8">
        <v>0.371</v>
      </c>
      <c r="P8">
        <v>0.53400000000000003</v>
      </c>
      <c r="Q8">
        <v>0</v>
      </c>
      <c r="R8">
        <v>5</v>
      </c>
    </row>
    <row r="9" spans="1:18" x14ac:dyDescent="0.25">
      <c r="A9" t="s">
        <v>15</v>
      </c>
      <c r="B9" s="1">
        <v>19900</v>
      </c>
      <c r="C9">
        <v>3.8029999999999999</v>
      </c>
      <c r="D9">
        <v>1.2709999999999999</v>
      </c>
      <c r="E9">
        <v>0</v>
      </c>
      <c r="F9">
        <v>25</v>
      </c>
      <c r="G9" t="s">
        <v>15</v>
      </c>
      <c r="H9" s="1">
        <v>12452</v>
      </c>
      <c r="I9">
        <v>3.746</v>
      </c>
      <c r="J9">
        <v>1.202</v>
      </c>
      <c r="K9">
        <v>0</v>
      </c>
      <c r="L9">
        <v>18</v>
      </c>
      <c r="M9" t="s">
        <v>15</v>
      </c>
      <c r="N9" s="1">
        <v>7448</v>
      </c>
      <c r="O9">
        <v>3.899</v>
      </c>
      <c r="P9">
        <v>1.373</v>
      </c>
      <c r="Q9">
        <v>0</v>
      </c>
      <c r="R9">
        <v>25</v>
      </c>
    </row>
    <row r="10" spans="1:18" x14ac:dyDescent="0.25">
      <c r="A10" t="s">
        <v>16</v>
      </c>
      <c r="B10" s="1">
        <v>19900</v>
      </c>
      <c r="C10">
        <v>44.593000000000004</v>
      </c>
      <c r="D10">
        <v>58.281999999999996</v>
      </c>
      <c r="E10">
        <v>0</v>
      </c>
      <c r="F10" s="1">
        <v>1402</v>
      </c>
      <c r="G10" t="s">
        <v>16</v>
      </c>
      <c r="H10" s="1">
        <v>12452</v>
      </c>
      <c r="I10">
        <v>52.402000000000001</v>
      </c>
      <c r="J10">
        <v>60.488</v>
      </c>
      <c r="K10">
        <v>0</v>
      </c>
      <c r="L10" s="1">
        <v>1402</v>
      </c>
      <c r="M10" t="s">
        <v>16</v>
      </c>
      <c r="N10" s="1">
        <v>7448</v>
      </c>
      <c r="O10">
        <v>31.538</v>
      </c>
      <c r="P10">
        <v>51.834000000000003</v>
      </c>
      <c r="Q10">
        <v>0</v>
      </c>
      <c r="R10">
        <v>593</v>
      </c>
    </row>
    <row r="11" spans="1:18" x14ac:dyDescent="0.25">
      <c r="A11" t="s">
        <v>163</v>
      </c>
      <c r="B11" s="1">
        <v>19900</v>
      </c>
      <c r="C11" s="2">
        <v>1875.6980000000001</v>
      </c>
      <c r="D11">
        <v>912.05499999999995</v>
      </c>
      <c r="E11">
        <v>220</v>
      </c>
      <c r="F11" s="1">
        <v>17408</v>
      </c>
      <c r="G11" t="s">
        <v>163</v>
      </c>
      <c r="H11" s="1">
        <v>12452</v>
      </c>
      <c r="I11" s="2">
        <v>1843.796</v>
      </c>
      <c r="J11">
        <v>872.81500000000005</v>
      </c>
      <c r="K11">
        <v>420</v>
      </c>
      <c r="L11" s="1">
        <v>17408</v>
      </c>
      <c r="M11" t="s">
        <v>163</v>
      </c>
      <c r="N11" s="1">
        <v>7448</v>
      </c>
      <c r="O11" s="2">
        <v>1929.0340000000001</v>
      </c>
      <c r="P11">
        <v>971.85799999999995</v>
      </c>
      <c r="Q11">
        <v>220</v>
      </c>
      <c r="R11" s="1">
        <v>16703</v>
      </c>
    </row>
    <row r="12" spans="1:18" x14ac:dyDescent="0.25">
      <c r="A12" t="s">
        <v>17</v>
      </c>
      <c r="B12" s="1">
        <v>19900</v>
      </c>
      <c r="C12">
        <v>331.78100000000001</v>
      </c>
      <c r="D12">
        <v>234.66200000000001</v>
      </c>
      <c r="E12">
        <v>0</v>
      </c>
      <c r="F12" s="1">
        <v>5000</v>
      </c>
      <c r="G12" t="s">
        <v>17</v>
      </c>
      <c r="H12" s="1">
        <v>12452</v>
      </c>
      <c r="I12" s="2">
        <v>330.44</v>
      </c>
      <c r="J12">
        <v>234.60300000000001</v>
      </c>
      <c r="K12">
        <v>0</v>
      </c>
      <c r="L12" s="1">
        <v>5000</v>
      </c>
      <c r="M12" t="s">
        <v>17</v>
      </c>
      <c r="N12" s="1">
        <v>7448</v>
      </c>
      <c r="O12">
        <v>334.02199999999999</v>
      </c>
      <c r="P12">
        <v>234.75800000000001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19900</v>
      </c>
      <c r="C13" s="2">
        <v>1266966</v>
      </c>
      <c r="D13" s="2">
        <v>1041501</v>
      </c>
      <c r="E13" s="2">
        <v>168375.1</v>
      </c>
      <c r="F13" s="2">
        <v>23293838</v>
      </c>
      <c r="G13" t="s">
        <v>19</v>
      </c>
      <c r="H13" s="1">
        <v>12452</v>
      </c>
      <c r="I13" s="2">
        <v>1192847</v>
      </c>
      <c r="J13" s="2">
        <v>965876.5</v>
      </c>
      <c r="K13" s="2">
        <v>168375.1</v>
      </c>
      <c r="L13" s="1">
        <v>23293838</v>
      </c>
      <c r="M13" t="s">
        <v>19</v>
      </c>
      <c r="N13" s="1">
        <v>7448</v>
      </c>
      <c r="O13" s="2">
        <v>1390884</v>
      </c>
      <c r="P13" s="2">
        <v>1146360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19900</v>
      </c>
      <c r="C14" s="2">
        <v>1250472</v>
      </c>
      <c r="D14" s="2">
        <v>962380.5</v>
      </c>
      <c r="E14" s="2">
        <v>180401.9</v>
      </c>
      <c r="F14" s="2">
        <v>22166108</v>
      </c>
      <c r="G14" t="s">
        <v>20</v>
      </c>
      <c r="H14" s="1">
        <v>12452</v>
      </c>
      <c r="I14" s="2">
        <v>1167401</v>
      </c>
      <c r="J14" s="2">
        <v>884732.3</v>
      </c>
      <c r="K14" s="2">
        <v>180401.9</v>
      </c>
      <c r="L14" s="1">
        <v>21058570</v>
      </c>
      <c r="M14" t="s">
        <v>20</v>
      </c>
      <c r="N14" s="1">
        <v>7448</v>
      </c>
      <c r="O14" s="2">
        <v>1389357</v>
      </c>
      <c r="P14" s="2">
        <v>1065490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19900</v>
      </c>
      <c r="C15" s="2">
        <v>13434.83</v>
      </c>
      <c r="D15" s="2">
        <v>126269.2</v>
      </c>
      <c r="E15" s="2">
        <v>-2010000</v>
      </c>
      <c r="F15" s="2">
        <v>6900000</v>
      </c>
      <c r="G15" t="s">
        <v>190</v>
      </c>
      <c r="H15" s="1">
        <v>12452</v>
      </c>
      <c r="I15" s="2">
        <v>20885.259999999998</v>
      </c>
      <c r="J15" s="2">
        <v>97148.71</v>
      </c>
      <c r="K15" s="2">
        <v>-1850000</v>
      </c>
      <c r="L15" s="2">
        <v>2950000</v>
      </c>
      <c r="M15" t="s">
        <v>190</v>
      </c>
      <c r="N15" s="1">
        <v>7448</v>
      </c>
      <c r="O15">
        <v>978.76700000000005</v>
      </c>
      <c r="P15" s="2">
        <v>163021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19900</v>
      </c>
      <c r="C16">
        <v>2.7E-2</v>
      </c>
      <c r="D16">
        <v>0.16400000000000001</v>
      </c>
      <c r="E16">
        <v>0</v>
      </c>
      <c r="F16">
        <v>1</v>
      </c>
      <c r="G16" t="s">
        <v>21</v>
      </c>
      <c r="H16" s="1">
        <v>12452</v>
      </c>
      <c r="I16" s="2">
        <v>2.4E-2</v>
      </c>
      <c r="J16" s="2">
        <v>0.154</v>
      </c>
      <c r="K16" s="2">
        <v>0</v>
      </c>
      <c r="L16" s="2">
        <v>1</v>
      </c>
      <c r="M16" t="s">
        <v>21</v>
      </c>
      <c r="N16" s="1">
        <v>7448</v>
      </c>
      <c r="O16">
        <v>3.3000000000000002E-2</v>
      </c>
      <c r="P16">
        <v>0.17799999999999999</v>
      </c>
      <c r="Q16">
        <v>0</v>
      </c>
      <c r="R16">
        <v>1</v>
      </c>
    </row>
    <row r="17" spans="1:18" x14ac:dyDescent="0.25">
      <c r="A17" t="s">
        <v>22</v>
      </c>
      <c r="B17" s="1">
        <v>19900</v>
      </c>
      <c r="C17">
        <v>4.5999999999999999E-2</v>
      </c>
      <c r="D17">
        <v>0.20899999999999999</v>
      </c>
      <c r="E17">
        <v>0</v>
      </c>
      <c r="F17">
        <v>1</v>
      </c>
      <c r="G17" t="s">
        <v>22</v>
      </c>
      <c r="H17" s="1">
        <v>12452</v>
      </c>
      <c r="I17" s="2">
        <v>4.3999999999999997E-2</v>
      </c>
      <c r="J17" s="2">
        <v>0.20399999999999999</v>
      </c>
      <c r="K17" s="1">
        <v>0</v>
      </c>
      <c r="L17" s="1">
        <v>1</v>
      </c>
      <c r="M17" t="s">
        <v>22</v>
      </c>
      <c r="N17" s="1">
        <v>7448</v>
      </c>
      <c r="O17">
        <v>4.9000000000000002E-2</v>
      </c>
      <c r="P17">
        <v>0.216</v>
      </c>
      <c r="Q17">
        <v>0</v>
      </c>
      <c r="R17">
        <v>1</v>
      </c>
    </row>
    <row r="18" spans="1:18" x14ac:dyDescent="0.25">
      <c r="A18" t="s">
        <v>23</v>
      </c>
      <c r="B18" s="1">
        <v>19900</v>
      </c>
      <c r="C18">
        <v>8.9999999999999993E-3</v>
      </c>
      <c r="D18">
        <v>9.1999999999999998E-2</v>
      </c>
      <c r="E18">
        <v>0</v>
      </c>
      <c r="F18">
        <v>1</v>
      </c>
      <c r="G18" t="s">
        <v>23</v>
      </c>
      <c r="H18" s="1">
        <v>12452</v>
      </c>
      <c r="I18">
        <v>8.9999999999999993E-3</v>
      </c>
      <c r="J18">
        <v>9.1999999999999998E-2</v>
      </c>
      <c r="K18">
        <v>0</v>
      </c>
      <c r="L18">
        <v>1</v>
      </c>
      <c r="M18" t="s">
        <v>23</v>
      </c>
      <c r="N18" s="1">
        <v>7448</v>
      </c>
      <c r="O18">
        <v>8.9999999999999993E-3</v>
      </c>
      <c r="P18">
        <v>9.1999999999999998E-2</v>
      </c>
      <c r="Q18">
        <v>0</v>
      </c>
      <c r="R18">
        <v>1</v>
      </c>
    </row>
    <row r="19" spans="1:18" x14ac:dyDescent="0.25">
      <c r="A19" t="s">
        <v>24</v>
      </c>
      <c r="B19" s="1">
        <v>19900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12452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7448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19900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12452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7448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19900</v>
      </c>
      <c r="C21">
        <v>2.0000000000000001E-4</v>
      </c>
      <c r="D21">
        <v>1.4E-2</v>
      </c>
      <c r="E21">
        <v>0</v>
      </c>
      <c r="F21">
        <v>1</v>
      </c>
      <c r="G21" t="s">
        <v>26</v>
      </c>
      <c r="H21" s="1">
        <v>12452</v>
      </c>
      <c r="I21">
        <v>2.0000000000000001E-4</v>
      </c>
      <c r="J21">
        <v>1.6E-2</v>
      </c>
      <c r="K21">
        <v>0</v>
      </c>
      <c r="L21">
        <v>1</v>
      </c>
      <c r="M21" t="s">
        <v>26</v>
      </c>
      <c r="N21" s="1">
        <v>7448</v>
      </c>
      <c r="O21">
        <v>1E-4</v>
      </c>
      <c r="P21">
        <v>1.2E-2</v>
      </c>
      <c r="Q21">
        <v>0</v>
      </c>
      <c r="R21">
        <v>1</v>
      </c>
    </row>
    <row r="22" spans="1:18" x14ac:dyDescent="0.25">
      <c r="A22" t="s">
        <v>27</v>
      </c>
      <c r="B22" s="1">
        <v>19900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12452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7448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19900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12452</v>
      </c>
      <c r="I23">
        <v>0.91800000000000004</v>
      </c>
      <c r="J23">
        <v>0.27500000000000002</v>
      </c>
      <c r="K23">
        <v>0</v>
      </c>
      <c r="L23">
        <v>1</v>
      </c>
      <c r="M23" t="s">
        <v>28</v>
      </c>
      <c r="N23" s="1">
        <v>7448</v>
      </c>
      <c r="O23">
        <v>0.92600000000000005</v>
      </c>
      <c r="P23">
        <v>0.26200000000000001</v>
      </c>
      <c r="Q23">
        <v>0</v>
      </c>
      <c r="R23">
        <v>1</v>
      </c>
    </row>
    <row r="24" spans="1:18" x14ac:dyDescent="0.25">
      <c r="A24" t="s">
        <v>29</v>
      </c>
      <c r="B24" s="1">
        <v>19900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12452</v>
      </c>
      <c r="I24">
        <v>1.9E-2</v>
      </c>
      <c r="J24">
        <v>0.13700000000000001</v>
      </c>
      <c r="K24">
        <v>0</v>
      </c>
      <c r="L24">
        <v>1</v>
      </c>
      <c r="M24" t="s">
        <v>29</v>
      </c>
      <c r="N24" s="1">
        <v>7448</v>
      </c>
      <c r="O24">
        <v>1.9E-2</v>
      </c>
      <c r="P24">
        <v>0.13500000000000001</v>
      </c>
      <c r="Q24">
        <v>0</v>
      </c>
      <c r="R24">
        <v>1</v>
      </c>
    </row>
    <row r="25" spans="1:18" x14ac:dyDescent="0.25">
      <c r="A25" t="s">
        <v>30</v>
      </c>
      <c r="B25" s="1">
        <v>19900</v>
      </c>
      <c r="C25">
        <v>4.1000000000000002E-2</v>
      </c>
      <c r="D25">
        <v>0.19700000000000001</v>
      </c>
      <c r="E25">
        <v>0</v>
      </c>
      <c r="F25">
        <v>1</v>
      </c>
      <c r="G25" t="s">
        <v>30</v>
      </c>
      <c r="H25" s="1">
        <v>12452</v>
      </c>
      <c r="I25">
        <v>3.4000000000000002E-2</v>
      </c>
      <c r="J25">
        <v>0.182</v>
      </c>
      <c r="K25">
        <v>0</v>
      </c>
      <c r="L25">
        <v>1</v>
      </c>
      <c r="M25" t="s">
        <v>30</v>
      </c>
      <c r="N25" s="1">
        <v>7448</v>
      </c>
      <c r="O25">
        <v>5.0999999999999997E-2</v>
      </c>
      <c r="P25">
        <v>0.22</v>
      </c>
      <c r="Q25">
        <v>0</v>
      </c>
      <c r="R25">
        <v>1</v>
      </c>
    </row>
    <row r="26" spans="1:18" x14ac:dyDescent="0.25">
      <c r="A26" t="s">
        <v>31</v>
      </c>
      <c r="B26" s="1">
        <v>19900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12452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7448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19900</v>
      </c>
      <c r="C27">
        <v>1</v>
      </c>
      <c r="D27">
        <v>1.6E-2</v>
      </c>
      <c r="E27">
        <v>0</v>
      </c>
      <c r="F27">
        <v>1</v>
      </c>
      <c r="G27" t="s">
        <v>32</v>
      </c>
      <c r="H27" s="1">
        <v>12452</v>
      </c>
      <c r="I27">
        <v>1</v>
      </c>
      <c r="J27">
        <v>1.7999999999999999E-2</v>
      </c>
      <c r="K27">
        <v>0</v>
      </c>
      <c r="L27">
        <v>1</v>
      </c>
      <c r="M27" t="s">
        <v>32</v>
      </c>
      <c r="N27" s="1">
        <v>7448</v>
      </c>
      <c r="O27">
        <v>1</v>
      </c>
      <c r="P27">
        <v>1.2E-2</v>
      </c>
      <c r="Q27">
        <v>0</v>
      </c>
      <c r="R27">
        <v>1</v>
      </c>
    </row>
    <row r="28" spans="1:18" x14ac:dyDescent="0.25">
      <c r="A28" t="s">
        <v>33</v>
      </c>
      <c r="B28" s="1">
        <v>19900</v>
      </c>
      <c r="C28">
        <v>39.531999999999996</v>
      </c>
      <c r="D28">
        <v>23.117999999999999</v>
      </c>
      <c r="E28">
        <v>0</v>
      </c>
      <c r="F28">
        <v>123</v>
      </c>
      <c r="G28" t="s">
        <v>33</v>
      </c>
      <c r="H28" s="1">
        <v>12452</v>
      </c>
      <c r="I28">
        <v>36.945</v>
      </c>
      <c r="J28">
        <v>22.902000000000001</v>
      </c>
      <c r="K28">
        <v>0</v>
      </c>
      <c r="L28">
        <v>112</v>
      </c>
      <c r="M28" t="s">
        <v>33</v>
      </c>
      <c r="N28" s="1">
        <v>7448</v>
      </c>
      <c r="O28">
        <v>43.857999999999997</v>
      </c>
      <c r="P28">
        <v>22.83</v>
      </c>
      <c r="Q28">
        <v>0</v>
      </c>
      <c r="R28">
        <v>123</v>
      </c>
    </row>
    <row r="29" spans="1:18" x14ac:dyDescent="0.25">
      <c r="A29" t="s">
        <v>34</v>
      </c>
      <c r="B29" s="1">
        <v>19900</v>
      </c>
      <c r="C29">
        <v>2.097</v>
      </c>
      <c r="D29">
        <v>1.99</v>
      </c>
      <c r="E29">
        <v>0</v>
      </c>
      <c r="F29">
        <v>15.129</v>
      </c>
      <c r="G29" t="s">
        <v>34</v>
      </c>
      <c r="H29" s="1">
        <v>12452</v>
      </c>
      <c r="I29">
        <v>1.889</v>
      </c>
      <c r="J29">
        <v>1.893</v>
      </c>
      <c r="K29">
        <v>0</v>
      </c>
      <c r="L29">
        <v>12.544</v>
      </c>
      <c r="M29" t="s">
        <v>34</v>
      </c>
      <c r="N29" s="1">
        <v>7448</v>
      </c>
      <c r="O29">
        <v>2.4449999999999998</v>
      </c>
      <c r="P29">
        <v>2.0979999999999999</v>
      </c>
      <c r="Q29">
        <v>0</v>
      </c>
      <c r="R29">
        <v>15.129</v>
      </c>
    </row>
    <row r="30" spans="1:18" x14ac:dyDescent="0.25">
      <c r="A30" t="s">
        <v>35</v>
      </c>
      <c r="B30" s="1">
        <v>19900</v>
      </c>
      <c r="C30">
        <v>5.3019999999999996</v>
      </c>
      <c r="D30">
        <v>13.148999999999999</v>
      </c>
      <c r="E30">
        <v>0</v>
      </c>
      <c r="F30">
        <v>94</v>
      </c>
      <c r="G30" t="s">
        <v>35</v>
      </c>
      <c r="H30" s="1">
        <v>12452</v>
      </c>
      <c r="I30">
        <v>4.7039999999999997</v>
      </c>
      <c r="J30">
        <v>12.288</v>
      </c>
      <c r="K30">
        <v>0</v>
      </c>
      <c r="L30">
        <v>88</v>
      </c>
      <c r="M30" t="s">
        <v>35</v>
      </c>
      <c r="N30" s="1">
        <v>7448</v>
      </c>
      <c r="O30">
        <v>6.3010000000000002</v>
      </c>
      <c r="P30">
        <v>14.42</v>
      </c>
      <c r="Q30">
        <v>0</v>
      </c>
      <c r="R30">
        <v>94</v>
      </c>
    </row>
    <row r="31" spans="1:18" x14ac:dyDescent="0.25">
      <c r="A31" t="s">
        <v>18</v>
      </c>
      <c r="B31" s="1">
        <v>19900</v>
      </c>
      <c r="C31" s="2">
        <v>2097.0590000000002</v>
      </c>
      <c r="D31" s="2">
        <v>1114.0340000000001</v>
      </c>
      <c r="E31">
        <v>220</v>
      </c>
      <c r="F31" s="1">
        <v>23350</v>
      </c>
      <c r="G31" t="s">
        <v>18</v>
      </c>
      <c r="H31" s="1">
        <v>12452</v>
      </c>
      <c r="I31" s="2">
        <v>2055.8510000000001</v>
      </c>
      <c r="J31" s="2">
        <v>1066.57</v>
      </c>
      <c r="K31">
        <v>455</v>
      </c>
      <c r="L31" s="1">
        <v>23350</v>
      </c>
      <c r="M31" t="s">
        <v>18</v>
      </c>
      <c r="N31" s="1">
        <v>7448</v>
      </c>
      <c r="O31" s="2">
        <v>2165.9540000000002</v>
      </c>
      <c r="P31" s="2">
        <v>1186.0419999999999</v>
      </c>
      <c r="Q31">
        <v>220</v>
      </c>
      <c r="R31" s="1">
        <v>18919</v>
      </c>
    </row>
    <row r="32" spans="1:18" x14ac:dyDescent="0.25">
      <c r="A32" t="s">
        <v>37</v>
      </c>
      <c r="B32" s="1">
        <v>19900</v>
      </c>
      <c r="C32">
        <v>0.88300000000000001</v>
      </c>
      <c r="D32">
        <v>3.5219999999999998</v>
      </c>
      <c r="E32">
        <v>2.1000000000000001E-2</v>
      </c>
      <c r="F32">
        <v>128.91800000000001</v>
      </c>
      <c r="G32" t="s">
        <v>37</v>
      </c>
      <c r="H32" s="1">
        <v>12452</v>
      </c>
      <c r="I32" s="2">
        <v>0.95099999999999996</v>
      </c>
      <c r="J32" s="2">
        <v>3.5019999999999998</v>
      </c>
      <c r="K32">
        <v>2.1000000000000001E-2</v>
      </c>
      <c r="L32" s="1">
        <v>128.91800000000001</v>
      </c>
      <c r="M32" t="s">
        <v>37</v>
      </c>
      <c r="N32" s="1">
        <v>7448</v>
      </c>
      <c r="O32">
        <v>0.76900000000000002</v>
      </c>
      <c r="P32">
        <v>3.552</v>
      </c>
      <c r="Q32">
        <v>0.03</v>
      </c>
      <c r="R32">
        <v>103.124</v>
      </c>
    </row>
    <row r="33" spans="1:18" x14ac:dyDescent="0.25">
      <c r="A33" t="s">
        <v>164</v>
      </c>
      <c r="B33" s="1">
        <v>19900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12452</v>
      </c>
      <c r="I33" s="2">
        <v>2.5659999999999998</v>
      </c>
      <c r="J33" s="2">
        <v>2.6349999999999998</v>
      </c>
      <c r="K33">
        <v>0</v>
      </c>
      <c r="L33" s="1">
        <v>13.552</v>
      </c>
      <c r="M33" t="s">
        <v>164</v>
      </c>
      <c r="N33" s="1">
        <v>7448</v>
      </c>
      <c r="O33">
        <v>2.4649999999999999</v>
      </c>
      <c r="P33">
        <v>2.57</v>
      </c>
      <c r="Q33">
        <v>0</v>
      </c>
      <c r="R33">
        <v>13.477</v>
      </c>
    </row>
    <row r="34" spans="1:18" x14ac:dyDescent="0.25">
      <c r="A34" t="s">
        <v>39</v>
      </c>
      <c r="B34" s="1">
        <v>19900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12452</v>
      </c>
      <c r="I34">
        <v>0.53100000000000003</v>
      </c>
      <c r="J34">
        <v>0.32500000000000001</v>
      </c>
      <c r="K34">
        <v>0</v>
      </c>
      <c r="L34">
        <v>3.302</v>
      </c>
      <c r="M34" t="s">
        <v>39</v>
      </c>
      <c r="N34" s="1">
        <v>7448</v>
      </c>
      <c r="O34">
        <v>0.52</v>
      </c>
      <c r="P34">
        <v>0.33800000000000002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19900</v>
      </c>
      <c r="C35">
        <v>5.1509999999999998</v>
      </c>
      <c r="D35">
        <v>4.1849999999999996</v>
      </c>
      <c r="E35">
        <v>0.01</v>
      </c>
      <c r="F35">
        <v>20.997</v>
      </c>
      <c r="G35" t="s">
        <v>40</v>
      </c>
      <c r="H35" s="1">
        <v>12452</v>
      </c>
      <c r="I35">
        <v>5.194</v>
      </c>
      <c r="J35">
        <v>4.17</v>
      </c>
      <c r="K35">
        <v>0.01</v>
      </c>
      <c r="L35">
        <v>20.997</v>
      </c>
      <c r="M35" t="s">
        <v>40</v>
      </c>
      <c r="N35" s="1">
        <v>7448</v>
      </c>
      <c r="O35">
        <v>5.0780000000000003</v>
      </c>
      <c r="P35">
        <v>4.21</v>
      </c>
      <c r="Q35">
        <v>5.7000000000000002E-2</v>
      </c>
      <c r="R35">
        <v>20.927</v>
      </c>
    </row>
    <row r="36" spans="1:18" x14ac:dyDescent="0.25">
      <c r="A36" t="s">
        <v>41</v>
      </c>
      <c r="B36" s="1">
        <v>19900</v>
      </c>
      <c r="C36">
        <v>10.901999999999999</v>
      </c>
      <c r="D36">
        <v>5.5940000000000003</v>
      </c>
      <c r="E36">
        <v>0.32300000000000001</v>
      </c>
      <c r="F36">
        <v>30.986000000000001</v>
      </c>
      <c r="G36" t="s">
        <v>41</v>
      </c>
      <c r="H36" s="1">
        <v>12452</v>
      </c>
      <c r="I36">
        <v>10.791</v>
      </c>
      <c r="J36">
        <v>5.6059999999999999</v>
      </c>
      <c r="K36">
        <v>0.32300000000000001</v>
      </c>
      <c r="L36">
        <v>30.003</v>
      </c>
      <c r="M36" t="s">
        <v>41</v>
      </c>
      <c r="N36" s="1">
        <v>7448</v>
      </c>
      <c r="O36">
        <v>11.087</v>
      </c>
      <c r="P36">
        <v>5.57</v>
      </c>
      <c r="Q36">
        <v>1.3220000000000001</v>
      </c>
      <c r="R36">
        <v>30.986000000000001</v>
      </c>
    </row>
    <row r="37" spans="1:18" x14ac:dyDescent="0.25">
      <c r="A37" t="s">
        <v>173</v>
      </c>
      <c r="B37" s="1">
        <v>19900</v>
      </c>
      <c r="C37">
        <v>1.042</v>
      </c>
      <c r="D37">
        <v>0.81</v>
      </c>
      <c r="E37">
        <v>1.6E-2</v>
      </c>
      <c r="F37">
        <v>7.8339999999999996</v>
      </c>
      <c r="G37" t="s">
        <v>173</v>
      </c>
      <c r="H37" s="1">
        <v>12452</v>
      </c>
      <c r="I37">
        <v>1.046</v>
      </c>
      <c r="J37">
        <v>0.79800000000000004</v>
      </c>
      <c r="K37">
        <v>2.5999999999999999E-2</v>
      </c>
      <c r="L37">
        <v>7.8339999999999996</v>
      </c>
      <c r="M37" t="s">
        <v>173</v>
      </c>
      <c r="N37" s="1">
        <v>7448</v>
      </c>
      <c r="O37">
        <v>1.0349999999999999</v>
      </c>
      <c r="P37">
        <v>0.82899999999999996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19900</v>
      </c>
      <c r="C38">
        <v>2.4809999999999999</v>
      </c>
      <c r="D38">
        <v>1.823</v>
      </c>
      <c r="E38">
        <v>3.6999999999999998E-2</v>
      </c>
      <c r="F38">
        <v>17.684000000000001</v>
      </c>
      <c r="G38" t="s">
        <v>174</v>
      </c>
      <c r="H38" s="1">
        <v>12452</v>
      </c>
      <c r="I38">
        <v>2.4649999999999999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7448</v>
      </c>
      <c r="O38">
        <v>2.508</v>
      </c>
      <c r="P38">
        <v>1.865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19900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12452</v>
      </c>
      <c r="I39">
        <v>2.5510000000000002</v>
      </c>
      <c r="J39">
        <v>1.6990000000000001</v>
      </c>
      <c r="K39">
        <v>4.8000000000000001E-2</v>
      </c>
      <c r="L39">
        <v>17.684000000000001</v>
      </c>
      <c r="M39" t="s">
        <v>175</v>
      </c>
      <c r="N39" s="1">
        <v>7448</v>
      </c>
      <c r="O39">
        <v>2.597</v>
      </c>
      <c r="P39">
        <v>1.796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19900</v>
      </c>
      <c r="C40">
        <v>0.218</v>
      </c>
      <c r="D40">
        <v>0.159</v>
      </c>
      <c r="E40">
        <v>0</v>
      </c>
      <c r="F40">
        <v>0.91800000000000004</v>
      </c>
      <c r="G40" t="s">
        <v>42</v>
      </c>
      <c r="H40" s="1">
        <v>12452</v>
      </c>
      <c r="I40">
        <v>0.22</v>
      </c>
      <c r="J40">
        <v>0.153</v>
      </c>
      <c r="K40">
        <v>0</v>
      </c>
      <c r="L40">
        <v>0.85599999999999998</v>
      </c>
      <c r="M40" t="s">
        <v>42</v>
      </c>
      <c r="N40" s="1">
        <v>7448</v>
      </c>
      <c r="O40">
        <v>0.214</v>
      </c>
      <c r="P40">
        <v>0.16800000000000001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19900</v>
      </c>
      <c r="C41">
        <v>1.9E-2</v>
      </c>
      <c r="D41">
        <v>3.3000000000000002E-2</v>
      </c>
      <c r="E41">
        <v>0</v>
      </c>
      <c r="F41">
        <v>0.36299999999999999</v>
      </c>
      <c r="G41" t="s">
        <v>43</v>
      </c>
      <c r="H41" s="1">
        <v>12452</v>
      </c>
      <c r="I41">
        <v>0.02</v>
      </c>
      <c r="J41">
        <v>3.3000000000000002E-2</v>
      </c>
      <c r="K41">
        <v>0</v>
      </c>
      <c r="L41">
        <v>0.36299999999999999</v>
      </c>
      <c r="M41" t="s">
        <v>43</v>
      </c>
      <c r="N41" s="1">
        <v>7448</v>
      </c>
      <c r="O41">
        <v>1.7000000000000001E-2</v>
      </c>
      <c r="P41">
        <v>3.4000000000000002E-2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19900</v>
      </c>
      <c r="C42">
        <v>0.42</v>
      </c>
      <c r="D42">
        <v>0.19400000000000001</v>
      </c>
      <c r="E42">
        <v>0</v>
      </c>
      <c r="F42">
        <v>0.96899999999999997</v>
      </c>
      <c r="G42" t="s">
        <v>44</v>
      </c>
      <c r="H42" s="1">
        <v>12452</v>
      </c>
      <c r="I42">
        <v>0.41799999999999998</v>
      </c>
      <c r="J42">
        <v>0.189</v>
      </c>
      <c r="K42">
        <v>1E-3</v>
      </c>
      <c r="L42">
        <v>0.96899999999999997</v>
      </c>
      <c r="M42" t="s">
        <v>44</v>
      </c>
      <c r="N42" s="1">
        <v>7448</v>
      </c>
      <c r="O42">
        <v>0.42399999999999999</v>
      </c>
      <c r="P42">
        <v>0.20399999999999999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19900</v>
      </c>
      <c r="C43">
        <v>8.1000000000000003E-2</v>
      </c>
      <c r="D43">
        <v>0.10299999999999999</v>
      </c>
      <c r="E43">
        <v>0</v>
      </c>
      <c r="F43">
        <v>0.71</v>
      </c>
      <c r="G43" t="s">
        <v>45</v>
      </c>
      <c r="H43" s="1">
        <v>12452</v>
      </c>
      <c r="I43">
        <v>8.1000000000000003E-2</v>
      </c>
      <c r="J43">
        <v>9.6000000000000002E-2</v>
      </c>
      <c r="K43">
        <v>0</v>
      </c>
      <c r="L43">
        <v>0.60799999999999998</v>
      </c>
      <c r="M43" t="s">
        <v>45</v>
      </c>
      <c r="N43" s="1">
        <v>7448</v>
      </c>
      <c r="O43">
        <v>8.1000000000000003E-2</v>
      </c>
      <c r="P43">
        <v>0.112</v>
      </c>
      <c r="Q43">
        <v>0</v>
      </c>
      <c r="R43">
        <v>0.71</v>
      </c>
    </row>
    <row r="44" spans="1:18" x14ac:dyDescent="0.25">
      <c r="A44" t="s">
        <v>46</v>
      </c>
      <c r="B44" s="1">
        <v>19900</v>
      </c>
      <c r="C44">
        <v>0.93400000000000005</v>
      </c>
      <c r="D44">
        <v>8.1000000000000003E-2</v>
      </c>
      <c r="E44">
        <v>1.2E-2</v>
      </c>
      <c r="F44">
        <v>1</v>
      </c>
      <c r="G44" t="s">
        <v>46</v>
      </c>
      <c r="H44" s="1">
        <v>12452</v>
      </c>
      <c r="I44">
        <v>0.93600000000000005</v>
      </c>
      <c r="J44">
        <v>7.3999999999999996E-2</v>
      </c>
      <c r="K44">
        <v>1.2E-2</v>
      </c>
      <c r="L44">
        <v>1</v>
      </c>
      <c r="M44" t="s">
        <v>46</v>
      </c>
      <c r="N44" s="1">
        <v>7448</v>
      </c>
      <c r="O44">
        <v>0.93200000000000005</v>
      </c>
      <c r="P44">
        <v>9.0999999999999998E-2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19900</v>
      </c>
      <c r="C45">
        <v>6.4000000000000001E-2</v>
      </c>
      <c r="D45">
        <v>7.4999999999999997E-2</v>
      </c>
      <c r="E45">
        <v>0</v>
      </c>
      <c r="F45">
        <v>0.69899999999999995</v>
      </c>
      <c r="G45" t="s">
        <v>47</v>
      </c>
      <c r="H45" s="1">
        <v>12452</v>
      </c>
      <c r="I45">
        <v>6.3E-2</v>
      </c>
      <c r="J45">
        <v>6.8000000000000005E-2</v>
      </c>
      <c r="K45">
        <v>0</v>
      </c>
      <c r="L45">
        <v>0.67100000000000004</v>
      </c>
      <c r="M45" t="s">
        <v>47</v>
      </c>
      <c r="N45" s="1">
        <v>7448</v>
      </c>
      <c r="O45">
        <v>6.6000000000000003E-2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19900</v>
      </c>
      <c r="C46">
        <v>0.745</v>
      </c>
      <c r="D46">
        <v>0.16700000000000001</v>
      </c>
      <c r="E46">
        <v>0</v>
      </c>
      <c r="F46">
        <v>1</v>
      </c>
      <c r="G46" t="s">
        <v>48</v>
      </c>
      <c r="H46" s="1">
        <v>12452</v>
      </c>
      <c r="I46">
        <v>0.73799999999999999</v>
      </c>
      <c r="J46">
        <v>0.161</v>
      </c>
      <c r="K46">
        <v>0</v>
      </c>
      <c r="L46">
        <v>1</v>
      </c>
      <c r="M46" t="s">
        <v>48</v>
      </c>
      <c r="N46" s="1">
        <v>7448</v>
      </c>
      <c r="O46">
        <v>0.75800000000000001</v>
      </c>
      <c r="P46">
        <v>0.17599999999999999</v>
      </c>
      <c r="Q46">
        <v>0</v>
      </c>
      <c r="R46">
        <v>1</v>
      </c>
    </row>
    <row r="47" spans="1:18" x14ac:dyDescent="0.25">
      <c r="A47" t="s">
        <v>49</v>
      </c>
      <c r="B47" s="1">
        <v>19900</v>
      </c>
      <c r="C47">
        <v>0.253</v>
      </c>
      <c r="D47">
        <v>0.16600000000000001</v>
      </c>
      <c r="E47">
        <v>0</v>
      </c>
      <c r="F47">
        <v>1</v>
      </c>
      <c r="G47" t="s">
        <v>49</v>
      </c>
      <c r="H47" s="1">
        <v>12452</v>
      </c>
      <c r="I47">
        <v>0.26</v>
      </c>
      <c r="J47">
        <v>0.16</v>
      </c>
      <c r="K47">
        <v>0</v>
      </c>
      <c r="L47">
        <v>1</v>
      </c>
      <c r="M47" t="s">
        <v>49</v>
      </c>
      <c r="N47" s="1">
        <v>7448</v>
      </c>
      <c r="O47">
        <v>0.24099999999999999</v>
      </c>
      <c r="P47">
        <v>0.17499999999999999</v>
      </c>
      <c r="Q47">
        <v>0</v>
      </c>
      <c r="R47">
        <v>1</v>
      </c>
    </row>
    <row r="48" spans="1:18" x14ac:dyDescent="0.25">
      <c r="A48" t="s">
        <v>50</v>
      </c>
      <c r="B48" s="1">
        <v>19900</v>
      </c>
      <c r="C48">
        <v>23.163</v>
      </c>
      <c r="D48">
        <v>51.189</v>
      </c>
      <c r="E48">
        <v>0</v>
      </c>
      <c r="F48">
        <v>667</v>
      </c>
      <c r="G48" t="s">
        <v>50</v>
      </c>
      <c r="H48" s="1">
        <v>12452</v>
      </c>
      <c r="I48">
        <v>24.547999999999998</v>
      </c>
      <c r="J48">
        <v>51.048000000000002</v>
      </c>
      <c r="K48">
        <v>0</v>
      </c>
      <c r="L48">
        <v>667</v>
      </c>
      <c r="M48" t="s">
        <v>50</v>
      </c>
      <c r="N48" s="1">
        <v>7448</v>
      </c>
      <c r="O48">
        <v>20.846</v>
      </c>
      <c r="P48">
        <v>51.344000000000001</v>
      </c>
      <c r="Q48">
        <v>0</v>
      </c>
      <c r="R48">
        <v>550</v>
      </c>
    </row>
    <row r="49" spans="1:18" x14ac:dyDescent="0.25">
      <c r="A49" t="s">
        <v>51</v>
      </c>
      <c r="B49" s="1">
        <v>19900</v>
      </c>
      <c r="C49">
        <v>1.7999999999999999E-2</v>
      </c>
      <c r="D49">
        <v>0.13500000000000001</v>
      </c>
      <c r="E49">
        <v>0</v>
      </c>
      <c r="F49">
        <v>1</v>
      </c>
      <c r="G49" t="s">
        <v>51</v>
      </c>
      <c r="H49" s="1">
        <v>12452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7448</v>
      </c>
      <c r="O49">
        <v>4.9000000000000002E-2</v>
      </c>
      <c r="P49">
        <v>0.217</v>
      </c>
      <c r="Q49">
        <v>0</v>
      </c>
      <c r="R49">
        <v>1</v>
      </c>
    </row>
    <row r="50" spans="1:18" x14ac:dyDescent="0.25">
      <c r="A50" t="s">
        <v>52</v>
      </c>
      <c r="B50" s="1">
        <v>19900</v>
      </c>
      <c r="C50">
        <v>0.42599999999999999</v>
      </c>
      <c r="D50">
        <v>0.49399999999999999</v>
      </c>
      <c r="E50">
        <v>0</v>
      </c>
      <c r="F50">
        <v>1</v>
      </c>
      <c r="G50" t="s">
        <v>52</v>
      </c>
      <c r="H50" s="1">
        <v>12452</v>
      </c>
      <c r="I50">
        <v>0.39700000000000002</v>
      </c>
      <c r="J50">
        <v>0.48899999999999999</v>
      </c>
      <c r="K50">
        <v>0</v>
      </c>
      <c r="L50">
        <v>1</v>
      </c>
      <c r="M50" t="s">
        <v>52</v>
      </c>
      <c r="N50" s="1">
        <v>7448</v>
      </c>
      <c r="O50">
        <v>0.47299999999999998</v>
      </c>
      <c r="P50">
        <v>0.499</v>
      </c>
      <c r="Q50">
        <v>0</v>
      </c>
      <c r="R50">
        <v>1</v>
      </c>
    </row>
    <row r="51" spans="1:18" x14ac:dyDescent="0.25">
      <c r="A51" t="s">
        <v>53</v>
      </c>
      <c r="B51" s="1">
        <v>19900</v>
      </c>
      <c r="C51" s="2">
        <v>2363536</v>
      </c>
      <c r="D51" s="2">
        <v>7934.192</v>
      </c>
      <c r="E51" s="2">
        <v>2350907</v>
      </c>
      <c r="F51" s="2">
        <v>2399920</v>
      </c>
      <c r="G51" t="s">
        <v>53</v>
      </c>
      <c r="H51" s="1">
        <v>12452</v>
      </c>
      <c r="I51" s="2">
        <v>2363482</v>
      </c>
      <c r="J51" s="2">
        <v>7750.5940000000001</v>
      </c>
      <c r="K51" s="2">
        <v>2350907</v>
      </c>
      <c r="L51" s="2">
        <v>2399920</v>
      </c>
      <c r="M51" t="s">
        <v>53</v>
      </c>
      <c r="N51" s="1">
        <v>7448</v>
      </c>
      <c r="O51" s="2">
        <v>2363626</v>
      </c>
      <c r="P51" s="2">
        <v>8231.7479999999996</v>
      </c>
      <c r="Q51" s="2">
        <v>2350948</v>
      </c>
      <c r="R51" s="2">
        <v>2399530</v>
      </c>
    </row>
    <row r="52" spans="1:18" x14ac:dyDescent="0.25">
      <c r="A52" t="s">
        <v>54</v>
      </c>
      <c r="B52" s="1">
        <v>19900</v>
      </c>
      <c r="C52" s="2">
        <v>611470.30000000005</v>
      </c>
      <c r="D52" s="2">
        <v>14767.08</v>
      </c>
      <c r="E52" s="2">
        <v>579824.19999999995</v>
      </c>
      <c r="F52" s="2">
        <v>638667.69999999995</v>
      </c>
      <c r="G52" t="s">
        <v>54</v>
      </c>
      <c r="H52" s="1">
        <v>12452</v>
      </c>
      <c r="I52" s="2">
        <v>610831.9</v>
      </c>
      <c r="J52" s="2">
        <v>14700.88</v>
      </c>
      <c r="K52" s="2">
        <v>579824.19999999995</v>
      </c>
      <c r="L52" s="2">
        <v>638667.69999999995</v>
      </c>
      <c r="M52" t="s">
        <v>54</v>
      </c>
      <c r="N52" s="1">
        <v>7448</v>
      </c>
      <c r="O52" s="2">
        <v>612537.5</v>
      </c>
      <c r="P52" s="2">
        <v>14816.78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19900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12452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7448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19900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12452</v>
      </c>
      <c r="I54" s="2">
        <v>1</v>
      </c>
      <c r="J54" s="2">
        <v>0</v>
      </c>
      <c r="K54" s="2">
        <v>1</v>
      </c>
      <c r="L54" s="2">
        <v>1</v>
      </c>
      <c r="M54" t="s">
        <v>57</v>
      </c>
      <c r="N54" s="1">
        <v>7448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19900</v>
      </c>
      <c r="C55">
        <v>0.45</v>
      </c>
      <c r="D55">
        <v>0.498</v>
      </c>
      <c r="E55">
        <v>0</v>
      </c>
      <c r="F55">
        <v>1</v>
      </c>
      <c r="G55" t="s">
        <v>58</v>
      </c>
      <c r="H55" s="1">
        <v>12452</v>
      </c>
      <c r="I55">
        <v>0.439</v>
      </c>
      <c r="J55">
        <v>0.496</v>
      </c>
      <c r="K55">
        <v>0</v>
      </c>
      <c r="L55">
        <v>1</v>
      </c>
      <c r="M55" t="s">
        <v>58</v>
      </c>
      <c r="N55" s="1">
        <v>7448</v>
      </c>
      <c r="O55">
        <v>0.46899999999999997</v>
      </c>
      <c r="P55">
        <v>0.499</v>
      </c>
      <c r="Q55">
        <v>0</v>
      </c>
      <c r="R55">
        <v>1</v>
      </c>
    </row>
    <row r="56" spans="1:18" x14ac:dyDescent="0.25">
      <c r="A56" t="s">
        <v>59</v>
      </c>
      <c r="B56" s="1">
        <v>19900</v>
      </c>
      <c r="C56">
        <v>0.497</v>
      </c>
      <c r="D56">
        <v>0.5</v>
      </c>
      <c r="E56">
        <v>0</v>
      </c>
      <c r="F56">
        <v>1</v>
      </c>
      <c r="G56" t="s">
        <v>59</v>
      </c>
      <c r="H56" s="1">
        <v>12452</v>
      </c>
      <c r="I56">
        <v>0.51200000000000001</v>
      </c>
      <c r="J56">
        <v>0.5</v>
      </c>
      <c r="K56">
        <v>0</v>
      </c>
      <c r="L56">
        <v>1</v>
      </c>
      <c r="M56" t="s">
        <v>59</v>
      </c>
      <c r="N56" s="1">
        <v>7448</v>
      </c>
      <c r="O56">
        <v>0.47299999999999998</v>
      </c>
      <c r="P56">
        <v>0.499</v>
      </c>
      <c r="Q56">
        <v>0</v>
      </c>
      <c r="R56">
        <v>1</v>
      </c>
    </row>
    <row r="57" spans="1:18" x14ac:dyDescent="0.25">
      <c r="A57" t="s">
        <v>60</v>
      </c>
      <c r="B57" s="1">
        <v>19900</v>
      </c>
      <c r="C57">
        <v>5.1999999999999998E-2</v>
      </c>
      <c r="D57">
        <v>0.223</v>
      </c>
      <c r="E57">
        <v>0</v>
      </c>
      <c r="F57">
        <v>1</v>
      </c>
      <c r="G57" t="s">
        <v>60</v>
      </c>
      <c r="H57" s="1">
        <v>12452</v>
      </c>
      <c r="I57">
        <v>4.9000000000000002E-2</v>
      </c>
      <c r="J57">
        <v>0.216</v>
      </c>
      <c r="K57">
        <v>0</v>
      </c>
      <c r="L57">
        <v>1</v>
      </c>
      <c r="M57" t="s">
        <v>60</v>
      </c>
      <c r="N57" s="1">
        <v>7448</v>
      </c>
      <c r="O57">
        <v>5.8000000000000003E-2</v>
      </c>
      <c r="P57">
        <v>0.23400000000000001</v>
      </c>
      <c r="Q57">
        <v>0</v>
      </c>
      <c r="R57">
        <v>1</v>
      </c>
    </row>
    <row r="58" spans="1:18" x14ac:dyDescent="0.25">
      <c r="A58" t="s">
        <v>61</v>
      </c>
      <c r="B58" s="1">
        <v>19900</v>
      </c>
      <c r="C58" s="2">
        <v>2018.8209999999999</v>
      </c>
      <c r="D58">
        <v>2</v>
      </c>
      <c r="E58" s="1">
        <v>2016</v>
      </c>
      <c r="F58" s="1">
        <v>2023</v>
      </c>
      <c r="G58" t="s">
        <v>61</v>
      </c>
      <c r="H58" s="1">
        <v>12452</v>
      </c>
      <c r="I58" s="2">
        <v>2017.5060000000001</v>
      </c>
      <c r="J58">
        <v>1.169</v>
      </c>
      <c r="K58" s="1">
        <v>2016</v>
      </c>
      <c r="L58" s="1">
        <v>2020</v>
      </c>
      <c r="M58" t="s">
        <v>61</v>
      </c>
      <c r="N58" s="1">
        <v>7448</v>
      </c>
      <c r="O58" s="2">
        <v>2021.018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19900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12452</v>
      </c>
      <c r="I59" s="2">
        <v>0.872</v>
      </c>
      <c r="J59">
        <v>0.33400000000000002</v>
      </c>
      <c r="K59" s="1">
        <v>0</v>
      </c>
      <c r="L59" s="1">
        <v>1</v>
      </c>
      <c r="M59" t="s">
        <v>62</v>
      </c>
      <c r="N59" s="1">
        <v>7448</v>
      </c>
      <c r="O59">
        <v>0.89500000000000002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19900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12452</v>
      </c>
      <c r="I60" s="2">
        <v>1.7999999999999999E-2</v>
      </c>
      <c r="J60">
        <v>0.13100000000000001</v>
      </c>
      <c r="K60" s="1">
        <v>0</v>
      </c>
      <c r="L60" s="1">
        <v>1</v>
      </c>
      <c r="M60" t="s">
        <v>63</v>
      </c>
      <c r="N60" s="1">
        <v>7448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19900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12452</v>
      </c>
      <c r="I61">
        <v>2.0000000000000001E-4</v>
      </c>
      <c r="J61">
        <v>1.2999999999999999E-2</v>
      </c>
      <c r="K61">
        <v>0</v>
      </c>
      <c r="L61">
        <v>1</v>
      </c>
      <c r="M61" t="s">
        <v>64</v>
      </c>
      <c r="N61" s="1">
        <v>7448</v>
      </c>
      <c r="O61">
        <v>1E-4</v>
      </c>
      <c r="P61">
        <v>1.2E-2</v>
      </c>
      <c r="Q61">
        <v>0</v>
      </c>
      <c r="R61">
        <v>1</v>
      </c>
    </row>
    <row r="62" spans="1:18" x14ac:dyDescent="0.25">
      <c r="A62" t="s">
        <v>65</v>
      </c>
      <c r="B62" s="1">
        <v>19900</v>
      </c>
      <c r="C62">
        <v>6.9000000000000006E-2</v>
      </c>
      <c r="D62">
        <v>0.254</v>
      </c>
      <c r="E62">
        <v>0</v>
      </c>
      <c r="F62">
        <v>1</v>
      </c>
      <c r="G62" t="s">
        <v>65</v>
      </c>
      <c r="H62" s="1">
        <v>12452</v>
      </c>
      <c r="I62">
        <v>7.8E-2</v>
      </c>
      <c r="J62">
        <v>0.26900000000000002</v>
      </c>
      <c r="K62">
        <v>0</v>
      </c>
      <c r="L62">
        <v>1</v>
      </c>
      <c r="M62" t="s">
        <v>65</v>
      </c>
      <c r="N62" s="1">
        <v>7448</v>
      </c>
      <c r="O62">
        <v>5.5E-2</v>
      </c>
      <c r="P62">
        <v>0.22700000000000001</v>
      </c>
      <c r="Q62">
        <v>0</v>
      </c>
      <c r="R62">
        <v>1</v>
      </c>
    </row>
    <row r="63" spans="1:18" x14ac:dyDescent="0.25">
      <c r="A63" t="s">
        <v>66</v>
      </c>
      <c r="B63" s="1">
        <v>19900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12452</v>
      </c>
      <c r="I63">
        <v>1.7999999999999999E-2</v>
      </c>
      <c r="J63">
        <v>0.13100000000000001</v>
      </c>
      <c r="K63">
        <v>0</v>
      </c>
      <c r="L63">
        <v>1</v>
      </c>
      <c r="M63" t="s">
        <v>66</v>
      </c>
      <c r="N63" s="1">
        <v>7448</v>
      </c>
      <c r="O63">
        <v>1.7000000000000001E-2</v>
      </c>
      <c r="P63">
        <v>0.13100000000000001</v>
      </c>
      <c r="Q63">
        <v>0</v>
      </c>
      <c r="R63">
        <v>1</v>
      </c>
    </row>
    <row r="64" spans="1:18" x14ac:dyDescent="0.25">
      <c r="A64" t="s">
        <v>67</v>
      </c>
      <c r="B64" s="1">
        <v>19900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12452</v>
      </c>
      <c r="I64">
        <v>5.0000000000000001E-4</v>
      </c>
      <c r="J64">
        <v>2.1999999999999999E-2</v>
      </c>
      <c r="K64">
        <v>0</v>
      </c>
      <c r="L64">
        <v>1</v>
      </c>
      <c r="M64" t="s">
        <v>67</v>
      </c>
      <c r="N64" s="1">
        <v>7448</v>
      </c>
      <c r="O64">
        <v>1E-3</v>
      </c>
      <c r="P64">
        <v>2.3E-2</v>
      </c>
      <c r="Q64">
        <v>0</v>
      </c>
      <c r="R64">
        <v>1</v>
      </c>
    </row>
    <row r="65" spans="1:18" x14ac:dyDescent="0.25">
      <c r="A65" t="s">
        <v>68</v>
      </c>
      <c r="B65" s="1">
        <v>19900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12452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7448</v>
      </c>
      <c r="O65">
        <v>1.4999999999999999E-2</v>
      </c>
      <c r="P65">
        <v>0.122</v>
      </c>
      <c r="Q65">
        <v>0</v>
      </c>
      <c r="R65">
        <v>1</v>
      </c>
    </row>
    <row r="66" spans="1:18" x14ac:dyDescent="0.25">
      <c r="A66" t="s">
        <v>69</v>
      </c>
      <c r="B66" s="1">
        <v>19900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12452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7448</v>
      </c>
      <c r="O66">
        <v>4.0000000000000002E-4</v>
      </c>
      <c r="P66">
        <v>0.02</v>
      </c>
      <c r="Q66">
        <v>0</v>
      </c>
      <c r="R66">
        <v>1</v>
      </c>
    </row>
    <row r="67" spans="1:18" x14ac:dyDescent="0.25">
      <c r="A67" t="s">
        <v>70</v>
      </c>
      <c r="B67" s="1">
        <v>19900</v>
      </c>
      <c r="C67">
        <v>0.23300000000000001</v>
      </c>
      <c r="D67">
        <v>0.42299999999999999</v>
      </c>
      <c r="E67">
        <v>0</v>
      </c>
      <c r="F67">
        <v>1</v>
      </c>
      <c r="G67" t="s">
        <v>70</v>
      </c>
      <c r="H67" s="1">
        <v>12452</v>
      </c>
      <c r="I67">
        <v>0.219</v>
      </c>
      <c r="J67">
        <v>0.41399999999999998</v>
      </c>
      <c r="K67">
        <v>0</v>
      </c>
      <c r="L67">
        <v>1</v>
      </c>
      <c r="M67" t="s">
        <v>70</v>
      </c>
      <c r="N67" s="1">
        <v>7448</v>
      </c>
      <c r="O67">
        <v>0.25700000000000001</v>
      </c>
      <c r="P67">
        <v>0.437</v>
      </c>
      <c r="Q67">
        <v>0</v>
      </c>
      <c r="R67">
        <v>1</v>
      </c>
    </row>
    <row r="68" spans="1:18" x14ac:dyDescent="0.25">
      <c r="A68" t="s">
        <v>71</v>
      </c>
      <c r="B68" s="1">
        <v>19900</v>
      </c>
      <c r="C68">
        <v>0.28699999999999998</v>
      </c>
      <c r="D68">
        <v>0.45300000000000001</v>
      </c>
      <c r="E68">
        <v>0</v>
      </c>
      <c r="F68">
        <v>1</v>
      </c>
      <c r="G68" t="s">
        <v>71</v>
      </c>
      <c r="H68" s="1">
        <v>12452</v>
      </c>
      <c r="I68">
        <v>0.308</v>
      </c>
      <c r="J68">
        <v>0.46200000000000002</v>
      </c>
      <c r="K68">
        <v>0</v>
      </c>
      <c r="L68">
        <v>1</v>
      </c>
      <c r="M68" t="s">
        <v>71</v>
      </c>
      <c r="N68" s="1">
        <v>7448</v>
      </c>
      <c r="O68">
        <v>0.253</v>
      </c>
      <c r="P68">
        <v>0.435</v>
      </c>
      <c r="Q68">
        <v>0</v>
      </c>
      <c r="R68">
        <v>1</v>
      </c>
    </row>
    <row r="69" spans="1:18" x14ac:dyDescent="0.25">
      <c r="A69" t="s">
        <v>72</v>
      </c>
      <c r="B69" s="1">
        <v>19900</v>
      </c>
      <c r="C69">
        <v>0.39500000000000002</v>
      </c>
      <c r="D69">
        <v>0.48899999999999999</v>
      </c>
      <c r="E69">
        <v>0</v>
      </c>
      <c r="F69">
        <v>1</v>
      </c>
      <c r="G69" t="s">
        <v>72</v>
      </c>
      <c r="H69" s="1">
        <v>12452</v>
      </c>
      <c r="I69">
        <v>0.39200000000000002</v>
      </c>
      <c r="J69">
        <v>0.48799999999999999</v>
      </c>
      <c r="K69">
        <v>0</v>
      </c>
      <c r="L69">
        <v>1</v>
      </c>
      <c r="M69" t="s">
        <v>72</v>
      </c>
      <c r="N69" s="1">
        <v>7448</v>
      </c>
      <c r="O69">
        <v>0.40100000000000002</v>
      </c>
      <c r="P69">
        <v>0.49</v>
      </c>
      <c r="Q69">
        <v>0</v>
      </c>
      <c r="R69">
        <v>1</v>
      </c>
    </row>
    <row r="70" spans="1:18" x14ac:dyDescent="0.25">
      <c r="A70" t="s">
        <v>73</v>
      </c>
      <c r="B70" s="1">
        <v>19900</v>
      </c>
      <c r="C70">
        <v>8.4000000000000005E-2</v>
      </c>
      <c r="D70">
        <v>0.27700000000000002</v>
      </c>
      <c r="E70">
        <v>0</v>
      </c>
      <c r="F70">
        <v>1</v>
      </c>
      <c r="G70" t="s">
        <v>73</v>
      </c>
      <c r="H70" s="1">
        <v>12452</v>
      </c>
      <c r="I70">
        <v>0.08</v>
      </c>
      <c r="J70">
        <v>0.27200000000000002</v>
      </c>
      <c r="K70">
        <v>0</v>
      </c>
      <c r="L70">
        <v>1</v>
      </c>
      <c r="M70" t="s">
        <v>73</v>
      </c>
      <c r="N70" s="1">
        <v>7448</v>
      </c>
      <c r="O70">
        <v>0.09</v>
      </c>
      <c r="P70">
        <v>0.28599999999999998</v>
      </c>
      <c r="Q70">
        <v>0</v>
      </c>
      <c r="R70">
        <v>1</v>
      </c>
    </row>
    <row r="71" spans="1:18" x14ac:dyDescent="0.25">
      <c r="A71" t="s">
        <v>165</v>
      </c>
      <c r="B71" s="1">
        <v>19900</v>
      </c>
      <c r="C71">
        <v>4.0000000000000001E-3</v>
      </c>
      <c r="D71">
        <v>6.6000000000000003E-2</v>
      </c>
      <c r="E71">
        <v>0</v>
      </c>
      <c r="F71">
        <v>1</v>
      </c>
      <c r="G71" t="s">
        <v>165</v>
      </c>
      <c r="H71" s="1">
        <v>12452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7448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19900</v>
      </c>
      <c r="C72">
        <v>3.4000000000000002E-2</v>
      </c>
      <c r="D72">
        <v>0.18099999999999999</v>
      </c>
      <c r="E72">
        <v>0</v>
      </c>
      <c r="F72">
        <v>1</v>
      </c>
      <c r="G72" t="s">
        <v>166</v>
      </c>
      <c r="H72" s="1">
        <v>12452</v>
      </c>
      <c r="I72">
        <v>3.6999999999999998E-2</v>
      </c>
      <c r="J72">
        <v>0.188</v>
      </c>
      <c r="K72">
        <v>0</v>
      </c>
      <c r="L72">
        <v>1</v>
      </c>
      <c r="M72" t="s">
        <v>166</v>
      </c>
      <c r="N72" s="1">
        <v>7448</v>
      </c>
      <c r="O72">
        <v>0.03</v>
      </c>
      <c r="P72">
        <v>0.17</v>
      </c>
      <c r="Q72">
        <v>0</v>
      </c>
      <c r="R72">
        <v>1</v>
      </c>
    </row>
    <row r="73" spans="1:18" x14ac:dyDescent="0.25">
      <c r="A73" t="s">
        <v>167</v>
      </c>
      <c r="B73" s="1">
        <v>19900</v>
      </c>
      <c r="C73">
        <v>0.51500000000000001</v>
      </c>
      <c r="D73">
        <v>0.5</v>
      </c>
      <c r="E73">
        <v>0</v>
      </c>
      <c r="F73">
        <v>1</v>
      </c>
      <c r="G73" t="s">
        <v>167</v>
      </c>
      <c r="H73" s="1">
        <v>12452</v>
      </c>
      <c r="I73">
        <v>0.54200000000000004</v>
      </c>
      <c r="J73">
        <v>0.498</v>
      </c>
      <c r="K73">
        <v>0</v>
      </c>
      <c r="L73">
        <v>1</v>
      </c>
      <c r="M73" t="s">
        <v>167</v>
      </c>
      <c r="N73" s="1">
        <v>7448</v>
      </c>
      <c r="O73">
        <v>0.47099999999999997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19900</v>
      </c>
      <c r="C74">
        <v>0.12</v>
      </c>
      <c r="D74">
        <v>0.32500000000000001</v>
      </c>
      <c r="E74">
        <v>0</v>
      </c>
      <c r="F74">
        <v>1</v>
      </c>
      <c r="G74" t="s">
        <v>168</v>
      </c>
      <c r="H74" s="1">
        <v>12452</v>
      </c>
      <c r="I74">
        <v>0.11700000000000001</v>
      </c>
      <c r="J74">
        <v>0.32100000000000001</v>
      </c>
      <c r="K74">
        <v>0</v>
      </c>
      <c r="L74">
        <v>1</v>
      </c>
      <c r="M74" t="s">
        <v>168</v>
      </c>
      <c r="N74" s="1">
        <v>7448</v>
      </c>
      <c r="O74">
        <v>0.126</v>
      </c>
      <c r="P74">
        <v>0.33200000000000002</v>
      </c>
      <c r="Q74">
        <v>0</v>
      </c>
      <c r="R74">
        <v>1</v>
      </c>
    </row>
    <row r="75" spans="1:18" x14ac:dyDescent="0.25">
      <c r="A75" t="s">
        <v>169</v>
      </c>
      <c r="B75" s="1">
        <v>19900</v>
      </c>
      <c r="C75">
        <v>0.246</v>
      </c>
      <c r="D75">
        <v>0.43099999999999999</v>
      </c>
      <c r="E75">
        <v>0</v>
      </c>
      <c r="F75">
        <v>1</v>
      </c>
      <c r="G75" t="s">
        <v>169</v>
      </c>
      <c r="H75" s="1">
        <v>12452</v>
      </c>
      <c r="I75">
        <v>0.23200000000000001</v>
      </c>
      <c r="J75">
        <v>0.42199999999999999</v>
      </c>
      <c r="K75">
        <v>0</v>
      </c>
      <c r="L75">
        <v>1</v>
      </c>
      <c r="M75" t="s">
        <v>169</v>
      </c>
      <c r="N75" s="1">
        <v>7448</v>
      </c>
      <c r="O75">
        <v>0.27</v>
      </c>
      <c r="P75">
        <v>0.44400000000000001</v>
      </c>
      <c r="Q75">
        <v>0</v>
      </c>
      <c r="R75">
        <v>1</v>
      </c>
    </row>
    <row r="76" spans="1:18" x14ac:dyDescent="0.25">
      <c r="A76" t="s">
        <v>170</v>
      </c>
      <c r="B76" s="1">
        <v>19900</v>
      </c>
      <c r="C76">
        <v>0.08</v>
      </c>
      <c r="D76">
        <v>0.27100000000000002</v>
      </c>
      <c r="E76">
        <v>0</v>
      </c>
      <c r="F76">
        <v>1</v>
      </c>
      <c r="G76" t="s">
        <v>170</v>
      </c>
      <c r="H76" s="1">
        <v>12452</v>
      </c>
      <c r="I76">
        <v>6.9000000000000006E-2</v>
      </c>
      <c r="J76">
        <v>0.253</v>
      </c>
      <c r="K76">
        <v>0</v>
      </c>
      <c r="L76">
        <v>1</v>
      </c>
      <c r="M76" t="s">
        <v>170</v>
      </c>
      <c r="N76" s="1">
        <v>7448</v>
      </c>
      <c r="O76">
        <v>9.9000000000000005E-2</v>
      </c>
      <c r="P76">
        <v>0.29899999999999999</v>
      </c>
      <c r="Q76">
        <v>0</v>
      </c>
      <c r="R76">
        <v>1</v>
      </c>
    </row>
    <row r="77" spans="1:18" x14ac:dyDescent="0.25">
      <c r="A77" t="s">
        <v>79</v>
      </c>
      <c r="B77" s="1">
        <v>19900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12452</v>
      </c>
      <c r="I77">
        <v>0.03</v>
      </c>
      <c r="J77">
        <v>0.17199999999999999</v>
      </c>
      <c r="K77">
        <v>0</v>
      </c>
      <c r="L77">
        <v>1</v>
      </c>
      <c r="M77" t="s">
        <v>79</v>
      </c>
      <c r="N77" s="1">
        <v>7448</v>
      </c>
      <c r="O77">
        <v>3.5999999999999997E-2</v>
      </c>
      <c r="P77">
        <v>0.187</v>
      </c>
      <c r="Q77">
        <v>0</v>
      </c>
      <c r="R77">
        <v>1</v>
      </c>
    </row>
    <row r="78" spans="1:18" x14ac:dyDescent="0.25">
      <c r="A78" t="s">
        <v>80</v>
      </c>
      <c r="B78" s="1">
        <v>19900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12452</v>
      </c>
      <c r="I78">
        <v>5.0000000000000001E-4</v>
      </c>
      <c r="J78">
        <v>2.1999999999999999E-2</v>
      </c>
      <c r="K78">
        <v>0</v>
      </c>
      <c r="L78">
        <v>1</v>
      </c>
      <c r="M78" t="s">
        <v>80</v>
      </c>
      <c r="N78" s="1">
        <v>7448</v>
      </c>
      <c r="O78">
        <v>1E-4</v>
      </c>
      <c r="P78">
        <v>1.2E-2</v>
      </c>
      <c r="Q78">
        <v>0</v>
      </c>
      <c r="R78">
        <v>1</v>
      </c>
    </row>
    <row r="79" spans="1:18" x14ac:dyDescent="0.25">
      <c r="A79" t="s">
        <v>81</v>
      </c>
      <c r="B79" s="1">
        <v>19900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12452</v>
      </c>
      <c r="I79">
        <v>3.0000000000000001E-3</v>
      </c>
      <c r="J79">
        <v>5.8000000000000003E-2</v>
      </c>
      <c r="K79">
        <v>0</v>
      </c>
      <c r="L79">
        <v>1</v>
      </c>
      <c r="M79" t="s">
        <v>81</v>
      </c>
      <c r="N79" s="1">
        <v>7448</v>
      </c>
      <c r="O79">
        <v>3.0000000000000001E-3</v>
      </c>
      <c r="P79">
        <v>5.2999999999999999E-2</v>
      </c>
      <c r="Q79">
        <v>0</v>
      </c>
      <c r="R79">
        <v>1</v>
      </c>
    </row>
    <row r="80" spans="1:18" x14ac:dyDescent="0.25">
      <c r="A80" t="s">
        <v>82</v>
      </c>
      <c r="B80" s="1">
        <v>19900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12452</v>
      </c>
      <c r="I80">
        <v>4.0000000000000001E-3</v>
      </c>
      <c r="J80">
        <v>6.3E-2</v>
      </c>
      <c r="K80">
        <v>0</v>
      </c>
      <c r="L80">
        <v>1</v>
      </c>
      <c r="M80" t="s">
        <v>82</v>
      </c>
      <c r="N80" s="1">
        <v>7448</v>
      </c>
      <c r="O80">
        <v>4.0000000000000001E-3</v>
      </c>
      <c r="P80">
        <v>6.2E-2</v>
      </c>
      <c r="Q80">
        <v>0</v>
      </c>
      <c r="R80">
        <v>1</v>
      </c>
    </row>
    <row r="81" spans="1:18" x14ac:dyDescent="0.25">
      <c r="A81" t="s">
        <v>83</v>
      </c>
      <c r="B81" s="1">
        <v>19900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12452</v>
      </c>
      <c r="I81">
        <v>0.55900000000000005</v>
      </c>
      <c r="J81">
        <v>0.497</v>
      </c>
      <c r="K81">
        <v>0</v>
      </c>
      <c r="L81">
        <v>1</v>
      </c>
      <c r="M81" t="s">
        <v>83</v>
      </c>
      <c r="N81" s="1">
        <v>7448</v>
      </c>
      <c r="O81">
        <v>0.502</v>
      </c>
      <c r="P81">
        <v>0.5</v>
      </c>
      <c r="Q81">
        <v>0</v>
      </c>
      <c r="R81">
        <v>1</v>
      </c>
    </row>
    <row r="82" spans="1:18" x14ac:dyDescent="0.25">
      <c r="A82" t="s">
        <v>84</v>
      </c>
      <c r="B82" s="1">
        <v>19900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12452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7448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19900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12452</v>
      </c>
      <c r="I83">
        <v>0.39600000000000002</v>
      </c>
      <c r="J83">
        <v>0.48899999999999999</v>
      </c>
      <c r="K83">
        <v>0</v>
      </c>
      <c r="L83">
        <v>1</v>
      </c>
      <c r="M83" t="s">
        <v>85</v>
      </c>
      <c r="N83" s="1">
        <v>7448</v>
      </c>
      <c r="O83">
        <v>0.44500000000000001</v>
      </c>
      <c r="P83">
        <v>0.497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A770-7EE7-416B-B796-64D8C5745098}">
  <sheetPr codeName="Sheet10">
    <pageSetUpPr fitToPage="1"/>
  </sheetPr>
  <dimension ref="A1:AN92"/>
  <sheetViews>
    <sheetView workbookViewId="0">
      <selection activeCell="A2" sqref="A2:AL6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2.7109375" style="3" customWidth="1"/>
    <col min="5" max="5" width="11.7109375" style="3" hidden="1" customWidth="1"/>
    <col min="6" max="6" width="12.7109375" style="3" hidden="1" customWidth="1"/>
    <col min="7" max="8" width="8.7109375" style="3" hidden="1" customWidth="1"/>
    <col min="9" max="9" width="11.7109375" style="3" hidden="1" customWidth="1"/>
    <col min="10" max="10" width="12.7109375" style="3" hidden="1" customWidth="1"/>
    <col min="11" max="12" width="8.7109375" style="3" hidden="1" customWidth="1"/>
    <col min="13" max="13" width="11.7109375" style="3" hidden="1" customWidth="1"/>
    <col min="14" max="14" width="12.7109375" style="3" hidden="1" customWidth="1"/>
    <col min="15" max="16" width="12.7109375" customWidth="1"/>
    <col min="17" max="17" width="11.7109375" hidden="1" customWidth="1"/>
    <col min="18" max="18" width="12.7109375" hidden="1" customWidth="1"/>
    <col min="19" max="20" width="8.7109375" hidden="1" customWidth="1"/>
    <col min="21" max="21" width="11.7109375" hidden="1" customWidth="1"/>
    <col min="22" max="22" width="12.7109375" hidden="1" customWidth="1"/>
    <col min="23" max="24" width="8.7109375" hidden="1" customWidth="1"/>
    <col min="25" max="25" width="11.7109375" hidden="1" customWidth="1"/>
    <col min="26" max="26" width="12.7109375" hidden="1" customWidth="1"/>
    <col min="27" max="28" width="12.7109375" customWidth="1"/>
    <col min="29" max="29" width="12.42578125" hidden="1" customWidth="1"/>
    <col min="30" max="30" width="12.7109375" hidden="1" customWidth="1"/>
    <col min="31" max="32" width="8.7109375" hidden="1" customWidth="1"/>
    <col min="33" max="33" width="12.42578125" hidden="1" customWidth="1"/>
    <col min="34" max="34" width="12.7109375" hidden="1" customWidth="1"/>
    <col min="35" max="36" width="8.7109375" hidden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28" t="s">
        <v>188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</row>
    <row r="3" spans="1:40" ht="23.25" x14ac:dyDescent="0.35">
      <c r="A3" s="29" t="s">
        <v>324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</row>
    <row r="4" spans="1:40" ht="29.25" customHeight="1" x14ac:dyDescent="0.25">
      <c r="C4" s="30" t="s">
        <v>92</v>
      </c>
      <c r="D4" s="31"/>
      <c r="E4" s="31"/>
      <c r="F4" s="31"/>
      <c r="G4" s="31"/>
      <c r="H4" s="31"/>
      <c r="I4" s="31"/>
      <c r="J4" s="31"/>
      <c r="K4" s="31"/>
      <c r="L4" s="31"/>
      <c r="M4" s="21"/>
      <c r="N4" s="22"/>
      <c r="O4" s="30" t="s">
        <v>319</v>
      </c>
      <c r="P4" s="31"/>
      <c r="Q4" s="31"/>
      <c r="R4" s="31"/>
      <c r="S4" s="31"/>
      <c r="T4" s="31"/>
      <c r="U4" s="31"/>
      <c r="V4" s="31"/>
      <c r="W4" s="31"/>
      <c r="X4" s="31"/>
      <c r="Y4" s="24"/>
      <c r="Z4" s="24"/>
      <c r="AA4" s="30" t="s">
        <v>320</v>
      </c>
      <c r="AB4" s="31"/>
      <c r="AC4" s="31"/>
      <c r="AD4" s="31"/>
      <c r="AE4" s="31"/>
      <c r="AF4" s="31"/>
      <c r="AG4" s="31"/>
      <c r="AH4" s="31"/>
      <c r="AI4" s="31"/>
      <c r="AJ4" s="31"/>
    </row>
    <row r="5" spans="1:40" x14ac:dyDescent="0.25">
      <c r="A5" s="5"/>
      <c r="B5" s="5"/>
      <c r="C5" s="30" t="s">
        <v>92</v>
      </c>
      <c r="D5" s="31"/>
      <c r="E5" s="31"/>
      <c r="F5" s="31"/>
      <c r="G5" s="32" t="s">
        <v>317</v>
      </c>
      <c r="H5" s="33"/>
      <c r="I5" s="33"/>
      <c r="J5" s="34"/>
      <c r="K5" s="30" t="s">
        <v>318</v>
      </c>
      <c r="L5" s="31"/>
      <c r="M5" s="31"/>
      <c r="N5" s="35"/>
      <c r="O5" s="30" t="s">
        <v>92</v>
      </c>
      <c r="P5" s="31"/>
      <c r="Q5" s="31"/>
      <c r="R5" s="31"/>
      <c r="S5" s="32" t="s">
        <v>317</v>
      </c>
      <c r="T5" s="33"/>
      <c r="U5" s="33"/>
      <c r="V5" s="34"/>
      <c r="W5" s="30" t="s">
        <v>318</v>
      </c>
      <c r="X5" s="31"/>
      <c r="Y5" s="31"/>
      <c r="Z5" s="35"/>
      <c r="AA5" s="30" t="s">
        <v>92</v>
      </c>
      <c r="AB5" s="31"/>
      <c r="AC5" s="31"/>
      <c r="AD5" s="31"/>
      <c r="AE5" s="32" t="s">
        <v>317</v>
      </c>
      <c r="AF5" s="33"/>
      <c r="AG5" s="33"/>
      <c r="AH5" s="34"/>
      <c r="AI5" s="30" t="s">
        <v>318</v>
      </c>
      <c r="AJ5" s="31"/>
      <c r="AK5" s="31"/>
      <c r="AL5" s="35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315</v>
      </c>
      <c r="C7" s="9" t="str">
        <f>FIXED(VLOOKUP($A7,'Full Sample-No Sub'!$A:$R,C$1,0)/100000,2)</f>
        <v>9.28</v>
      </c>
      <c r="D7" s="3" t="str">
        <f>FIXED(VLOOKUP($A7,'Full Sample-No Sub'!$A:$R,D$1,0)/100000,2)</f>
        <v>8.28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8.87</v>
      </c>
      <c r="H7" s="3" t="str">
        <f>FIXED(VLOOKUP($A7,'Full Sample-No Sub'!$A:$R,H$1,0)/100000,2)</f>
        <v>7.90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9.84</v>
      </c>
      <c r="L7" s="3" t="str">
        <f>FIXED(VLOOKUP($A7,'Full Sample-No Sub'!$A:$R,L$1,0)/100000,2)</f>
        <v>8.73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6.57</v>
      </c>
      <c r="P7" s="3" t="str">
        <f>FIXED(VLOOKUP($A7,'Full Sample-Townhouse'!$A:$R,P$1,0)/100000,2)</f>
        <v>5.72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6.54</v>
      </c>
      <c r="T7" s="3" t="str">
        <f>FIXED(VLOOKUP($A7,'Full Sample-Townhouse'!$A:$R,T$1,0)/100000,2)</f>
        <v>5.90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6.60</v>
      </c>
      <c r="X7" s="3" t="str">
        <f>FIXED(VLOOKUP($A7,'Full Sample-Townhouse'!$A:$R,X$1,0)/100000,2)</f>
        <v>5.45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12.53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9.00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10.22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AA7*0.039*100000</f>
        <v>48867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0.56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1.30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1.29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0.43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0.38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44.36</v>
      </c>
      <c r="D11" s="3" t="str">
        <f>FIXED(VLOOKUP($A11,'Full Sample-No Sub'!$A:$R,D$1,0),2)</f>
        <v>58.82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51.11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57.26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46.06</v>
      </c>
      <c r="P11" s="3" t="str">
        <f>FIXED(VLOOKUP($A11,'Full Sample-Townhouse'!$A:$R,P$1,0),2)</f>
        <v>60.62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50.71</v>
      </c>
      <c r="T11" s="3" t="str">
        <f>FIXED(VLOOKUP($A11,'Full Sample-Townhouse'!$A:$R,T$1,0),2)</f>
        <v>58.34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39.77</v>
      </c>
      <c r="X11" s="3" t="str">
        <f>FIXED(VLOOKUP($A11,'Full Sample-Townhouse'!$A:$R,X$1,0),2)</f>
        <v>63.04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42.32</v>
      </c>
      <c r="AB11" s="3" t="str">
        <f>FIXED(VLOOKUP($A11,'Full Sample-Single Family'!$A:$R,AB$1,0),2)</f>
        <v>56.52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51.59</v>
      </c>
      <c r="AF11" s="3" t="str">
        <f>FIXED(VLOOKUP($A11,'Full Sample-Single Family'!$A:$R,AF$1,0),2)</f>
        <v>59.84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29.65</v>
      </c>
      <c r="AJ11" s="3" t="str">
        <f>FIXED(VLOOKUP($A11,'Full Sample-Single Family'!$A:$R,AJ$1,0),2)</f>
        <v>48.86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1.50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0.55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0.98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2.72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2.70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1.31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0.28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0.22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0.52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0.51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0.21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316</v>
      </c>
      <c r="C18" s="9" t="str">
        <f>FIXED(VLOOKUP($A18,'Full Sample-No Sub'!$A:$R,C$1,0),2)</f>
        <v>1,473.24</v>
      </c>
      <c r="D18" s="3" t="str">
        <f>FIXED(VLOOKUP($A18,'Full Sample-No Sub'!$A:$R,D$1,0),2)</f>
        <v>982.46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1,459.27</v>
      </c>
      <c r="H18" s="3" t="str">
        <f>FIXED(VLOOKUP($A18,'Full Sample-No Sub'!$A:$R,H$1,0),2)</f>
        <v>951.34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1,492.26</v>
      </c>
      <c r="L18" s="3" t="str">
        <f>FIXED(VLOOKUP($A18,'Full Sample-No Sub'!$A:$R,L$1,0),2)</f>
        <v>1,022.99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963.10</v>
      </c>
      <c r="P18" s="3" t="str">
        <f>FIXED(VLOOKUP($A18,'Full Sample-Townhouse'!$A:$R,P$1,0),2)</f>
        <v>437.41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965.57</v>
      </c>
      <c r="T18" s="3" t="str">
        <f>FIXED(VLOOKUP($A18,'Full Sample-Townhouse'!$A:$R,T$1,0),2)</f>
        <v>434.83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959.76</v>
      </c>
      <c r="X18" s="3" t="str">
        <f>FIXED(VLOOKUP($A18,'Full Sample-Townhouse'!$A:$R,X$1,0),2)</f>
        <v>440.88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2,082.55</v>
      </c>
      <c r="AB18" s="3" t="str">
        <f>FIXED(VLOOKUP($A18,'Full Sample-Single Family'!$A:$R,AB$1,0),2)</f>
        <v>1,098.86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2,046.78</v>
      </c>
      <c r="AF18" s="3" t="str">
        <f>FIXED(VLOOKUP($A18,'Full Sample-Single Family'!$A:$R,AF$1,0),2)</f>
        <v>1,059.19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2,131.45</v>
      </c>
      <c r="AJ18" s="3" t="str">
        <f>FIXED(VLOOKUP($A18,'Full Sample-Single Family'!$A:$R,AJ$1,0),2)</f>
        <v>1,149.13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36.91</v>
      </c>
      <c r="D19" s="3" t="str">
        <f>FIXED(VLOOKUP($A19,'Full Sample-No Sub'!$A:$R,D$1,0),2)</f>
        <v>19.66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35.25</v>
      </c>
      <c r="H19" s="3" t="str">
        <f>FIXED(VLOOKUP($A19,'Full Sample-No Sub'!$A:$R,H$1,0),2)</f>
        <v>19.33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39.17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35.39</v>
      </c>
      <c r="P19" s="3" t="str">
        <f>FIXED(VLOOKUP($A19,'Full Sample-Townhouse'!$A:$R,P$1,0),2)</f>
        <v>16.00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34.12</v>
      </c>
      <c r="T19" s="3" t="str">
        <f>FIXED(VLOOKUP($A19,'Full Sample-Townhouse'!$A:$R,T$1,0),2)</f>
        <v>15.64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37.10</v>
      </c>
      <c r="X19" s="3" t="str">
        <f>FIXED(VLOOKUP($A19,'Full Sample-Townhouse'!$A:$R,X$1,0),2)</f>
        <v>16.32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38.74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36.60</v>
      </c>
      <c r="AF19" s="3" t="str">
        <f>FIXED(VLOOKUP($A19,'Full Sample-Single Family'!$A:$R,AF$1,0),2)</f>
        <v>22.88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41.66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1.75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1.62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1.51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1.41</v>
      </c>
      <c r="T20" s="3" t="str">
        <f>FIXED(VLOOKUP($A20,'Full Sample-Townhouse'!$A:$R,T$1,0),2)</f>
        <v>0.96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1.07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71</v>
      </c>
      <c r="B22" s="4" t="s">
        <v>147</v>
      </c>
      <c r="C22" s="9" t="str">
        <f>FIXED(VLOOKUP($A22,'Full Sample-No Sub'!$A:$R,C$1,0),2)</f>
        <v>0.33</v>
      </c>
      <c r="D22" s="3" t="str">
        <f>FIXED(VLOOKUP($A22,'Full Sample-No Sub'!$A:$R,D$1,0),2)</f>
        <v>0.47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0.35</v>
      </c>
      <c r="H22" s="3" t="str">
        <f>FIXED(VLOOKUP($A22,'Full Sample-No Sub'!$A:$R,H$1,0),2)</f>
        <v>0.48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0.31</v>
      </c>
      <c r="L22" s="3" t="str">
        <f>FIXED(VLOOKUP($A22,'Full Sample-No Sub'!$A:$R,L$1,0),2)</f>
        <v>0.46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0.36</v>
      </c>
      <c r="P22" s="3" t="str">
        <f>FIXED(VLOOKUP($A22,'Full Sample-Townhouse'!$A:$R,P$1,0),2)</f>
        <v>0.48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0.38</v>
      </c>
      <c r="T22" s="3" t="str">
        <f>FIXED(VLOOKUP($A22,'Full Sample-Townhouse'!$A:$R,T$1,0),2)</f>
        <v>0.48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0.34</v>
      </c>
      <c r="X22" s="3" t="str">
        <f>FIXED(VLOOKUP($A22,'Full Sample-Townhouse'!$A:$R,X$1,0),2)</f>
        <v>0.47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0.30</v>
      </c>
      <c r="AB22" s="3" t="str">
        <f>FIXED(VLOOKUP($A22,'Full Sample-Single Family'!$A:$R,AB$1,0),2)</f>
        <v>0.46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0.32</v>
      </c>
      <c r="AF22" s="3" t="str">
        <f>FIXED(VLOOKUP($A22,'Full Sample-Single Family'!$A:$R,AF$1,0),2)</f>
        <v>0.47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0.28</v>
      </c>
      <c r="AJ22" s="3" t="str">
        <f>FIXED(VLOOKUP($A22,'Full Sample-Single Family'!$A:$R,AJ$1,0),2)</f>
        <v>0.45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72</v>
      </c>
      <c r="B23" s="4" t="s">
        <v>148</v>
      </c>
      <c r="C23" s="9" t="str">
        <f>FIXED(VLOOKUP($A23,'Full Sample-No Sub'!$A:$R,C$1,0),2)</f>
        <v>0.43</v>
      </c>
      <c r="D23" s="3" t="str">
        <f>FIXED(VLOOKUP($A23,'Full Sample-No Sub'!$A:$R,D$1,0),2)</f>
        <v>0.50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0.41</v>
      </c>
      <c r="H23" s="3" t="str">
        <f>FIXED(VLOOKUP($A23,'Full Sample-No Sub'!$A:$R,H$1,0),2)</f>
        <v>0.49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0.45</v>
      </c>
      <c r="L23" s="3" t="str">
        <f>FIXED(VLOOKUP($A23,'Full Sample-No Sub'!$A:$R,L$1,0),2)</f>
        <v>0.50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0.44</v>
      </c>
      <c r="P23" s="3" t="str">
        <f>FIXED(VLOOKUP($A23,'Full Sample-Townhouse'!$A:$R,P$1,0),2)</f>
        <v>0.50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0.43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0.46</v>
      </c>
      <c r="X23" s="3" t="str">
        <f>FIXED(VLOOKUP($A23,'Full Sample-Townhouse'!$A:$R,X$1,0),2)</f>
        <v>0.50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0.41</v>
      </c>
      <c r="AB23" s="3" t="str">
        <f>FIXED(VLOOKUP($A23,'Full Sample-Single Family'!$A:$R,AB$1,0),2)</f>
        <v>0.49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0.40</v>
      </c>
      <c r="AF23" s="3" t="str">
        <f>FIXED(VLOOKUP($A23,'Full Sample-Single Family'!$A:$R,AF$1,0),2)</f>
        <v>0.49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0.43</v>
      </c>
      <c r="AJ23" s="3" t="str">
        <f>FIXED(VLOOKUP($A23,'Full Sample-Single Family'!$A:$R,AJ$1,0),2)</f>
        <v>0.50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70</v>
      </c>
      <c r="B24" s="4" t="s">
        <v>146</v>
      </c>
      <c r="C24" s="9" t="str">
        <f>FIXED(VLOOKUP($A24,'Full Sample-No Sub'!$A:$R,C$1,0),2)</f>
        <v>0.19</v>
      </c>
      <c r="D24" s="3" t="str">
        <f>FIXED(VLOOKUP($A24,'Full Sample-No Sub'!$A:$R,D$1,0),2)</f>
        <v>0.40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0.19</v>
      </c>
      <c r="H24" s="3" t="str">
        <f>FIXED(VLOOKUP($A24,'Full Sample-No Sub'!$A:$R,H$1,0),2)</f>
        <v>0.39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0.20</v>
      </c>
      <c r="L24" s="3" t="str">
        <f>FIXED(VLOOKUP($A24,'Full Sample-No Sub'!$A:$R,L$1,0),2)</f>
        <v>0.40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0.17</v>
      </c>
      <c r="P24" s="3" t="str">
        <f>FIXED(VLOOKUP($A24,'Full Sample-Townhouse'!$A:$R,P$1,0),2)</f>
        <v>0.38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0.17</v>
      </c>
      <c r="T24" s="3" t="str">
        <f>FIXED(VLOOKUP($A24,'Full Sample-Townhouse'!$A:$R,T$1,0),2)</f>
        <v>0.38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0.18</v>
      </c>
      <c r="X24" s="3" t="str">
        <f>FIXED(VLOOKUP($A24,'Full Sample-Townhouse'!$A:$R,X$1,0),2)</f>
        <v>0.38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0.22</v>
      </c>
      <c r="AB24" s="3" t="str">
        <f>FIXED(VLOOKUP($A24,'Full Sample-Single Family'!$A:$R,AB$1,0),2)</f>
        <v>0.41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0.21</v>
      </c>
      <c r="AF24" s="3" t="str">
        <f>FIXED(VLOOKUP($A24,'Full Sample-Single Family'!$A:$R,AF$1,0),2)</f>
        <v>0.41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0.22</v>
      </c>
      <c r="AJ24" s="3" t="str">
        <f>FIXED(VLOOKUP($A24,'Full Sample-Single Family'!$A:$R,AJ$1,0),2)</f>
        <v>0.42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0.22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0.09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0.10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0.10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0.38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0.18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">
        <v>313</v>
      </c>
      <c r="AB28" s="3" t="s">
        <v>313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0.28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0.27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0.50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0.53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">
        <v>313</v>
      </c>
      <c r="AB29" s="3" t="s">
        <v>313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0.30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">
        <v>313</v>
      </c>
      <c r="AB30" s="3" t="s">
        <v>313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1.00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0.02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1.00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0.01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0.07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">
        <v>313</v>
      </c>
      <c r="AB31" s="3" t="s">
        <v>313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0.06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0.06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0.27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313</v>
      </c>
      <c r="P33" s="3" t="s">
        <v>313</v>
      </c>
      <c r="Q33" s="3" t="str">
        <f>FIXED(VLOOKUP($A33,'Full Sample-Townhouse'!$A:$R,Q$1,0),2)</f>
        <v>0.00</v>
      </c>
      <c r="R33" s="3" t="str">
        <f>FIXED(VLOOKUP($A33,'Full Sample-Townhouse'!$A:$R,R$1,0),2)</f>
        <v>1.00</v>
      </c>
      <c r="S33" s="9" t="str">
        <f>FIXED(VLOOKUP($A33,'Full Sample-Townhouse'!$A:$R,S$1,0),2)</f>
        <v>0.00</v>
      </c>
      <c r="T33" s="3" t="str">
        <f>FIXED(VLOOKUP($A33,'Full Sample-Townhouse'!$A:$R,T$1,0),2)</f>
        <v>0.01</v>
      </c>
      <c r="U33" s="3" t="str">
        <f>FIXED(VLOOKUP($A33,'Full Sample-Townhouse'!$A:$R,U$1,0),2)</f>
        <v>0.00</v>
      </c>
      <c r="V33" s="13" t="str">
        <f>FIXED(VLOOKUP($A33,'Full Sample-Townhouse'!$A:$R,V$1,0),2)</f>
        <v>1.00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313</v>
      </c>
      <c r="P34" s="3" t="s">
        <v>313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0.28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0.09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">
        <v>313</v>
      </c>
      <c r="AB35" s="3" t="s">
        <v>313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0.23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0.24</v>
      </c>
      <c r="T39" s="3" t="str">
        <f>FIXED(VLOOKUP($A39,'Full Sample-Townhouse'!$A:$R,T$1,0),2)</f>
        <v>0.43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0.27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0.37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0.29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0.28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0.06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0.11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0.11</v>
      </c>
      <c r="H42" s="3" t="str">
        <f>FIXED(VLOOKUP($A42,'Full Sample-No Sub'!$A:$R,H$1,0),2)</f>
        <v>0.31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0.20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0.19</v>
      </c>
      <c r="T42" s="3" t="str">
        <f>FIXED(VLOOKUP($A42,'Full Sample-Townhouse'!$A:$R,T$1,0),2)</f>
        <v>0.39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18.09</v>
      </c>
      <c r="D44" s="3" t="str">
        <f>FIXED(VLOOKUP($A44,'Full Sample-No Sub'!$A:$R,D$1,0),2)</f>
        <v>47.43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17.91</v>
      </c>
      <c r="H44" s="3" t="str">
        <f>FIXED(VLOOKUP($A44,'Full Sample-No Sub'!$A:$R,H$1,0),2)</f>
        <v>45.73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18.35</v>
      </c>
      <c r="L44" s="3" t="str">
        <f>FIXED(VLOOKUP($A44,'Full Sample-No Sub'!$A:$R,L$1,0),2)</f>
        <v>49.64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12.48</v>
      </c>
      <c r="P44" s="3" t="str">
        <f>FIXED(VLOOKUP($A44,'Full Sample-Townhouse'!$A:$R,P$1,0),2)</f>
        <v>41.98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12.00</v>
      </c>
      <c r="T44" s="3" t="str">
        <f>FIXED(VLOOKUP($A44,'Full Sample-Townhouse'!$A:$R,T$1,0),2)</f>
        <v>39.93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13.12</v>
      </c>
      <c r="X44" s="3" t="str">
        <f>FIXED(VLOOKUP($A44,'Full Sample-Townhouse'!$A:$R,X$1,0),2)</f>
        <v>44.60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52.43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50.91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24.61</v>
      </c>
      <c r="AJ44" s="3" t="str">
        <f>FIXED(VLOOKUP($A44,'Full Sample-Single Family'!$A:$R,AJ$1,0),2)</f>
        <v>54.44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0.25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0.43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0.24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0.33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0.32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0.18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0.67</v>
      </c>
      <c r="D52" s="3" t="str">
        <f>FIXED(VLOOKUP($A52,'Full Sample-No Sub'!$A:$R,D$1,0),2)</f>
        <v>1.47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0.65</v>
      </c>
      <c r="H52" s="3" t="str">
        <f>FIXED(VLOOKUP($A52,'Full Sample-No Sub'!$A:$R,H$1,0),2)</f>
        <v>1.47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1.22</v>
      </c>
      <c r="P52" s="3" t="str">
        <f>FIXED(VLOOKUP($A52,'Full Sample-Townhouse'!$A:$R,P$1,0),2)</f>
        <v>1.82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1.20</v>
      </c>
      <c r="T52" s="3" t="str">
        <f>FIXED(VLOOKUP($A52,'Full Sample-Townhouse'!$A:$R,T$1,0),2)</f>
        <v>1.81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2.10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2.15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1.77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1.80</v>
      </c>
      <c r="T53" s="3" t="str">
        <f>FIXED(VLOOKUP($A53,'Full Sample-Townhouse'!$A:$R,T$1,0),2)</f>
        <v>2.32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2.56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4.14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4.12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3.21</v>
      </c>
      <c r="P55" s="3" t="str">
        <f>FIXED(VLOOKUP($A55,'Full Sample-Townhouse'!$A:$R,P$1,0),2)</f>
        <v>3.46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3.16</v>
      </c>
      <c r="T55" s="3" t="str">
        <f>FIXED(VLOOKUP($A55,'Full Sample-Townhouse'!$A:$R,T$1,0),2)</f>
        <v>3.35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3.26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4.24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9.10</v>
      </c>
      <c r="D56" s="3" t="str">
        <f>FIXED(VLOOKUP($A56,'Full Sample-No Sub'!$A:$R,D$1,0),2)</f>
        <v>5.60</v>
      </c>
      <c r="E56" s="3" t="str">
        <f>FIXED(VLOOKUP($A56,'Full Sample-No Sub'!$A:$R,E$1,0),2)</f>
        <v>0.32</v>
      </c>
      <c r="F56" s="3" t="str">
        <f>FIXED(VLOOKUP($A56,'Full Sample-No Sub'!$A:$R,F$1,0),2)</f>
        <v>30.99</v>
      </c>
      <c r="G56" s="9" t="str">
        <f>FIXED(VLOOKUP($A56,'Full Sample-No Sub'!$A:$R,G$1,0),2)</f>
        <v>9.10</v>
      </c>
      <c r="H56" s="3" t="str">
        <f>FIXED(VLOOKUP($A56,'Full Sample-No Sub'!$A:$R,H$1,0),2)</f>
        <v>5.60</v>
      </c>
      <c r="I56" s="3" t="str">
        <f>FIXED(VLOOKUP($A56,'Full Sample-No Sub'!$A:$R,I$1,0),2)</f>
        <v>0.32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7.66</v>
      </c>
      <c r="P56" s="3" t="str">
        <f>FIXED(VLOOKUP($A56,'Full Sample-Townhouse'!$A:$R,P$1,0),2)</f>
        <v>5.18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7.71</v>
      </c>
      <c r="T56" s="3" t="str">
        <f>FIXED(VLOOKUP($A56,'Full Sample-Townhouse'!$A:$R,T$1,0),2)</f>
        <v>5.20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5.14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0.32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10.76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0.32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10.92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4.52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4.67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6.08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6.28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1.23</v>
      </c>
      <c r="X57" s="3" t="str">
        <f>FIXED(VLOOKUP($A57,'Full Sample-Townhouse'!$A:$R,X$1,0),2)</f>
        <v>5.79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7.83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7.83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1.60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1.59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1.34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1.96</v>
      </c>
      <c r="T58" s="3" t="str">
        <f>FIXED(VLOOKUP($A58,'Full Sample-Townhouse'!$A:$R,T$1,0),2)</f>
        <v>1.34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2.18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2.18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1.85</v>
      </c>
      <c r="P59" s="3" t="str">
        <f>FIXED(VLOOKUP($A59,'Full Sample-Townhouse'!$A:$R,P$1,0),2)</f>
        <v>1.22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1.86</v>
      </c>
      <c r="T59" s="3" t="str">
        <f>FIXED(VLOOKUP($A59,'Full Sample-Townhouse'!$A:$R,T$1,0),2)</f>
        <v>1.22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1.83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42</v>
      </c>
      <c r="B60" t="s">
        <v>121</v>
      </c>
      <c r="C60" s="9" t="str">
        <f>FIXED(VLOOKUP($A60,'Full Sample-No Sub'!$A:$R,C$1,0),2)</f>
        <v>0.25</v>
      </c>
      <c r="D60" s="3" t="str">
        <f>FIXED(VLOOKUP($A60,'Full Sample-No Sub'!$A:$R,D$1,0),2)</f>
        <v>0.17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0.26</v>
      </c>
      <c r="H60" s="3" t="str">
        <f>FIXED(VLOOKUP($A60,'Full Sample-No Sub'!$A:$R,H$1,0),2)</f>
        <v>0.17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0.25</v>
      </c>
      <c r="L60" s="3" t="str">
        <f>FIXED(VLOOKUP($A60,'Full Sample-No Sub'!$A:$R,L$1,0),2)</f>
        <v>0.17</v>
      </c>
      <c r="M60" s="3" t="str">
        <f>FIXED(VLOOKUP($A60,'Full Sample-No Sub'!$A:$R,M$1,0),2)</f>
        <v>0.00</v>
      </c>
      <c r="N60" s="13" t="str">
        <f>FIXED(VLOOKUP($A60,'Full Sample-No Sub'!$A:$R,N$1,0),2)</f>
        <v>0.92</v>
      </c>
      <c r="O60" s="9" t="str">
        <f>FIXED(VLOOKUP($A60,'Full Sample-Townhouse'!$A:$R,O$1,0),2)</f>
        <v>0.28</v>
      </c>
      <c r="P60" s="3" t="str">
        <f>FIXED(VLOOKUP($A60,'Full Sample-Townhouse'!$A:$R,P$1,0),2)</f>
        <v>0.17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0.28</v>
      </c>
      <c r="T60" s="3" t="str">
        <f>FIXED(VLOOKUP($A60,'Full Sample-Townhouse'!$A:$R,T$1,0),2)</f>
        <v>0.17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0.27</v>
      </c>
      <c r="X60" s="3" t="str">
        <f>FIXED(VLOOKUP($A60,'Full Sample-Townhouse'!$A:$R,X$1,0),2)</f>
        <v>0.18</v>
      </c>
      <c r="Y60" s="3" t="str">
        <f>FIXED(VLOOKUP($A60,'Full Sample-Townhouse'!$A:$R,Y$1,0),2)</f>
        <v>0.00</v>
      </c>
      <c r="Z60" s="3" t="str">
        <f>FIXED(VLOOKUP($A60,'Full Sample-Townhouse'!$A:$R,Z$1,0),2)</f>
        <v>0.83</v>
      </c>
      <c r="AA60" s="9" t="str">
        <f>FIXED(VLOOKUP($A60,'Full Sample-Single Family'!$A:$R,AA$1,0),2)</f>
        <v>0.22</v>
      </c>
      <c r="AB60" s="3" t="str">
        <f>FIXED(VLOOKUP($A60,'Full Sample-Single Family'!$A:$R,AB$1,0),2)</f>
        <v>0.16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0.92</v>
      </c>
      <c r="AE60" s="9" t="str">
        <f>FIXED(VLOOKUP($A60,'Full Sample-Single Family'!$A:$R,AE$1,0),2)</f>
        <v>0.22</v>
      </c>
      <c r="AF60" s="3" t="str">
        <f>FIXED(VLOOKUP($A60,'Full Sample-Single Family'!$A:$R,AF$1,0),2)</f>
        <v>0.15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0.86</v>
      </c>
      <c r="AI60" s="9" t="str">
        <f>FIXED(VLOOKUP($A60,'Full Sample-Single Family'!$A:$R,AI$1,0),2)</f>
        <v>0.22</v>
      </c>
      <c r="AJ60" s="3" t="str">
        <f>FIXED(VLOOKUP($A60,'Full Sample-Single Family'!$A:$R,AJ$1,0),2)</f>
        <v>0.16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43</v>
      </c>
      <c r="B61" t="s">
        <v>122</v>
      </c>
      <c r="C61" s="9" t="str">
        <f>FIXED(VLOOKUP($A61,'Full Sample-No Sub'!$A:$R,C$1,0),2)</f>
        <v>0.02</v>
      </c>
      <c r="D61" s="3" t="str">
        <f>FIXED(VLOOKUP($A61,'Full Sample-No Sub'!$A:$R,D$1,0),2)</f>
        <v>0.04</v>
      </c>
      <c r="E61" s="3" t="str">
        <f>FIXED(VLOOKUP($A61,'Full Sample-No Sub'!$A:$R,E$1,0),2)</f>
        <v>0.00</v>
      </c>
      <c r="F61" s="3" t="str">
        <f>FIXED(VLOOKUP($A61,'Full Sample-No Sub'!$A:$R,F$1,0),2)</f>
        <v>0.78</v>
      </c>
      <c r="G61" s="9" t="str">
        <f>FIXED(VLOOKUP($A61,'Full Sample-No Sub'!$A:$R,G$1,0),2)</f>
        <v>0.02</v>
      </c>
      <c r="H61" s="3" t="str">
        <f>FIXED(VLOOKUP($A61,'Full Sample-No Sub'!$A:$R,H$1,0),2)</f>
        <v>0.03</v>
      </c>
      <c r="I61" s="3" t="str">
        <f>FIXED(VLOOKUP($A61,'Full Sample-No Sub'!$A:$R,I$1,0),2)</f>
        <v>0.00</v>
      </c>
      <c r="J61" s="13" t="str">
        <f>FIXED(VLOOKUP($A61,'Full Sample-No Sub'!$A:$R,J$1,0),2)</f>
        <v>0.78</v>
      </c>
      <c r="K61" s="9" t="str">
        <f>FIXED(VLOOKUP($A61,'Full Sample-No Sub'!$A:$R,K$1,0),2)</f>
        <v>0.02</v>
      </c>
      <c r="L61" s="3" t="str">
        <f>FIXED(VLOOKUP($A61,'Full Sample-No Sub'!$A:$R,L$1,0),2)</f>
        <v>0.04</v>
      </c>
      <c r="M61" s="3" t="str">
        <f>FIXED(VLOOKUP($A61,'Full Sample-No Sub'!$A:$R,M$1,0),2)</f>
        <v>0.00</v>
      </c>
      <c r="N61" s="13" t="str">
        <f>FIXED(VLOOKUP($A61,'Full Sample-No Sub'!$A:$R,N$1,0),2)</f>
        <v>0.78</v>
      </c>
      <c r="O61" s="9" t="str">
        <f>FIXED(VLOOKUP($A61,'Full Sample-Townhouse'!$A:$R,O$1,0),2)</f>
        <v>0.02</v>
      </c>
      <c r="P61" s="3" t="str">
        <f>FIXED(VLOOKUP($A61,'Full Sample-Townhouse'!$A:$R,P$1,0),2)</f>
        <v>0.04</v>
      </c>
      <c r="Q61" s="3" t="str">
        <f>FIXED(VLOOKUP($A61,'Full Sample-Townhouse'!$A:$R,Q$1,0),2)</f>
        <v>0.00</v>
      </c>
      <c r="R61" s="3" t="str">
        <f>FIXED(VLOOKUP($A61,'Full Sample-Townhouse'!$A:$R,R$1,0),2)</f>
        <v>0.78</v>
      </c>
      <c r="S61" s="9" t="str">
        <f>FIXED(VLOOKUP($A61,'Full Sample-Townhouse'!$A:$R,S$1,0),2)</f>
        <v>0.02</v>
      </c>
      <c r="T61" s="3" t="str">
        <f>FIXED(VLOOKUP($A61,'Full Sample-Townhouse'!$A:$R,T$1,0),2)</f>
        <v>0.03</v>
      </c>
      <c r="U61" s="3" t="str">
        <f>FIXED(VLOOKUP($A61,'Full Sample-Townhouse'!$A:$R,U$1,0),2)</f>
        <v>0.00</v>
      </c>
      <c r="V61" s="13" t="str">
        <f>FIXED(VLOOKUP($A61,'Full Sample-Townhouse'!$A:$R,V$1,0),2)</f>
        <v>0.78</v>
      </c>
      <c r="W61" s="9" t="str">
        <f>FIXED(VLOOKUP($A61,'Full Sample-Townhouse'!$A:$R,W$1,0),2)</f>
        <v>0.02</v>
      </c>
      <c r="X61" s="3" t="str">
        <f>FIXED(VLOOKUP($A61,'Full Sample-Townhouse'!$A:$R,X$1,0),2)</f>
        <v>0.04</v>
      </c>
      <c r="Y61" s="3" t="str">
        <f>FIXED(VLOOKUP($A61,'Full Sample-Townhouse'!$A:$R,Y$1,0),2)</f>
        <v>0.00</v>
      </c>
      <c r="Z61" s="3" t="str">
        <f>FIXED(VLOOKUP($A61,'Full Sample-Townhouse'!$A:$R,Z$1,0),2)</f>
        <v>0.78</v>
      </c>
      <c r="AA61" s="9" t="str">
        <f>FIXED(VLOOKUP($A61,'Full Sample-Single Family'!$A:$R,AA$1,0),2)</f>
        <v>0.02</v>
      </c>
      <c r="AB61" s="3" t="str">
        <f>FIXED(VLOOKUP($A61,'Full Sample-Single Family'!$A:$R,AB$1,0),2)</f>
        <v>0.03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0.36</v>
      </c>
      <c r="AE61" s="9" t="str">
        <f>FIXED(VLOOKUP($A61,'Full Sample-Single Family'!$A:$R,AE$1,0),2)</f>
        <v>0.02</v>
      </c>
      <c r="AF61" s="3" t="str">
        <f>FIXED(VLOOKUP($A61,'Full Sample-Single Family'!$A:$R,AF$1,0),2)</f>
        <v>0.03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0.36</v>
      </c>
      <c r="AI61" s="9" t="str">
        <f>FIXED(VLOOKUP($A61,'Full Sample-Single Family'!$A:$R,AI$1,0),2)</f>
        <v>0.02</v>
      </c>
      <c r="AJ61" s="3" t="str">
        <f>FIXED(VLOOKUP($A61,'Full Sample-Single Family'!$A:$R,AJ$1,0),2)</f>
        <v>0.04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44</v>
      </c>
      <c r="B62" t="s">
        <v>123</v>
      </c>
      <c r="C62" s="9" t="str">
        <f>FIXED(VLOOKUP($A62,'Full Sample-No Sub'!$A:$R,C$1,0),2)</f>
        <v>0.43</v>
      </c>
      <c r="D62" s="3" t="str">
        <f>FIXED(VLOOKUP($A62,'Full Sample-No Sub'!$A:$R,D$1,0),2)</f>
        <v>0.19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0.42</v>
      </c>
      <c r="H62" s="3" t="str">
        <f>FIXED(VLOOKUP($A62,'Full Sample-No Sub'!$A:$R,H$1,0),2)</f>
        <v>0.18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0.43</v>
      </c>
      <c r="L62" s="3" t="str">
        <f>FIXED(VLOOKUP($A62,'Full Sample-No Sub'!$A:$R,L$1,0),2)</f>
        <v>0.20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0.43</v>
      </c>
      <c r="P62" s="3" t="str">
        <f>FIXED(VLOOKUP($A62,'Full Sample-Townhouse'!$A:$R,P$1,0),2)</f>
        <v>0.18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0.43</v>
      </c>
      <c r="T62" s="3" t="str">
        <f>FIXED(VLOOKUP($A62,'Full Sample-Townhouse'!$A:$R,T$1,0),2)</f>
        <v>0.18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0.44</v>
      </c>
      <c r="X62" s="3" t="str">
        <f>FIXED(VLOOKUP($A62,'Full Sample-Townhouse'!$A:$R,X$1,0),2)</f>
        <v>0.19</v>
      </c>
      <c r="Y62" s="3" t="str">
        <f>FIXED(VLOOKUP($A62,'Full Sample-Townhouse'!$A:$R,Y$1,0),2)</f>
        <v>0.01</v>
      </c>
      <c r="Z62" s="3" t="str">
        <f>FIXED(VLOOKUP($A62,'Full Sample-Townhouse'!$A:$R,Z$1,0),2)</f>
        <v>1.00</v>
      </c>
      <c r="AA62" s="9" t="str">
        <f>FIXED(VLOOKUP($A62,'Full Sample-Single Family'!$A:$R,AA$1,0),2)</f>
        <v>0.41</v>
      </c>
      <c r="AB62" s="3" t="str">
        <f>FIXED(VLOOKUP($A62,'Full Sample-Single Family'!$A:$R,AB$1,0),2)</f>
        <v>0.19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0.97</v>
      </c>
      <c r="AE62" s="9" t="str">
        <f>FIXED(VLOOKUP($A62,'Full Sample-Single Family'!$A:$R,AE$1,0),2)</f>
        <v>0.42</v>
      </c>
      <c r="AF62" s="3" t="str">
        <f>FIXED(VLOOKUP($A62,'Full Sample-Single Family'!$A:$R,AF$1,0),2)</f>
        <v>0.19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0.97</v>
      </c>
      <c r="AI62" s="9" t="str">
        <f>FIXED(VLOOKUP($A62,'Full Sample-Single Family'!$A:$R,AI$1,0),2)</f>
        <v>0.41</v>
      </c>
      <c r="AJ62" s="3" t="str">
        <f>FIXED(VLOOKUP($A62,'Full Sample-Single Family'!$A:$R,AJ$1,0),2)</f>
        <v>0.20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45</v>
      </c>
      <c r="B63" t="s">
        <v>124</v>
      </c>
      <c r="C63" s="9" t="str">
        <f>FIXED(VLOOKUP($A63,'Full Sample-No Sub'!$A:$R,C$1,0),2)</f>
        <v>0.07</v>
      </c>
      <c r="D63" s="3" t="str">
        <f>FIXED(VLOOKUP($A63,'Full Sample-No Sub'!$A:$R,D$1,0),2)</f>
        <v>0.09</v>
      </c>
      <c r="E63" s="3" t="str">
        <f>FIXED(VLOOKUP($A63,'Full Sample-No Sub'!$A:$R,E$1,0),2)</f>
        <v>0.00</v>
      </c>
      <c r="F63" s="3" t="str">
        <f>FIXED(VLOOKUP($A63,'Full Sample-No Sub'!$A:$R,F$1,0),2)</f>
        <v>0.71</v>
      </c>
      <c r="G63" s="9" t="str">
        <f>FIXED(VLOOKUP($A63,'Full Sample-No Sub'!$A:$R,G$1,0),2)</f>
        <v>0.07</v>
      </c>
      <c r="H63" s="3" t="str">
        <f>FIXED(VLOOKUP($A63,'Full Sample-No Sub'!$A:$R,H$1,0),2)</f>
        <v>0.08</v>
      </c>
      <c r="I63" s="3" t="str">
        <f>FIXED(VLOOKUP($A63,'Full Sample-No Sub'!$A:$R,I$1,0),2)</f>
        <v>0.00</v>
      </c>
      <c r="J63" s="13" t="str">
        <f>FIXED(VLOOKUP($A63,'Full Sample-No Sub'!$A:$R,J$1,0),2)</f>
        <v>0.61</v>
      </c>
      <c r="K63" s="9" t="str">
        <f>FIXED(VLOOKUP($A63,'Full Sample-No Sub'!$A:$R,K$1,0),2)</f>
        <v>0.07</v>
      </c>
      <c r="L63" s="3" t="str">
        <f>FIXED(VLOOKUP($A63,'Full Sample-No Sub'!$A:$R,L$1,0),2)</f>
        <v>0.10</v>
      </c>
      <c r="M63" s="3" t="str">
        <f>FIXED(VLOOKUP($A63,'Full Sample-No Sub'!$A:$R,M$1,0),2)</f>
        <v>0.00</v>
      </c>
      <c r="N63" s="13" t="str">
        <f>FIXED(VLOOKUP($A63,'Full Sample-No Sub'!$A:$R,N$1,0),2)</f>
        <v>0.71</v>
      </c>
      <c r="O63" s="9" t="str">
        <f>FIXED(VLOOKUP($A63,'Full Sample-Townhouse'!$A:$R,O$1,0),2)</f>
        <v>0.06</v>
      </c>
      <c r="P63" s="3" t="str">
        <f>FIXED(VLOOKUP($A63,'Full Sample-Townhouse'!$A:$R,P$1,0),2)</f>
        <v>0.08</v>
      </c>
      <c r="Q63" s="3" t="str">
        <f>FIXED(VLOOKUP($A63,'Full Sample-Townhouse'!$A:$R,Q$1,0),2)</f>
        <v>0.00</v>
      </c>
      <c r="R63" s="3" t="str">
        <f>FIXED(VLOOKUP($A63,'Full Sample-Townhouse'!$A:$R,R$1,0),2)</f>
        <v>0.64</v>
      </c>
      <c r="S63" s="9" t="str">
        <f>FIXED(VLOOKUP($A63,'Full Sample-Townhouse'!$A:$R,S$1,0),2)</f>
        <v>0.06</v>
      </c>
      <c r="T63" s="3" t="str">
        <f>FIXED(VLOOKUP($A63,'Full Sample-Townhouse'!$A:$R,T$1,0),2)</f>
        <v>0.07</v>
      </c>
      <c r="U63" s="3" t="str">
        <f>FIXED(VLOOKUP($A63,'Full Sample-Townhouse'!$A:$R,U$1,0),2)</f>
        <v>0.00</v>
      </c>
      <c r="V63" s="13" t="str">
        <f>FIXED(VLOOKUP($A63,'Full Sample-Townhouse'!$A:$R,V$1,0),2)</f>
        <v>0.56</v>
      </c>
      <c r="W63" s="9" t="str">
        <f>FIXED(VLOOKUP($A63,'Full Sample-Townhouse'!$A:$R,W$1,0),2)</f>
        <v>0.06</v>
      </c>
      <c r="X63" s="3" t="str">
        <f>FIXED(VLOOKUP($A63,'Full Sample-Townhouse'!$A:$R,X$1,0),2)</f>
        <v>0.09</v>
      </c>
      <c r="Y63" s="3" t="str">
        <f>FIXED(VLOOKUP($A63,'Full Sample-Townhouse'!$A:$R,Y$1,0),2)</f>
        <v>0.00</v>
      </c>
      <c r="Z63" s="3" t="str">
        <f>FIXED(VLOOKUP($A63,'Full Sample-Townhouse'!$A:$R,Z$1,0),2)</f>
        <v>0.64</v>
      </c>
      <c r="AA63" s="9" t="str">
        <f>FIXED(VLOOKUP($A63,'Full Sample-Single Family'!$A:$R,AA$1,0),2)</f>
        <v>0.08</v>
      </c>
      <c r="AB63" s="3" t="str">
        <f>FIXED(VLOOKUP($A63,'Full Sample-Single Family'!$A:$R,AB$1,0),2)</f>
        <v>0.11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0.71</v>
      </c>
      <c r="AE63" s="9" t="str">
        <f>FIXED(VLOOKUP($A63,'Full Sample-Single Family'!$A:$R,AE$1,0),2)</f>
        <v>0.08</v>
      </c>
      <c r="AF63" s="3" t="str">
        <f>FIXED(VLOOKUP($A63,'Full Sample-Single Family'!$A:$R,AF$1,0),2)</f>
        <v>0.10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0.61</v>
      </c>
      <c r="AI63" s="9" t="str">
        <f>FIXED(VLOOKUP($A63,'Full Sample-Single Family'!$A:$R,AI$1,0),2)</f>
        <v>0.08</v>
      </c>
      <c r="AJ63" s="3" t="str">
        <f>FIXED(VLOOKUP($A63,'Full Sample-Single Family'!$A:$R,AJ$1,0),2)</f>
        <v>0.12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46</v>
      </c>
      <c r="B64" t="s">
        <v>126</v>
      </c>
      <c r="C64" s="9" t="str">
        <f>FIXED(VLOOKUP($A64,'Full Sample-No Sub'!$A:$R,C$1,0),2)</f>
        <v>0.87</v>
      </c>
      <c r="D64" s="3" t="str">
        <f>FIXED(VLOOKUP($A64,'Full Sample-No Sub'!$A:$R,D$1,0),2)</f>
        <v>0.17</v>
      </c>
      <c r="E64" s="3" t="str">
        <f>FIXED(VLOOKUP($A64,'Full Sample-No Sub'!$A:$R,E$1,0),2)</f>
        <v>0.01</v>
      </c>
      <c r="F64" s="3" t="str">
        <f>FIXED(VLOOKUP($A64,'Full Sample-No Sub'!$A:$R,F$1,0),2)</f>
        <v>1.00</v>
      </c>
      <c r="G64" s="9" t="str">
        <f>FIXED(VLOOKUP($A64,'Full Sample-No Sub'!$A:$R,G$1,0),2)</f>
        <v>0.87</v>
      </c>
      <c r="H64" s="3" t="str">
        <f>FIXED(VLOOKUP($A64,'Full Sample-No Sub'!$A:$R,H$1,0),2)</f>
        <v>0.17</v>
      </c>
      <c r="I64" s="3" t="str">
        <f>FIXED(VLOOKUP($A64,'Full Sample-No Sub'!$A:$R,I$1,0),2)</f>
        <v>0.01</v>
      </c>
      <c r="J64" s="13" t="str">
        <f>FIXED(VLOOKUP($A64,'Full Sample-No Sub'!$A:$R,J$1,0),2)</f>
        <v>1.00</v>
      </c>
      <c r="K64" s="9" t="str">
        <f>FIXED(VLOOKUP($A64,'Full Sample-No Sub'!$A:$R,K$1,0),2)</f>
        <v>0.88</v>
      </c>
      <c r="L64" s="3" t="str">
        <f>FIXED(VLOOKUP($A64,'Full Sample-No Sub'!$A:$R,L$1,0),2)</f>
        <v>0.16</v>
      </c>
      <c r="M64" s="3" t="str">
        <f>FIXED(VLOOKUP($A64,'Full Sample-No Sub'!$A:$R,M$1,0),2)</f>
        <v>0.07</v>
      </c>
      <c r="N64" s="13" t="str">
        <f>FIXED(VLOOKUP($A64,'Full Sample-No Sub'!$A:$R,N$1,0),2)</f>
        <v>1.00</v>
      </c>
      <c r="O64" s="9" t="str">
        <f>FIXED(VLOOKUP($A64,'Full Sample-Townhouse'!$A:$R,O$1,0),2)</f>
        <v>0.82</v>
      </c>
      <c r="P64" s="3" t="str">
        <f>FIXED(VLOOKUP($A64,'Full Sample-Townhouse'!$A:$R,P$1,0),2)</f>
        <v>0.20</v>
      </c>
      <c r="Q64" s="3" t="str">
        <f>FIXED(VLOOKUP($A64,'Full Sample-Townhouse'!$A:$R,Q$1,0),2)</f>
        <v>0.07</v>
      </c>
      <c r="R64" s="3" t="str">
        <f>FIXED(VLOOKUP($A64,'Full Sample-Townhouse'!$A:$R,R$1,0),2)</f>
        <v>1.00</v>
      </c>
      <c r="S64" s="9" t="str">
        <f>FIXED(VLOOKUP($A64,'Full Sample-Townhouse'!$A:$R,S$1,0),2)</f>
        <v>0.82</v>
      </c>
      <c r="T64" s="3" t="str">
        <f>FIXED(VLOOKUP($A64,'Full Sample-Townhouse'!$A:$R,T$1,0),2)</f>
        <v>0.21</v>
      </c>
      <c r="U64" s="3" t="str">
        <f>FIXED(VLOOKUP($A64,'Full Sample-Townhouse'!$A:$R,U$1,0),2)</f>
        <v>0.07</v>
      </c>
      <c r="V64" s="13" t="str">
        <f>FIXED(VLOOKUP($A64,'Full Sample-Townhouse'!$A:$R,V$1,0),2)</f>
        <v>1.00</v>
      </c>
      <c r="W64" s="9" t="str">
        <f>FIXED(VLOOKUP($A64,'Full Sample-Townhouse'!$A:$R,W$1,0),2)</f>
        <v>0.83</v>
      </c>
      <c r="X64" s="3" t="str">
        <f>FIXED(VLOOKUP($A64,'Full Sample-Townhouse'!$A:$R,X$1,0),2)</f>
        <v>0.19</v>
      </c>
      <c r="Y64" s="3" t="str">
        <f>FIXED(VLOOKUP($A64,'Full Sample-Townhouse'!$A:$R,Y$1,0),2)</f>
        <v>0.07</v>
      </c>
      <c r="Z64" s="3" t="str">
        <f>FIXED(VLOOKUP($A64,'Full Sample-Townhouse'!$A:$R,Z$1,0),2)</f>
        <v>1.00</v>
      </c>
      <c r="AA64" s="9" t="str">
        <f>FIXED(VLOOKUP($A64,'Full Sample-Single Family'!$A:$R,AA$1,0),2)</f>
        <v>0.94</v>
      </c>
      <c r="AB64" s="3" t="str">
        <f>FIXED(VLOOKUP($A64,'Full Sample-Single Family'!$A:$R,AB$1,0),2)</f>
        <v>0.08</v>
      </c>
      <c r="AC64" s="3" t="str">
        <f>FIXED(VLOOKUP($A64,'Full Sample-Single Family'!$A:$R,AC$1,0),2)</f>
        <v>0.01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0.94</v>
      </c>
      <c r="AF64" s="3" t="str">
        <f>FIXED(VLOOKUP($A64,'Full Sample-Single Family'!$A:$R,AF$1,0),2)</f>
        <v>0.07</v>
      </c>
      <c r="AG64" s="3" t="str">
        <f>FIXED(VLOOKUP($A64,'Full Sample-Single Family'!$A:$R,AG$1,0),2)</f>
        <v>0.01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0.93</v>
      </c>
      <c r="AJ64" s="3" t="str">
        <f>FIXED(VLOOKUP($A64,'Full Sample-Single Family'!$A:$R,AJ$1,0),2)</f>
        <v>0.09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47</v>
      </c>
      <c r="B65" t="s">
        <v>127</v>
      </c>
      <c r="C65" s="9" t="str">
        <f>FIXED(VLOOKUP($A65,'Full Sample-No Sub'!$A:$R,C$1,0),2)</f>
        <v>0.13</v>
      </c>
      <c r="D65" s="3" t="str">
        <f>FIXED(VLOOKUP($A65,'Full Sample-No Sub'!$A:$R,D$1,0),2)</f>
        <v>0.17</v>
      </c>
      <c r="E65" s="3" t="str">
        <f>FIXED(VLOOKUP($A65,'Full Sample-No Sub'!$A:$R,E$1,0),2)</f>
        <v>0.00</v>
      </c>
      <c r="F65" s="3" t="str">
        <f>FIXED(VLOOKUP($A65,'Full Sample-No Sub'!$A:$R,F$1,0),2)</f>
        <v>0.93</v>
      </c>
      <c r="G65" s="9" t="str">
        <f>FIXED(VLOOKUP($A65,'Full Sample-No Sub'!$A:$R,G$1,0),2)</f>
        <v>0.13</v>
      </c>
      <c r="H65" s="3" t="str">
        <f>FIXED(VLOOKUP($A65,'Full Sample-No Sub'!$A:$R,H$1,0),2)</f>
        <v>0.17</v>
      </c>
      <c r="I65" s="3" t="str">
        <f>FIXED(VLOOKUP($A65,'Full Sample-No Sub'!$A:$R,I$1,0),2)</f>
        <v>0.00</v>
      </c>
      <c r="J65" s="13" t="str">
        <f>FIXED(VLOOKUP($A65,'Full Sample-No Sub'!$A:$R,J$1,0),2)</f>
        <v>0.93</v>
      </c>
      <c r="K65" s="9" t="str">
        <f>FIXED(VLOOKUP($A65,'Full Sample-No Sub'!$A:$R,K$1,0),2)</f>
        <v>0.12</v>
      </c>
      <c r="L65" s="3" t="str">
        <f>FIXED(VLOOKUP($A65,'Full Sample-No Sub'!$A:$R,L$1,0),2)</f>
        <v>0.16</v>
      </c>
      <c r="M65" s="3" t="str">
        <f>FIXED(VLOOKUP($A65,'Full Sample-No Sub'!$A:$R,M$1,0),2)</f>
        <v>0.00</v>
      </c>
      <c r="N65" s="13" t="str">
        <f>FIXED(VLOOKUP($A65,'Full Sample-No Sub'!$A:$R,N$1,0),2)</f>
        <v>0.93</v>
      </c>
      <c r="O65" s="9" t="str">
        <f>FIXED(VLOOKUP($A65,'Full Sample-Townhouse'!$A:$R,O$1,0),2)</f>
        <v>0.18</v>
      </c>
      <c r="P65" s="3" t="str">
        <f>FIXED(VLOOKUP($A65,'Full Sample-Townhouse'!$A:$R,P$1,0),2)</f>
        <v>0.20</v>
      </c>
      <c r="Q65" s="3" t="str">
        <f>FIXED(VLOOKUP($A65,'Full Sample-Townhouse'!$A:$R,Q$1,0),2)</f>
        <v>0.00</v>
      </c>
      <c r="R65" s="3" t="str">
        <f>FIXED(VLOOKUP($A65,'Full Sample-Townhouse'!$A:$R,R$1,0),2)</f>
        <v>0.93</v>
      </c>
      <c r="S65" s="9" t="str">
        <f>FIXED(VLOOKUP($A65,'Full Sample-Townhouse'!$A:$R,S$1,0),2)</f>
        <v>0.18</v>
      </c>
      <c r="T65" s="3" t="str">
        <f>FIXED(VLOOKUP($A65,'Full Sample-Townhouse'!$A:$R,T$1,0),2)</f>
        <v>0.21</v>
      </c>
      <c r="U65" s="3" t="str">
        <f>FIXED(VLOOKUP($A65,'Full Sample-Townhouse'!$A:$R,U$1,0),2)</f>
        <v>0.00</v>
      </c>
      <c r="V65" s="13" t="str">
        <f>FIXED(VLOOKUP($A65,'Full Sample-Townhouse'!$A:$R,V$1,0),2)</f>
        <v>0.93</v>
      </c>
      <c r="W65" s="9" t="str">
        <f>FIXED(VLOOKUP($A65,'Full Sample-Townhouse'!$A:$R,W$1,0),2)</f>
        <v>0.17</v>
      </c>
      <c r="X65" s="3" t="str">
        <f>FIXED(VLOOKUP($A65,'Full Sample-Townhouse'!$A:$R,X$1,0),2)</f>
        <v>0.19</v>
      </c>
      <c r="Y65" s="3" t="str">
        <f>FIXED(VLOOKUP($A65,'Full Sample-Townhouse'!$A:$R,Y$1,0),2)</f>
        <v>0.00</v>
      </c>
      <c r="Z65" s="3" t="str">
        <f>FIXED(VLOOKUP($A65,'Full Sample-Townhouse'!$A:$R,Z$1,0),2)</f>
        <v>0.93</v>
      </c>
      <c r="AA65" s="9" t="str">
        <f>FIXED(VLOOKUP($A65,'Full Sample-Single Family'!$A:$R,AA$1,0),2)</f>
        <v>0.06</v>
      </c>
      <c r="AB65" s="3" t="str">
        <f>FIXED(VLOOKUP($A65,'Full Sample-Single Family'!$A:$R,AB$1,0),2)</f>
        <v>0.08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0.70</v>
      </c>
      <c r="AE65" s="9" t="str">
        <f>FIXED(VLOOKUP($A65,'Full Sample-Single Family'!$A:$R,AE$1,0),2)</f>
        <v>0.06</v>
      </c>
      <c r="AF65" s="3" t="str">
        <f>FIXED(VLOOKUP($A65,'Full Sample-Single Family'!$A:$R,AF$1,0),2)</f>
        <v>0.07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0.70</v>
      </c>
      <c r="AI65" s="9" t="str">
        <f>FIXED(VLOOKUP($A65,'Full Sample-Single Family'!$A:$R,AI$1,0),2)</f>
        <v>0.06</v>
      </c>
      <c r="AJ65" s="3" t="str">
        <f>FIXED(VLOOKUP($A65,'Full Sample-Single Family'!$A:$R,AJ$1,0),2)</f>
        <v>0.08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48</v>
      </c>
      <c r="B66" t="s">
        <v>128</v>
      </c>
      <c r="C66" s="9" t="str">
        <f>FIXED(VLOOKUP($A66,'Full Sample-No Sub'!$A:$R,C$1,0),2)</f>
        <v>0.64</v>
      </c>
      <c r="D66" s="3" t="str">
        <f>FIXED(VLOOKUP($A66,'Full Sample-No Sub'!$A:$R,D$1,0),2)</f>
        <v>0.21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0.63</v>
      </c>
      <c r="H66" s="3" t="str">
        <f>FIXED(VLOOKUP($A66,'Full Sample-No Sub'!$A:$R,H$1,0),2)</f>
        <v>0.21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0.66</v>
      </c>
      <c r="L66" s="3" t="str">
        <f>FIXED(VLOOKUP($A66,'Full Sample-No Sub'!$A:$R,L$1,0),2)</f>
        <v>0.21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0.55</v>
      </c>
      <c r="P66" s="3" t="str">
        <f>FIXED(VLOOKUP($A66,'Full Sample-Townhouse'!$A:$R,P$1,0),2)</f>
        <v>0.19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0.53</v>
      </c>
      <c r="T66" s="3" t="str">
        <f>FIXED(VLOOKUP($A66,'Full Sample-Townhouse'!$A:$R,T$1,0),2)</f>
        <v>0.19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0.57</v>
      </c>
      <c r="X66" s="3" t="str">
        <f>FIXED(VLOOKUP($A66,'Full Sample-Townhouse'!$A:$R,X$1,0),2)</f>
        <v>0.20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0.75</v>
      </c>
      <c r="AB66" s="3" t="str">
        <f>FIXED(VLOOKUP($A66,'Full Sample-Single Family'!$A:$R,AB$1,0),2)</f>
        <v>0.17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0.74</v>
      </c>
      <c r="AF66" s="3" t="str">
        <f>FIXED(VLOOKUP($A66,'Full Sample-Single Family'!$A:$R,AF$1,0),2)</f>
        <v>0.16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0.76</v>
      </c>
      <c r="AJ66" s="3" t="str">
        <f>FIXED(VLOOKUP($A66,'Full Sample-Single Family'!$A:$R,AJ$1,0),2)</f>
        <v>0.17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49</v>
      </c>
      <c r="B67" t="s">
        <v>129</v>
      </c>
      <c r="C67" s="9" t="str">
        <f>FIXED(VLOOKUP($A67,'Full Sample-No Sub'!$A:$R,C$1,0),2)</f>
        <v>0.36</v>
      </c>
      <c r="D67" s="3" t="str">
        <f>FIXED(VLOOKUP($A67,'Full Sample-No Sub'!$A:$R,D$1,0),2)</f>
        <v>0.21</v>
      </c>
      <c r="E67" s="3" t="str">
        <f>FIXED(VLOOKUP($A67,'Full Sample-No Sub'!$A:$R,E$1,0),2)</f>
        <v>0.00</v>
      </c>
      <c r="F67" s="3" t="str">
        <f>FIXED(VLOOKUP($A67,'Full Sample-No Sub'!$A:$R,F$1,0),2)</f>
        <v>1.00</v>
      </c>
      <c r="G67" s="9" t="str">
        <f>FIXED(VLOOKUP($A67,'Full Sample-No Sub'!$A:$R,G$1,0),2)</f>
        <v>0.37</v>
      </c>
      <c r="H67" s="3" t="str">
        <f>FIXED(VLOOKUP($A67,'Full Sample-No Sub'!$A:$R,H$1,0),2)</f>
        <v>0.21</v>
      </c>
      <c r="I67" s="3" t="str">
        <f>FIXED(VLOOKUP($A67,'Full Sample-No Sub'!$A:$R,I$1,0),2)</f>
        <v>0.00</v>
      </c>
      <c r="J67" s="13" t="str">
        <f>FIXED(VLOOKUP($A67,'Full Sample-No Sub'!$A:$R,J$1,0),2)</f>
        <v>1.00</v>
      </c>
      <c r="K67" s="9" t="str">
        <f>FIXED(VLOOKUP($A67,'Full Sample-No Sub'!$A:$R,K$1,0),2)</f>
        <v>0.34</v>
      </c>
      <c r="L67" s="3" t="str">
        <f>FIXED(VLOOKUP($A67,'Full Sample-No Sub'!$A:$R,L$1,0),2)</f>
        <v>0.21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FIXED(VLOOKUP($A67,'Full Sample-Townhouse'!$A:$R,O$1,0),2)</f>
        <v>0.45</v>
      </c>
      <c r="P67" s="3" t="str">
        <f>FIXED(VLOOKUP($A67,'Full Sample-Townhouse'!$A:$R,P$1,0),2)</f>
        <v>0.19</v>
      </c>
      <c r="Q67" s="3" t="str">
        <f>FIXED(VLOOKUP($A67,'Full Sample-Townhouse'!$A:$R,Q$1,0),2)</f>
        <v>0.00</v>
      </c>
      <c r="R67" s="3" t="str">
        <f>FIXED(VLOOKUP($A67,'Full Sample-Townhouse'!$A:$R,R$1,0),2)</f>
        <v>1.00</v>
      </c>
      <c r="S67" s="9" t="str">
        <f>FIXED(VLOOKUP($A67,'Full Sample-Townhouse'!$A:$R,S$1,0),2)</f>
        <v>0.47</v>
      </c>
      <c r="T67" s="3" t="str">
        <f>FIXED(VLOOKUP($A67,'Full Sample-Townhouse'!$A:$R,T$1,0),2)</f>
        <v>0.19</v>
      </c>
      <c r="U67" s="3" t="str">
        <f>FIXED(VLOOKUP($A67,'Full Sample-Townhouse'!$A:$R,U$1,0),2)</f>
        <v>0.00</v>
      </c>
      <c r="V67" s="13" t="str">
        <f>FIXED(VLOOKUP($A67,'Full Sample-Townhouse'!$A:$R,V$1,0),2)</f>
        <v>1.00</v>
      </c>
      <c r="W67" s="9" t="str">
        <f>FIXED(VLOOKUP($A67,'Full Sample-Townhouse'!$A:$R,W$1,0),2)</f>
        <v>0.43</v>
      </c>
      <c r="X67" s="3" t="str">
        <f>FIXED(VLOOKUP($A67,'Full Sample-Townhouse'!$A:$R,X$1,0),2)</f>
        <v>0.20</v>
      </c>
      <c r="Y67" s="3" t="str">
        <f>FIXED(VLOOKUP($A67,'Full Sample-Townhouse'!$A:$R,Y$1,0),2)</f>
        <v>0.00</v>
      </c>
      <c r="Z67" s="3" t="str">
        <f>FIXED(VLOOKUP($A67,'Full Sample-Townhouse'!$A:$R,Z$1,0),2)</f>
        <v>1.00</v>
      </c>
      <c r="AA67" s="9" t="str">
        <f>FIXED(VLOOKUP($A67,'Full Sample-Single Family'!$A:$R,AA$1,0),2)</f>
        <v>0.25</v>
      </c>
      <c r="AB67" s="3" t="str">
        <f>FIXED(VLOOKUP($A67,'Full Sample-Single Family'!$A:$R,AB$1,0),2)</f>
        <v>0.17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1.00</v>
      </c>
      <c r="AE67" s="9" t="str">
        <f>FIXED(VLOOKUP($A67,'Full Sample-Single Family'!$A:$R,AE$1,0),2)</f>
        <v>0.26</v>
      </c>
      <c r="AF67" s="3" t="str">
        <f>FIXED(VLOOKUP($A67,'Full Sample-Single Family'!$A:$R,AF$1,0),2)</f>
        <v>0.16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1.00</v>
      </c>
      <c r="AI67" s="9" t="str">
        <f>FIXED(VLOOKUP($A67,'Full Sample-Single Family'!$A:$R,AI$1,0),2)</f>
        <v>0.24</v>
      </c>
      <c r="AJ67" s="3" t="str">
        <f>FIXED(VLOOKUP($A67,'Full Sample-Single Family'!$A:$R,AJ$1,0),2)</f>
        <v>0.17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C68" s="9"/>
      <c r="G68" s="9"/>
      <c r="J68" s="13"/>
      <c r="K68" s="9"/>
      <c r="N68" s="13"/>
      <c r="O68" s="9"/>
      <c r="P68" s="3"/>
      <c r="Q68" s="3"/>
      <c r="R68" s="3"/>
      <c r="S68" s="9"/>
      <c r="T68" s="3"/>
      <c r="U68" s="3"/>
      <c r="V68" s="13"/>
      <c r="W68" s="9"/>
      <c r="X68" s="3"/>
      <c r="Y68" s="3"/>
      <c r="Z68" s="3"/>
      <c r="AA68" s="9"/>
      <c r="AB68" s="3"/>
      <c r="AC68" s="3"/>
      <c r="AD68" s="3"/>
      <c r="AE68" s="9"/>
      <c r="AF68" s="3"/>
      <c r="AG68" s="3"/>
      <c r="AH68" s="13"/>
      <c r="AI68" s="9"/>
      <c r="AJ68" s="3"/>
      <c r="AK68" s="3"/>
      <c r="AL68" s="3"/>
    </row>
    <row r="69" spans="1:38" x14ac:dyDescent="0.25">
      <c r="A69" t="s">
        <v>186</v>
      </c>
      <c r="B69" t="s">
        <v>187</v>
      </c>
      <c r="C69" s="36">
        <f>'Full Sample-No Sub'!B3</f>
        <v>50394</v>
      </c>
      <c r="D69" s="37"/>
      <c r="E69" s="37"/>
      <c r="F69" s="37"/>
      <c r="G69" s="36">
        <f>'Full Sample-No Sub'!H3</f>
        <v>29046</v>
      </c>
      <c r="H69" s="37"/>
      <c r="I69" s="37"/>
      <c r="J69" s="38"/>
      <c r="K69" s="36">
        <f>'Full Sample-No Sub'!N3</f>
        <v>21348</v>
      </c>
      <c r="L69" s="37"/>
      <c r="M69" s="37"/>
      <c r="N69" s="38"/>
      <c r="O69" s="36">
        <f>'Full Sample-Townhouse'!B3</f>
        <v>27429</v>
      </c>
      <c r="P69" s="37"/>
      <c r="Q69" s="37"/>
      <c r="R69" s="37"/>
      <c r="S69" s="36">
        <f>'Full Sample-Townhouse'!H3</f>
        <v>15783</v>
      </c>
      <c r="T69" s="37"/>
      <c r="U69" s="37"/>
      <c r="V69" s="38"/>
      <c r="W69" s="36">
        <f>'Full Sample-Townhouse'!N3</f>
        <v>11646</v>
      </c>
      <c r="X69" s="37"/>
      <c r="Y69" s="37"/>
      <c r="Z69" s="37"/>
      <c r="AA69" s="36">
        <f>'Full Sample-Single Family'!B3</f>
        <v>22965</v>
      </c>
      <c r="AB69" s="37"/>
      <c r="AC69" s="37"/>
      <c r="AD69" s="37"/>
      <c r="AE69" s="36">
        <f>'Full Sample-Single Family'!H3</f>
        <v>13263</v>
      </c>
      <c r="AF69" s="37"/>
      <c r="AG69" s="37"/>
      <c r="AH69" s="38"/>
      <c r="AI69" s="36">
        <f>'Full Sample-Single Family'!N3</f>
        <v>9702</v>
      </c>
      <c r="AJ69" s="37"/>
      <c r="AK69" s="37"/>
      <c r="AL69" s="37"/>
    </row>
    <row r="70" spans="1:38" x14ac:dyDescent="0.25"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t="s">
        <v>17</v>
      </c>
      <c r="B73" t="s">
        <v>101</v>
      </c>
      <c r="C73" s="3" t="str">
        <f>FIXED(VLOOKUP($A73,'Full Sample-No Sub'!$A:$R,C$1,0),2)</f>
        <v>164.77</v>
      </c>
      <c r="D73" s="3" t="str">
        <f>FIXED(VLOOKUP($A73,'Full Sample-No Sub'!$A:$R,D$1,0),2)</f>
        <v>229.81</v>
      </c>
      <c r="E73" s="3" t="str">
        <f>FIXED(VLOOKUP($A73,'Full Sample-No Sub'!$A:$R,E$1,0),2)</f>
        <v>0.00</v>
      </c>
      <c r="F73" s="3" t="str">
        <f>FIXED(VLOOKUP($A73,'Full Sample-No Sub'!$A:$R,F$1,0),2)</f>
        <v>5,000.00</v>
      </c>
      <c r="G73" s="3" t="str">
        <f>FIXED(VLOOKUP($A73,'Full Sample-No Sub'!$A:$R,G$1,0),2)</f>
        <v>162.56</v>
      </c>
      <c r="H73" s="3" t="str">
        <f>FIXED(VLOOKUP($A73,'Full Sample-No Sub'!$A:$R,H$1,0),2)</f>
        <v>229.65</v>
      </c>
      <c r="I73" s="3" t="str">
        <f>FIXED(VLOOKUP($A73,'Full Sample-No Sub'!$A:$R,I$1,0),2)</f>
        <v>0.00</v>
      </c>
      <c r="J73" s="3" t="str">
        <f>FIXED(VLOOKUP($A73,'Full Sample-No Sub'!$A:$R,J$1,0),2)</f>
        <v>5,000.00</v>
      </c>
      <c r="K73" s="3" t="str">
        <f>FIXED(VLOOKUP($A73,'Full Sample-No Sub'!$A:$R,K$1,0),2)</f>
        <v>167.77</v>
      </c>
      <c r="L73" s="3" t="str">
        <f>FIXED(VLOOKUP($A73,'Full Sample-No Sub'!$A:$R,L$1,0),2)</f>
        <v>229.99</v>
      </c>
      <c r="M73" s="3" t="str">
        <f>FIXED(VLOOKUP($A73,'Full Sample-No Sub'!$A:$R,M$1,0),2)</f>
        <v>0.00</v>
      </c>
      <c r="N73" s="3" t="str">
        <f>FIXED(VLOOKUP($A73,'Full Sample-No Sub'!$A:$R,N$1,0),2)</f>
        <v>3,200.00</v>
      </c>
      <c r="O73" s="3" t="str">
        <f>FIXED(VLOOKUP($A73,'Full Sample-Townhouse'!$A:$R,O$1,0),2)</f>
        <v>26.52</v>
      </c>
      <c r="P73" s="3" t="str">
        <f>FIXED(VLOOKUP($A73,'Full Sample-Townhouse'!$A:$R,P$1,0),2)</f>
        <v>96.87</v>
      </c>
      <c r="Q73" s="3" t="str">
        <f>FIXED(VLOOKUP($A73,'Full Sample-Townhouse'!$A:$R,Q$1,0),2)</f>
        <v>0.00</v>
      </c>
      <c r="R73" s="3" t="str">
        <f>FIXED(VLOOKUP($A73,'Full Sample-Townhouse'!$A:$R,R$1,0),2)</f>
        <v>1,380.00</v>
      </c>
      <c r="S73" s="3" t="str">
        <f>FIXED(VLOOKUP($A73,'Full Sample-Townhouse'!$A:$R,S$1,0),2)</f>
        <v>22.52</v>
      </c>
      <c r="T73" s="3" t="str">
        <f>FIXED(VLOOKUP($A73,'Full Sample-Townhouse'!$A:$R,T$1,0),2)</f>
        <v>89.21</v>
      </c>
      <c r="U73" s="3" t="str">
        <f>FIXED(VLOOKUP($A73,'Full Sample-Townhouse'!$A:$R,U$1,0),2)</f>
        <v>0.00</v>
      </c>
      <c r="V73" s="3" t="str">
        <f>FIXED(VLOOKUP($A73,'Full Sample-Townhouse'!$A:$R,V$1,0),2)</f>
        <v>942.00</v>
      </c>
      <c r="W73" s="3" t="str">
        <f>FIXED(VLOOKUP($A73,'Full Sample-Townhouse'!$A:$R,W$1,0),2)</f>
        <v>31.94</v>
      </c>
      <c r="X73" s="3" t="str">
        <f>FIXED(VLOOKUP($A73,'Full Sample-Townhouse'!$A:$R,X$1,0),2)</f>
        <v>106.13</v>
      </c>
      <c r="Y73" s="3" t="str">
        <f>FIXED(VLOOKUP($A73,'Full Sample-Townhouse'!$A:$R,Y$1,0),2)</f>
        <v>0.00</v>
      </c>
      <c r="Z73" s="3" t="str">
        <f>FIXED(VLOOKUP($A73,'Full Sample-Townhouse'!$A:$R,Z$1,0),2)</f>
        <v>1,380.00</v>
      </c>
      <c r="AA73" s="3" t="str">
        <f>FIXED(VLOOKUP($A73,'Full Sample-Single Family'!$A:$R,AA$1,0),2)</f>
        <v>329.89</v>
      </c>
      <c r="AB73" s="3" t="str">
        <f>FIXED(VLOOKUP($A73,'Full Sample-Single Family'!$A:$R,AB$1,0),2)</f>
        <v>233.65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5,000.00</v>
      </c>
      <c r="AE73" s="3" t="str">
        <f>FIXED(VLOOKUP($A73,'Full Sample-Single Family'!$A:$R,AE$1,0),2)</f>
        <v>329.21</v>
      </c>
      <c r="AF73" s="3" t="str">
        <f>FIXED(VLOOKUP($A73,'Full Sample-Single Family'!$A:$R,AF$1,0),2)</f>
        <v>234.36</v>
      </c>
      <c r="AG73" s="3" t="str">
        <f>FIXED(VLOOKUP($A73,'Full Sample-Single Family'!$A:$R,AG$1,0),2)</f>
        <v>0.00</v>
      </c>
      <c r="AH73" s="3" t="str">
        <f>FIXED(VLOOKUP($A73,'Full Sample-Single Family'!$A:$R,AH$1,0),2)</f>
        <v>5,000.00</v>
      </c>
      <c r="AI73" s="3" t="str">
        <f>FIXED(VLOOKUP($A73,'Full Sample-Single Family'!$A:$R,AI$1,0),2)</f>
        <v>330.81</v>
      </c>
      <c r="AJ73" s="3" t="str">
        <f>FIXED(VLOOKUP($A73,'Full Sample-Single Family'!$A:$R,AJ$1,0),2)</f>
        <v>232.69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32</v>
      </c>
      <c r="B74" s="4" t="s">
        <v>116</v>
      </c>
      <c r="C74" s="3" t="str">
        <f>FIXED(VLOOKUP($A74,'Full Sample-No Sub'!$A:$R,C$1,0),2)</f>
        <v>0.46</v>
      </c>
      <c r="D74" s="3" t="str">
        <f>FIXED(VLOOKUP($A74,'Full Sample-No Sub'!$A:$R,D$1,0),2)</f>
        <v>0.50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3" t="str">
        <f>FIXED(VLOOKUP($A74,'Full Sample-No Sub'!$A:$R,G$1,0),2)</f>
        <v>0.46</v>
      </c>
      <c r="H74" s="3" t="str">
        <f>FIXED(VLOOKUP($A74,'Full Sample-No Sub'!$A:$R,H$1,0),2)</f>
        <v>0.50</v>
      </c>
      <c r="I74" s="3" t="str">
        <f>FIXED(VLOOKUP($A74,'Full Sample-No Sub'!$A:$R,I$1,0),2)</f>
        <v>0.00</v>
      </c>
      <c r="J74" s="3" t="str">
        <f>FIXED(VLOOKUP($A74,'Full Sample-No Sub'!$A:$R,J$1,0),2)</f>
        <v>1.00</v>
      </c>
      <c r="K74" s="3" t="str">
        <f>FIXED(VLOOKUP($A74,'Full Sample-No Sub'!$A:$R,K$1,0),2)</f>
        <v>0.46</v>
      </c>
      <c r="L74" s="3" t="str">
        <f>FIXED(VLOOKUP($A74,'Full Sample-No Sub'!$A:$R,L$1,0),2)</f>
        <v>0.50</v>
      </c>
      <c r="M74" s="3" t="str">
        <f>FIXED(VLOOKUP($A74,'Full Sample-No Sub'!$A:$R,M$1,0),2)</f>
        <v>0.00</v>
      </c>
      <c r="N74" s="3" t="str">
        <f>FIXED(VLOOKUP($A74,'Full Sample-No Sub'!$A:$R,N$1,0),2)</f>
        <v>1.00</v>
      </c>
      <c r="O74" s="3" t="str">
        <f>FIXED(VLOOKUP($A74,'Full Sample-Townhouse'!$A:$R,O$1,0),2)</f>
        <v>0.00</v>
      </c>
      <c r="P74" s="3" t="str">
        <f>FIXED(VLOOKUP($A74,'Full Sample-Townhouse'!$A:$R,P$1,0),2)</f>
        <v>0.04</v>
      </c>
      <c r="Q74" s="3" t="str">
        <f>FIXED(VLOOKUP($A74,'Full Sample-Townhouse'!$A:$R,Q$1,0),2)</f>
        <v>0.00</v>
      </c>
      <c r="R74" s="3" t="str">
        <f>FIXED(VLOOKUP($A74,'Full Sample-Townhouse'!$A:$R,R$1,0),2)</f>
        <v>1.00</v>
      </c>
      <c r="S74" s="3" t="str">
        <f>FIXED(VLOOKUP($A74,'Full Sample-Townhouse'!$A:$R,S$1,0),2)</f>
        <v>0.00</v>
      </c>
      <c r="T74" s="3" t="str">
        <f>FIXED(VLOOKUP($A74,'Full Sample-Townhouse'!$A:$R,T$1,0),2)</f>
        <v>0.04</v>
      </c>
      <c r="U74" s="3" t="str">
        <f>FIXED(VLOOKUP($A74,'Full Sample-Townhouse'!$A:$R,U$1,0),2)</f>
        <v>0.00</v>
      </c>
      <c r="V74" s="3" t="str">
        <f>FIXED(VLOOKUP($A74,'Full Sample-Townhouse'!$A:$R,V$1,0),2)</f>
        <v>1.00</v>
      </c>
      <c r="W74" s="3" t="str">
        <f>FIXED(VLOOKUP($A74,'Full Sample-Townhouse'!$A:$R,W$1,0),2)</f>
        <v>0.00</v>
      </c>
      <c r="X74" s="3" t="str">
        <f>FIXED(VLOOKUP($A74,'Full Sample-Townhouse'!$A:$R,X$1,0),2)</f>
        <v>0.04</v>
      </c>
      <c r="Y74" s="3" t="str">
        <f>FIXED(VLOOKUP($A74,'Full Sample-Townhouse'!$A:$R,Y$1,0),2)</f>
        <v>0.00</v>
      </c>
      <c r="Z74" s="3" t="str">
        <f>FIXED(VLOOKUP($A74,'Full Sample-Townhouse'!$A:$R,Z$1,0),2)</f>
        <v>1.00</v>
      </c>
      <c r="AA74" s="3" t="str">
        <f>FIXED(VLOOKUP($A74,'Full Sample-Single Family'!$A:$R,AA$1,0),2)</f>
        <v>1.00</v>
      </c>
      <c r="AB74" s="3" t="str">
        <f>FIXED(VLOOKUP($A74,'Full Sample-Single Family'!$A:$R,AB$1,0),2)</f>
        <v>0.02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3" t="str">
        <f>FIXED(VLOOKUP($A74,'Full Sample-Single Family'!$A:$R,AE$1,0),2)</f>
        <v>1.00</v>
      </c>
      <c r="AF74" s="3" t="str">
        <f>FIXED(VLOOKUP($A74,'Full Sample-Single Family'!$A:$R,AF$1,0),2)</f>
        <v>0.02</v>
      </c>
      <c r="AG74" s="3" t="str">
        <f>FIXED(VLOOKUP($A74,'Full Sample-Single Family'!$A:$R,AG$1,0),2)</f>
        <v>0.00</v>
      </c>
      <c r="AH74" s="3" t="str">
        <f>FIXED(VLOOKUP($A74,'Full Sample-Single Family'!$A:$R,AH$1,0),2)</f>
        <v>1.00</v>
      </c>
      <c r="AI74" s="3" t="str">
        <f>FIXED(VLOOKUP($A74,'Full Sample-Single Family'!$A:$R,AI$1,0),2)</f>
        <v>1.00</v>
      </c>
      <c r="AJ74" s="3" t="str">
        <f>FIXED(VLOOKUP($A74,'Full Sample-Single Family'!$A:$R,AJ$1,0),2)</f>
        <v>0.01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35</v>
      </c>
      <c r="B75" t="s">
        <v>119</v>
      </c>
      <c r="C75" s="3" t="str">
        <f>FIXED(VLOOKUP($A75,'Full Sample-No Sub'!$A:$R,C$1,0),2)</f>
        <v>3.04</v>
      </c>
      <c r="D75" s="3" t="str">
        <f>FIXED(VLOOKUP($A75,'Full Sample-No Sub'!$A:$R,D$1,0),2)</f>
        <v>9.19</v>
      </c>
      <c r="E75" s="3" t="str">
        <f>FIXED(VLOOKUP($A75,'Full Sample-No Sub'!$A:$R,E$1,0),2)</f>
        <v>0.00</v>
      </c>
      <c r="F75" s="3" t="str">
        <f>FIXED(VLOOKUP($A75,'Full Sample-No Sub'!$A:$R,F$1,0),2)</f>
        <v>94.00</v>
      </c>
      <c r="G75" s="3" t="str">
        <f>FIXED(VLOOKUP($A75,'Full Sample-No Sub'!$A:$R,G$1,0),2)</f>
        <v>2.82</v>
      </c>
      <c r="H75" s="3" t="str">
        <f>FIXED(VLOOKUP($A75,'Full Sample-No Sub'!$A:$R,H$1,0),2)</f>
        <v>8.78</v>
      </c>
      <c r="I75" s="3" t="str">
        <f>FIXED(VLOOKUP($A75,'Full Sample-No Sub'!$A:$R,I$1,0),2)</f>
        <v>0.00</v>
      </c>
      <c r="J75" s="3" t="str">
        <f>FIXED(VLOOKUP($A75,'Full Sample-No Sub'!$A:$R,J$1,0),2)</f>
        <v>88.00</v>
      </c>
      <c r="K75" s="3" t="str">
        <f>FIXED(VLOOKUP($A75,'Full Sample-No Sub'!$A:$R,K$1,0),2)</f>
        <v>3.34</v>
      </c>
      <c r="L75" s="3" t="str">
        <f>FIXED(VLOOKUP($A75,'Full Sample-No Sub'!$A:$R,L$1,0),2)</f>
        <v>9.70</v>
      </c>
      <c r="M75" s="3" t="str">
        <f>FIXED(VLOOKUP($A75,'Full Sample-No Sub'!$A:$R,M$1,0),2)</f>
        <v>0.00</v>
      </c>
      <c r="N75" s="3" t="str">
        <f>FIXED(VLOOKUP($A75,'Full Sample-No Sub'!$A:$R,N$1,0),2)</f>
        <v>94.00</v>
      </c>
      <c r="O75" s="3" t="str">
        <f>FIXED(VLOOKUP($A75,'Full Sample-Townhouse'!$A:$R,O$1,0),2)</f>
        <v>1.45</v>
      </c>
      <c r="P75" s="3" t="str">
        <f>FIXED(VLOOKUP($A75,'Full Sample-Townhouse'!$A:$R,P$1,0),2)</f>
        <v>4.04</v>
      </c>
      <c r="Q75" s="3" t="str">
        <f>FIXED(VLOOKUP($A75,'Full Sample-Townhouse'!$A:$R,Q$1,0),2)</f>
        <v>0.00</v>
      </c>
      <c r="R75" s="3" t="str">
        <f>FIXED(VLOOKUP($A75,'Full Sample-Townhouse'!$A:$R,R$1,0),2)</f>
        <v>57.00</v>
      </c>
      <c r="S75" s="3" t="str">
        <f>FIXED(VLOOKUP($A75,'Full Sample-Townhouse'!$A:$R,S$1,0),2)</f>
        <v>1.37</v>
      </c>
      <c r="T75" s="3" t="str">
        <f>FIXED(VLOOKUP($A75,'Full Sample-Townhouse'!$A:$R,T$1,0),2)</f>
        <v>3.88</v>
      </c>
      <c r="U75" s="3" t="str">
        <f>FIXED(VLOOKUP($A75,'Full Sample-Townhouse'!$A:$R,U$1,0),2)</f>
        <v>0.00</v>
      </c>
      <c r="V75" s="3" t="str">
        <f>FIXED(VLOOKUP($A75,'Full Sample-Townhouse'!$A:$R,V$1,0),2)</f>
        <v>57.00</v>
      </c>
      <c r="W75" s="3" t="str">
        <f>FIXED(VLOOKUP($A75,'Full Sample-Townhouse'!$A:$R,W$1,0),2)</f>
        <v>1.54</v>
      </c>
      <c r="X75" s="3" t="str">
        <f>FIXED(VLOOKUP($A75,'Full Sample-Townhouse'!$A:$R,X$1,0),2)</f>
        <v>4.26</v>
      </c>
      <c r="Y75" s="3" t="str">
        <f>FIXED(VLOOKUP($A75,'Full Sample-Townhouse'!$A:$R,Y$1,0),2)</f>
        <v>0.00</v>
      </c>
      <c r="Z75" s="3" t="str">
        <f>FIXED(VLOOKUP($A75,'Full Sample-Townhouse'!$A:$R,Z$1,0),2)</f>
        <v>45.00</v>
      </c>
      <c r="AA75" s="3" t="str">
        <f>FIXED(VLOOKUP($A75,'Full Sample-Single Family'!$A:$R,AA$1,0),2)</f>
        <v>4.94</v>
      </c>
      <c r="AB75" s="3" t="str">
        <f>FIXED(VLOOKUP($A75,'Full Sample-Single Family'!$A:$R,AB$1,0),2)</f>
        <v>12.61</v>
      </c>
      <c r="AC75" s="3" t="str">
        <f>FIXED(VLOOKUP($A75,'Full Sample-Single Family'!$A:$R,AC$1,0),2)</f>
        <v>0.00</v>
      </c>
      <c r="AD75" s="3" t="str">
        <f>FIXED(VLOOKUP($A75,'Full Sample-Single Family'!$A:$R,AD$1,0),2)</f>
        <v>94.00</v>
      </c>
      <c r="AE75" s="3" t="str">
        <f>FIXED(VLOOKUP($A75,'Full Sample-Single Family'!$A:$R,AE$1,0),2)</f>
        <v>4.54</v>
      </c>
      <c r="AF75" s="3" t="str">
        <f>FIXED(VLOOKUP($A75,'Full Sample-Single Family'!$A:$R,AF$1,0),2)</f>
        <v>12.06</v>
      </c>
      <c r="AG75" s="3" t="str">
        <f>FIXED(VLOOKUP($A75,'Full Sample-Single Family'!$A:$R,AG$1,0),2)</f>
        <v>0.00</v>
      </c>
      <c r="AH75" s="3" t="str">
        <f>FIXED(VLOOKUP($A75,'Full Sample-Single Family'!$A:$R,AH$1,0),2)</f>
        <v>88.00</v>
      </c>
      <c r="AI75" s="3" t="str">
        <f>FIXED(VLOOKUP($A75,'Full Sample-Single Family'!$A:$R,AI$1,0),2)</f>
        <v>5.49</v>
      </c>
      <c r="AJ75" s="3" t="str">
        <f>FIXED(VLOOKUP($A75,'Full Sample-Single Family'!$A:$R,AJ$1,0),2)</f>
        <v>13.30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37</v>
      </c>
      <c r="B76" t="s">
        <v>137</v>
      </c>
      <c r="C76" s="3" t="str">
        <f>FIXED(VLOOKUP($A76,'Full Sample-No Sub'!$A:$R,C$1,0),2)</f>
        <v>3.14</v>
      </c>
      <c r="D76" s="3" t="str">
        <f>FIXED(VLOOKUP($A76,'Full Sample-No Sub'!$A:$R,D$1,0),2)</f>
        <v>5.98</v>
      </c>
      <c r="E76" s="3" t="str">
        <f>FIXED(VLOOKUP($A76,'Full Sample-No Sub'!$A:$R,E$1,0),2)</f>
        <v>0.01</v>
      </c>
      <c r="F76" s="3" t="str">
        <f>FIXED(VLOOKUP($A76,'Full Sample-No Sub'!$A:$R,F$1,0),2)</f>
        <v>128.92</v>
      </c>
      <c r="G76" s="3" t="str">
        <f>FIXED(VLOOKUP($A76,'Full Sample-No Sub'!$A:$R,G$1,0),2)</f>
        <v>3.13</v>
      </c>
      <c r="H76" s="3" t="str">
        <f>FIXED(VLOOKUP($A76,'Full Sample-No Sub'!$A:$R,H$1,0),2)</f>
        <v>5.92</v>
      </c>
      <c r="I76" s="3" t="str">
        <f>FIXED(VLOOKUP($A76,'Full Sample-No Sub'!$A:$R,I$1,0),2)</f>
        <v>0.01</v>
      </c>
      <c r="J76" s="3" t="str">
        <f>FIXED(VLOOKUP($A76,'Full Sample-No Sub'!$A:$R,J$1,0),2)</f>
        <v>128.92</v>
      </c>
      <c r="K76" s="3" t="str">
        <f>FIXED(VLOOKUP($A76,'Full Sample-No Sub'!$A:$R,K$1,0),2)</f>
        <v>3.14</v>
      </c>
      <c r="L76" s="3" t="str">
        <f>FIXED(VLOOKUP($A76,'Full Sample-No Sub'!$A:$R,L$1,0),2)</f>
        <v>6.06</v>
      </c>
      <c r="M76" s="3" t="str">
        <f>FIXED(VLOOKUP($A76,'Full Sample-No Sub'!$A:$R,M$1,0),2)</f>
        <v>0.01</v>
      </c>
      <c r="N76" s="3" t="str">
        <f>FIXED(VLOOKUP($A76,'Full Sample-No Sub'!$A:$R,N$1,0),2)</f>
        <v>111.97</v>
      </c>
      <c r="O76" s="3" t="str">
        <f>FIXED(VLOOKUP($A76,'Full Sample-Townhouse'!$A:$R,O$1,0),2)</f>
        <v>4.97</v>
      </c>
      <c r="P76" s="3" t="str">
        <f>FIXED(VLOOKUP($A76,'Full Sample-Townhouse'!$A:$R,P$1,0),2)</f>
        <v>6.91</v>
      </c>
      <c r="Q76" s="3" t="str">
        <f>FIXED(VLOOKUP($A76,'Full Sample-Townhouse'!$A:$R,Q$1,0),2)</f>
        <v>0.01</v>
      </c>
      <c r="R76" s="3" t="str">
        <f>FIXED(VLOOKUP($A76,'Full Sample-Townhouse'!$A:$R,R$1,0),2)</f>
        <v>111.97</v>
      </c>
      <c r="S76" s="3" t="str">
        <f>FIXED(VLOOKUP($A76,'Full Sample-Townhouse'!$A:$R,S$1,0),2)</f>
        <v>4.95</v>
      </c>
      <c r="T76" s="3" t="str">
        <f>FIXED(VLOOKUP($A76,'Full Sample-Townhouse'!$A:$R,T$1,0),2)</f>
        <v>6.86</v>
      </c>
      <c r="U76" s="3" t="str">
        <f>FIXED(VLOOKUP($A76,'Full Sample-Townhouse'!$A:$R,U$1,0),2)</f>
        <v>0.01</v>
      </c>
      <c r="V76" s="3" t="str">
        <f>FIXED(VLOOKUP($A76,'Full Sample-Townhouse'!$A:$R,V$1,0),2)</f>
        <v>52.78</v>
      </c>
      <c r="W76" s="3" t="str">
        <f>FIXED(VLOOKUP($A76,'Full Sample-Townhouse'!$A:$R,W$1,0),2)</f>
        <v>4.99</v>
      </c>
      <c r="X76" s="3" t="str">
        <f>FIXED(VLOOKUP($A76,'Full Sample-Townhouse'!$A:$R,X$1,0),2)</f>
        <v>6.98</v>
      </c>
      <c r="Y76" s="3" t="str">
        <f>FIXED(VLOOKUP($A76,'Full Sample-Townhouse'!$A:$R,Y$1,0),2)</f>
        <v>0.01</v>
      </c>
      <c r="Z76" s="3" t="str">
        <f>FIXED(VLOOKUP($A76,'Full Sample-Townhouse'!$A:$R,Z$1,0),2)</f>
        <v>111.97</v>
      </c>
      <c r="AA76" s="3" t="str">
        <f>FIXED(VLOOKUP($A76,'Full Sample-Single Family'!$A:$R,AA$1,0),2)</f>
        <v>0.95</v>
      </c>
      <c r="AB76" s="3" t="str">
        <f>FIXED(VLOOKUP($A76,'Full Sample-Single Family'!$A:$R,AB$1,0),2)</f>
        <v>3.57</v>
      </c>
      <c r="AC76" s="3" t="str">
        <f>FIXED(VLOOKUP($A76,'Full Sample-Single Family'!$A:$R,AC$1,0),2)</f>
        <v>0.02</v>
      </c>
      <c r="AD76" s="3" t="str">
        <f>FIXED(VLOOKUP($A76,'Full Sample-Single Family'!$A:$R,AD$1,0),2)</f>
        <v>128.92</v>
      </c>
      <c r="AE76" s="3" t="str">
        <f>FIXED(VLOOKUP($A76,'Full Sample-Single Family'!$A:$R,AE$1,0),2)</f>
        <v>0.97</v>
      </c>
      <c r="AF76" s="3" t="str">
        <f>FIXED(VLOOKUP($A76,'Full Sample-Single Family'!$A:$R,AF$1,0),2)</f>
        <v>3.51</v>
      </c>
      <c r="AG76" s="3" t="str">
        <f>FIXED(VLOOKUP($A76,'Full Sample-Single Family'!$A:$R,AG$1,0),2)</f>
        <v>0.02</v>
      </c>
      <c r="AH76" s="3" t="str">
        <f>FIXED(VLOOKUP($A76,'Full Sample-Single Family'!$A:$R,AH$1,0),2)</f>
        <v>128.92</v>
      </c>
      <c r="AI76" s="3" t="str">
        <f>FIXED(VLOOKUP($A76,'Full Sample-Single Family'!$A:$R,AI$1,0),2)</f>
        <v>0.92</v>
      </c>
      <c r="AJ76" s="3" t="str">
        <f>FIXED(VLOOKUP($A76,'Full Sample-Single Family'!$A:$R,AJ$1,0),2)</f>
        <v>3.66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36</v>
      </c>
      <c r="B77" t="s">
        <v>120</v>
      </c>
      <c r="C77" s="3" t="str">
        <f>FIXED(VLOOKUP($A77,'Full Sample-No Sub'!$A:$R,C$1,0),2)</f>
        <v>301.62</v>
      </c>
      <c r="D77" s="3" t="str">
        <f>FIXED(VLOOKUP($A77,'Full Sample-No Sub'!$A:$R,D$1,0),2)</f>
        <v>558.78</v>
      </c>
      <c r="E77" s="3" t="str">
        <f>FIXED(VLOOKUP($A77,'Full Sample-No Sub'!$A:$R,E$1,0),2)</f>
        <v>0.00</v>
      </c>
      <c r="F77" s="3" t="str">
        <f>FIXED(VLOOKUP($A77,'Full Sample-No Sub'!$A:$R,F$1,0),2)</f>
        <v>4,021.00</v>
      </c>
      <c r="G77" s="3" t="str">
        <f>FIXED(VLOOKUP($A77,'Full Sample-No Sub'!$A:$R,G$1,0),2)</f>
        <v>0.00</v>
      </c>
      <c r="H77" s="3" t="str">
        <f>FIXED(VLOOKUP($A77,'Full Sample-No Sub'!$A:$R,H$1,0),2)</f>
        <v>0.00</v>
      </c>
      <c r="I77" s="3" t="str">
        <f>FIXED(VLOOKUP($A77,'Full Sample-No Sub'!$A:$R,I$1,0),2)</f>
        <v>0.00</v>
      </c>
      <c r="J77" s="3" t="str">
        <f>FIXED(VLOOKUP($A77,'Full Sample-No Sub'!$A:$R,J$1,0),2)</f>
        <v>0.00</v>
      </c>
      <c r="K77" s="3" t="str">
        <f>FIXED(VLOOKUP($A77,'Full Sample-No Sub'!$A:$R,K$1,0),2)</f>
        <v>301.62</v>
      </c>
      <c r="L77" s="3" t="str">
        <f>FIXED(VLOOKUP($A77,'Full Sample-No Sub'!$A:$R,L$1,0),2)</f>
        <v>558.78</v>
      </c>
      <c r="M77" s="3" t="str">
        <f>FIXED(VLOOKUP($A77,'Full Sample-No Sub'!$A:$R,M$1,0),2)</f>
        <v>0.00</v>
      </c>
      <c r="N77" s="3" t="str">
        <f>FIXED(VLOOKUP($A77,'Full Sample-No Sub'!$A:$R,N$1,0),2)</f>
        <v>4,021.00</v>
      </c>
      <c r="O77" s="3" t="str">
        <f>FIXED(VLOOKUP($A77,'Full Sample-Townhouse'!$A:$R,O$1,0),2)</f>
        <v>311.57</v>
      </c>
      <c r="P77" s="3" t="str">
        <f>FIXED(VLOOKUP($A77,'Full Sample-Townhouse'!$A:$R,P$1,0),2)</f>
        <v>571.60</v>
      </c>
      <c r="Q77" s="3" t="str">
        <f>FIXED(VLOOKUP($A77,'Full Sample-Townhouse'!$A:$R,Q$1,0),2)</f>
        <v>0.00</v>
      </c>
      <c r="R77" s="3" t="str">
        <f>FIXED(VLOOKUP($A77,'Full Sample-Townhouse'!$A:$R,R$1,0),2)</f>
        <v>4,021.00</v>
      </c>
      <c r="S77" s="3" t="str">
        <f>FIXED(VLOOKUP($A77,'Full Sample-Townhouse'!$A:$R,S$1,0),2)</f>
        <v>0.00</v>
      </c>
      <c r="T77" s="3" t="str">
        <f>FIXED(VLOOKUP($A77,'Full Sample-Townhouse'!$A:$R,T$1,0),2)</f>
        <v>0.00</v>
      </c>
      <c r="U77" s="3" t="str">
        <f>FIXED(VLOOKUP($A77,'Full Sample-Townhouse'!$A:$R,U$1,0),2)</f>
        <v>0.00</v>
      </c>
      <c r="V77" s="3" t="str">
        <f>FIXED(VLOOKUP($A77,'Full Sample-Townhouse'!$A:$R,V$1,0),2)</f>
        <v>0.00</v>
      </c>
      <c r="W77" s="3" t="str">
        <f>FIXED(VLOOKUP($A77,'Full Sample-Townhouse'!$A:$R,W$1,0),2)</f>
        <v>311.57</v>
      </c>
      <c r="X77" s="3" t="str">
        <f>FIXED(VLOOKUP($A77,'Full Sample-Townhouse'!$A:$R,X$1,0),2)</f>
        <v>571.60</v>
      </c>
      <c r="Y77" s="3" t="str">
        <f>FIXED(VLOOKUP($A77,'Full Sample-Townhouse'!$A:$R,Y$1,0),2)</f>
        <v>0.00</v>
      </c>
      <c r="Z77" s="3" t="str">
        <f>FIXED(VLOOKUP($A77,'Full Sample-Townhouse'!$A:$R,Z$1,0),2)</f>
        <v>4,021.00</v>
      </c>
      <c r="AA77" s="3" t="str">
        <f>FIXED(VLOOKUP($A77,'Full Sample-Single Family'!$A:$R,AA$1,0),2)</f>
        <v>289.67</v>
      </c>
      <c r="AB77" s="3" t="str">
        <f>FIXED(VLOOKUP($A77,'Full Sample-Single Family'!$A:$R,AB$1,0),2)</f>
        <v>542.78</v>
      </c>
      <c r="AC77" s="3" t="str">
        <f>FIXED(VLOOKUP($A77,'Full Sample-Single Family'!$A:$R,AC$1,0),2)</f>
        <v>0.00</v>
      </c>
      <c r="AD77" s="3" t="str">
        <f>FIXED(VLOOKUP($A77,'Full Sample-Single Family'!$A:$R,AD$1,0),2)</f>
        <v>4,021.00</v>
      </c>
      <c r="AE77" s="3" t="str">
        <f>FIXED(VLOOKUP($A77,'Full Sample-Single Family'!$A:$R,AE$1,0),2)</f>
        <v>0.00</v>
      </c>
      <c r="AF77" s="3" t="str">
        <f>FIXED(VLOOKUP($A77,'Full Sample-Single Family'!$A:$R,AF$1,0),2)</f>
        <v>0.00</v>
      </c>
      <c r="AG77" s="3" t="str">
        <f>FIXED(VLOOKUP($A77,'Full Sample-Single Family'!$A:$R,AG$1,0),2)</f>
        <v>0.00</v>
      </c>
      <c r="AH77" s="3" t="str">
        <f>FIXED(VLOOKUP($A77,'Full Sample-Single Family'!$A:$R,AH$1,0),2)</f>
        <v>0.00</v>
      </c>
      <c r="AI77" s="3" t="str">
        <f>FIXED(VLOOKUP($A77,'Full Sample-Single Family'!$A:$R,AI$1,0),2)</f>
        <v>289.67</v>
      </c>
      <c r="AJ77" s="3" t="str">
        <f>FIXED(VLOOKUP($A77,'Full Sample-Single Family'!$A:$R,AJ$1,0),2)</f>
        <v>542.78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55</v>
      </c>
      <c r="B78" s="4" t="s">
        <v>133</v>
      </c>
      <c r="C78" s="3" t="e">
        <f>FIXED(VLOOKUP($A78,'Full Sample-No Sub'!$A:$R,C$1,0),2)</f>
        <v>#N/A</v>
      </c>
      <c r="D78" s="3" t="e">
        <f>FIXED(VLOOKUP($A78,'Full Sample-No Sub'!$A:$R,D$1,0),2)</f>
        <v>#N/A</v>
      </c>
      <c r="E78" s="3" t="e">
        <f>FIXED(VLOOKUP($A78,'Full Sample-No Sub'!$A:$R,E$1,0),2)</f>
        <v>#N/A</v>
      </c>
      <c r="F78" s="3" t="e">
        <f>FIXED(VLOOKUP($A78,'Full Sample-No Sub'!$A:$R,F$1,0),2)</f>
        <v>#N/A</v>
      </c>
      <c r="G78" s="3" t="e">
        <f>FIXED(VLOOKUP($A78,'Full Sample-No Sub'!$A:$R,G$1,0),2)</f>
        <v>#N/A</v>
      </c>
      <c r="H78" s="3" t="e">
        <f>FIXED(VLOOKUP($A78,'Full Sample-No Sub'!$A:$R,H$1,0),2)</f>
        <v>#N/A</v>
      </c>
      <c r="I78" s="3" t="e">
        <f>FIXED(VLOOKUP($A78,'Full Sample-No Sub'!$A:$R,I$1,0),2)</f>
        <v>#N/A</v>
      </c>
      <c r="J78" s="3" t="e">
        <f>FIXED(VLOOKUP($A78,'Full Sample-No Sub'!$A:$R,J$1,0),2)</f>
        <v>#N/A</v>
      </c>
      <c r="K78" s="3" t="e">
        <f>FIXED(VLOOKUP($A78,'Full Sample-No Sub'!$A:$R,K$1,0),2)</f>
        <v>#N/A</v>
      </c>
      <c r="L78" s="3" t="e">
        <f>FIXED(VLOOKUP($A78,'Full Sample-No Sub'!$A:$R,L$1,0),2)</f>
        <v>#N/A</v>
      </c>
      <c r="M78" s="3" t="e">
        <f>FIXED(VLOOKUP($A78,'Full Sample-No Sub'!$A:$R,M$1,0),2)</f>
        <v>#N/A</v>
      </c>
      <c r="N78" s="3" t="e">
        <f>FIXED(VLOOKUP($A78,'Full Sample-No Sub'!$A:$R,N$1,0),2)</f>
        <v>#N/A</v>
      </c>
      <c r="O78" s="3" t="e">
        <f>FIXED(VLOOKUP($A78,'Full Sample-Townhouse'!$A:$R,O$1,0),2)</f>
        <v>#N/A</v>
      </c>
      <c r="P78" s="3" t="e">
        <f>FIXED(VLOOKUP($A78,'Full Sample-Townhouse'!$A:$R,P$1,0),2)</f>
        <v>#N/A</v>
      </c>
      <c r="Q78" s="3" t="e">
        <f>FIXED(VLOOKUP($A78,'Full Sample-Townhouse'!$A:$R,Q$1,0),2)</f>
        <v>#N/A</v>
      </c>
      <c r="R78" s="3" t="e">
        <f>FIXED(VLOOKUP($A78,'Full Sample-Townhouse'!$A:$R,R$1,0),2)</f>
        <v>#N/A</v>
      </c>
      <c r="S78" s="3" t="e">
        <f>FIXED(VLOOKUP($A78,'Full Sample-Townhouse'!$A:$R,S$1,0),2)</f>
        <v>#N/A</v>
      </c>
      <c r="T78" s="3" t="e">
        <f>FIXED(VLOOKUP($A78,'Full Sample-Townhouse'!$A:$R,T$1,0),2)</f>
        <v>#N/A</v>
      </c>
      <c r="U78" s="3" t="e">
        <f>FIXED(VLOOKUP($A78,'Full Sample-Townhouse'!$A:$R,U$1,0),2)</f>
        <v>#N/A</v>
      </c>
      <c r="V78" s="3" t="e">
        <f>FIXED(VLOOKUP($A78,'Full Sample-Townhouse'!$A:$R,V$1,0),2)</f>
        <v>#N/A</v>
      </c>
      <c r="W78" s="3" t="e">
        <f>FIXED(VLOOKUP($A78,'Full Sample-Townhouse'!$A:$R,W$1,0),2)</f>
        <v>#N/A</v>
      </c>
      <c r="X78" s="3" t="e">
        <f>FIXED(VLOOKUP($A78,'Full Sample-Townhouse'!$A:$R,X$1,0),2)</f>
        <v>#N/A</v>
      </c>
      <c r="Y78" s="3" t="e">
        <f>FIXED(VLOOKUP($A78,'Full Sample-Townhouse'!$A:$R,Y$1,0),2)</f>
        <v>#N/A</v>
      </c>
      <c r="Z78" s="3" t="e">
        <f>FIXED(VLOOKUP($A78,'Full Sample-Townhouse'!$A:$R,Z$1,0),2)</f>
        <v>#N/A</v>
      </c>
      <c r="AA78" s="3" t="e">
        <f>FIXED(VLOOKUP($A78,'Full Sample-Single Family'!$A:$R,AA$1,0),2)</f>
        <v>#N/A</v>
      </c>
      <c r="AB78" s="3" t="e">
        <f>FIXED(VLOOKUP($A78,'Full Sample-Single Family'!$A:$R,AB$1,0),2)</f>
        <v>#N/A</v>
      </c>
      <c r="AC78" s="3" t="e">
        <f>FIXED(VLOOKUP($A78,'Full Sample-Single Family'!$A:$R,AC$1,0),2)</f>
        <v>#N/A</v>
      </c>
      <c r="AD78" s="3" t="e">
        <f>FIXED(VLOOKUP($A78,'Full Sample-Single Family'!$A:$R,AD$1,0),2)</f>
        <v>#N/A</v>
      </c>
      <c r="AE78" s="3" t="e">
        <f>FIXED(VLOOKUP($A78,'Full Sample-Single Family'!$A:$R,AE$1,0),2)</f>
        <v>#N/A</v>
      </c>
      <c r="AF78" s="3" t="e">
        <f>FIXED(VLOOKUP($A78,'Full Sample-Single Family'!$A:$R,AF$1,0),2)</f>
        <v>#N/A</v>
      </c>
      <c r="AG78" s="3" t="e">
        <f>FIXED(VLOOKUP($A78,'Full Sample-Single Family'!$A:$R,AG$1,0),2)</f>
        <v>#N/A</v>
      </c>
      <c r="AH78" s="3" t="e">
        <f>FIXED(VLOOKUP($A78,'Full Sample-Single Family'!$A:$R,AH$1,0),2)</f>
        <v>#N/A</v>
      </c>
      <c r="AI78" s="3" t="e">
        <f>FIXED(VLOOKUP($A78,'Full Sample-Single Family'!$A:$R,AI$1,0),2)</f>
        <v>#N/A</v>
      </c>
      <c r="AJ78" s="3" t="e">
        <f>FIXED(VLOOKUP($A78,'Full Sample-Single Family'!$A:$R,AJ$1,0),2)</f>
        <v>#N/A</v>
      </c>
      <c r="AK78" s="3" t="e">
        <f>FIXED(VLOOKUP($A78,'Full Sample-Townhouse'!$A:$R,AK$1,0),2)</f>
        <v>#N/A</v>
      </c>
      <c r="AL78" s="3" t="e">
        <f>FIXED(VLOOKUP($A78,'Full Sample-Townhouse'!$A:$R,AL$1,0),2)</f>
        <v>#N/A</v>
      </c>
    </row>
    <row r="79" spans="1:38" x14ac:dyDescent="0.25">
      <c r="A79" t="s">
        <v>56</v>
      </c>
      <c r="B79" t="s">
        <v>125</v>
      </c>
      <c r="C79" s="3" t="str">
        <f>FIXED(VLOOKUP($A79,'Full Sample-No Sub'!$A:$R,C$1,0),2)</f>
        <v>0.54</v>
      </c>
      <c r="D79" s="3" t="str">
        <f>FIXED(VLOOKUP($A79,'Full Sample-No Sub'!$A:$R,D$1,0),2)</f>
        <v>0.50</v>
      </c>
      <c r="E79" s="3" t="str">
        <f>FIXED(VLOOKUP($A79,'Full Sample-No Sub'!$A:$R,E$1,0),2)</f>
        <v>0.00</v>
      </c>
      <c r="F79" s="3" t="str">
        <f>FIXED(VLOOKUP($A79,'Full Sample-No Sub'!$A:$R,F$1,0),2)</f>
        <v>1.00</v>
      </c>
      <c r="G79" s="3" t="str">
        <f>FIXED(VLOOKUP($A79,'Full Sample-No Sub'!$A:$R,G$1,0),2)</f>
        <v>0.54</v>
      </c>
      <c r="H79" s="3" t="str">
        <f>FIXED(VLOOKUP($A79,'Full Sample-No Sub'!$A:$R,H$1,0),2)</f>
        <v>0.50</v>
      </c>
      <c r="I79" s="3" t="str">
        <f>FIXED(VLOOKUP($A79,'Full Sample-No Sub'!$A:$R,I$1,0),2)</f>
        <v>0.00</v>
      </c>
      <c r="J79" s="3" t="str">
        <f>FIXED(VLOOKUP($A79,'Full Sample-No Sub'!$A:$R,J$1,0),2)</f>
        <v>1.00</v>
      </c>
      <c r="K79" s="3" t="str">
        <f>FIXED(VLOOKUP($A79,'Full Sample-No Sub'!$A:$R,K$1,0),2)</f>
        <v>0.55</v>
      </c>
      <c r="L79" s="3" t="str">
        <f>FIXED(VLOOKUP($A79,'Full Sample-No Sub'!$A:$R,L$1,0),2)</f>
        <v>0.50</v>
      </c>
      <c r="M79" s="3" t="str">
        <f>FIXED(VLOOKUP($A79,'Full Sample-No Sub'!$A:$R,M$1,0),2)</f>
        <v>0.00</v>
      </c>
      <c r="N79" s="3" t="str">
        <f>FIXED(VLOOKUP($A79,'Full Sample-No Sub'!$A:$R,N$1,0),2)</f>
        <v>1.00</v>
      </c>
      <c r="O79" s="3" t="str">
        <f>FIXED(VLOOKUP($A79,'Full Sample-Townhouse'!$A:$R,O$1,0),2)</f>
        <v>1.00</v>
      </c>
      <c r="P79" s="3" t="str">
        <f>FIXED(VLOOKUP($A79,'Full Sample-Townhouse'!$A:$R,P$1,0),2)</f>
        <v>0.00</v>
      </c>
      <c r="Q79" s="3" t="str">
        <f>FIXED(VLOOKUP($A79,'Full Sample-Townhouse'!$A:$R,Q$1,0),2)</f>
        <v>1.00</v>
      </c>
      <c r="R79" s="3" t="str">
        <f>FIXED(VLOOKUP($A79,'Full Sample-Townhouse'!$A:$R,R$1,0),2)</f>
        <v>1.00</v>
      </c>
      <c r="S79" s="3" t="str">
        <f>FIXED(VLOOKUP($A79,'Full Sample-Townhouse'!$A:$R,S$1,0),2)</f>
        <v>1.00</v>
      </c>
      <c r="T79" s="3" t="str">
        <f>FIXED(VLOOKUP($A79,'Full Sample-Townhouse'!$A:$R,T$1,0),2)</f>
        <v>0.00</v>
      </c>
      <c r="U79" s="3" t="str">
        <f>FIXED(VLOOKUP($A79,'Full Sample-Townhouse'!$A:$R,U$1,0),2)</f>
        <v>1.00</v>
      </c>
      <c r="V79" s="3" t="str">
        <f>FIXED(VLOOKUP($A79,'Full Sample-Townhouse'!$A:$R,V$1,0),2)</f>
        <v>1.00</v>
      </c>
      <c r="W79" s="3" t="str">
        <f>FIXED(VLOOKUP($A79,'Full Sample-Townhouse'!$A:$R,W$1,0),2)</f>
        <v>1.00</v>
      </c>
      <c r="X79" s="3" t="str">
        <f>FIXED(VLOOKUP($A79,'Full Sample-Townhouse'!$A:$R,X$1,0),2)</f>
        <v>0.00</v>
      </c>
      <c r="Y79" s="3" t="str">
        <f>FIXED(VLOOKUP($A79,'Full Sample-Townhouse'!$A:$R,Y$1,0),2)</f>
        <v>1.00</v>
      </c>
      <c r="Z79" s="3" t="str">
        <f>FIXED(VLOOKUP($A79,'Full Sample-Townhouse'!$A:$R,Z$1,0),2)</f>
        <v>1.00</v>
      </c>
      <c r="AA79" s="3" t="str">
        <f>FIXED(VLOOKUP($A79,'Full Sample-Single Family'!$A:$R,AA$1,0),2)</f>
        <v>0.00</v>
      </c>
      <c r="AB79" s="3" t="str">
        <f>FIXED(VLOOKUP($A79,'Full Sample-Single Family'!$A:$R,AB$1,0),2)</f>
        <v>0.00</v>
      </c>
      <c r="AC79" s="3" t="str">
        <f>FIXED(VLOOKUP($A79,'Full Sample-Single Family'!$A:$R,AC$1,0),2)</f>
        <v>0.00</v>
      </c>
      <c r="AD79" s="3" t="str">
        <f>FIXED(VLOOKUP($A79,'Full Sample-Single Family'!$A:$R,AD$1,0),2)</f>
        <v>0.00</v>
      </c>
      <c r="AE79" s="3" t="str">
        <f>FIXED(VLOOKUP($A79,'Full Sample-Single Family'!$A:$R,AE$1,0),2)</f>
        <v>0.00</v>
      </c>
      <c r="AF79" s="3" t="str">
        <f>FIXED(VLOOKUP($A79,'Full Sample-Single Family'!$A:$R,AF$1,0),2)</f>
        <v>0.00</v>
      </c>
      <c r="AG79" s="3" t="str">
        <f>FIXED(VLOOKUP($A79,'Full Sample-Single Family'!$A:$R,AG$1,0),2)</f>
        <v>0.00</v>
      </c>
      <c r="AH79" s="3" t="str">
        <f>FIXED(VLOOKUP($A79,'Full Sample-Single Family'!$A:$R,AH$1,0),2)</f>
        <v>0.00</v>
      </c>
      <c r="AI79" s="3" t="str">
        <f>FIXED(VLOOKUP($A79,'Full Sample-Single Family'!$A:$R,AI$1,0),2)</f>
        <v>0.00</v>
      </c>
      <c r="AJ79" s="3" t="str">
        <f>FIXED(VLOOKUP($A79,'Full Sample-Single Family'!$A:$R,AJ$1,0),2)</f>
        <v>0.00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A80" t="s">
        <v>57</v>
      </c>
      <c r="B80" s="4" t="s">
        <v>134</v>
      </c>
      <c r="C80" s="3" t="str">
        <f>FIXED(VLOOKUP($A80,'Full Sample-No Sub'!$A:$R,C$1,0),2)</f>
        <v>0.46</v>
      </c>
      <c r="D80" s="3" t="str">
        <f>FIXED(VLOOKUP($A80,'Full Sample-No Sub'!$A:$R,D$1,0),2)</f>
        <v>0.50</v>
      </c>
      <c r="E80" s="3" t="str">
        <f>FIXED(VLOOKUP($A80,'Full Sample-No Sub'!$A:$R,E$1,0),2)</f>
        <v>0.00</v>
      </c>
      <c r="F80" s="3" t="str">
        <f>FIXED(VLOOKUP($A80,'Full Sample-No Sub'!$A:$R,F$1,0),2)</f>
        <v>1.00</v>
      </c>
      <c r="G80" s="3" t="str">
        <f>FIXED(VLOOKUP($A80,'Full Sample-No Sub'!$A:$R,G$1,0),2)</f>
        <v>0.46</v>
      </c>
      <c r="H80" s="3" t="str">
        <f>FIXED(VLOOKUP($A80,'Full Sample-No Sub'!$A:$R,H$1,0),2)</f>
        <v>0.50</v>
      </c>
      <c r="I80" s="3" t="str">
        <f>FIXED(VLOOKUP($A80,'Full Sample-No Sub'!$A:$R,I$1,0),2)</f>
        <v>0.00</v>
      </c>
      <c r="J80" s="3" t="str">
        <f>FIXED(VLOOKUP($A80,'Full Sample-No Sub'!$A:$R,J$1,0),2)</f>
        <v>1.00</v>
      </c>
      <c r="K80" s="3" t="str">
        <f>FIXED(VLOOKUP($A80,'Full Sample-No Sub'!$A:$R,K$1,0),2)</f>
        <v>0.45</v>
      </c>
      <c r="L80" s="3" t="str">
        <f>FIXED(VLOOKUP($A80,'Full Sample-No Sub'!$A:$R,L$1,0),2)</f>
        <v>0.50</v>
      </c>
      <c r="M80" s="3" t="str">
        <f>FIXED(VLOOKUP($A80,'Full Sample-No Sub'!$A:$R,M$1,0),2)</f>
        <v>0.00</v>
      </c>
      <c r="N80" s="3" t="str">
        <f>FIXED(VLOOKUP($A80,'Full Sample-No Sub'!$A:$R,N$1,0),2)</f>
        <v>1.00</v>
      </c>
      <c r="O80" s="3" t="str">
        <f>FIXED(VLOOKUP($A80,'Full Sample-Townhouse'!$A:$R,O$1,0),2)</f>
        <v>0.00</v>
      </c>
      <c r="P80" s="3" t="str">
        <f>FIXED(VLOOKUP($A80,'Full Sample-Townhouse'!$A:$R,P$1,0),2)</f>
        <v>0.00</v>
      </c>
      <c r="Q80" s="3" t="str">
        <f>FIXED(VLOOKUP($A80,'Full Sample-Townhouse'!$A:$R,Q$1,0),2)</f>
        <v>0.00</v>
      </c>
      <c r="R80" s="3" t="str">
        <f>FIXED(VLOOKUP($A80,'Full Sample-Townhouse'!$A:$R,R$1,0),2)</f>
        <v>0.00</v>
      </c>
      <c r="S80" s="3" t="str">
        <f>FIXED(VLOOKUP($A80,'Full Sample-Townhouse'!$A:$R,S$1,0),2)</f>
        <v>0.00</v>
      </c>
      <c r="T80" s="3" t="str">
        <f>FIXED(VLOOKUP($A80,'Full Sample-Townhouse'!$A:$R,T$1,0),2)</f>
        <v>0.00</v>
      </c>
      <c r="U80" s="3" t="str">
        <f>FIXED(VLOOKUP($A80,'Full Sample-Townhouse'!$A:$R,U$1,0),2)</f>
        <v>0.00</v>
      </c>
      <c r="V80" s="3" t="str">
        <f>FIXED(VLOOKUP($A80,'Full Sample-Townhouse'!$A:$R,V$1,0),2)</f>
        <v>0.00</v>
      </c>
      <c r="W80" s="3" t="str">
        <f>FIXED(VLOOKUP($A80,'Full Sample-Townhouse'!$A:$R,W$1,0),2)</f>
        <v>0.00</v>
      </c>
      <c r="X80" s="3" t="str">
        <f>FIXED(VLOOKUP($A80,'Full Sample-Townhouse'!$A:$R,X$1,0),2)</f>
        <v>0.00</v>
      </c>
      <c r="Y80" s="3" t="str">
        <f>FIXED(VLOOKUP($A80,'Full Sample-Townhouse'!$A:$R,Y$1,0),2)</f>
        <v>0.00</v>
      </c>
      <c r="Z80" s="3" t="str">
        <f>FIXED(VLOOKUP($A80,'Full Sample-Townhouse'!$A:$R,Z$1,0),2)</f>
        <v>0.00</v>
      </c>
      <c r="AA80" s="3" t="str">
        <f>FIXED(VLOOKUP($A80,'Full Sample-Single Family'!$A:$R,AA$1,0),2)</f>
        <v>1.00</v>
      </c>
      <c r="AB80" s="3" t="str">
        <f>FIXED(VLOOKUP($A80,'Full Sample-Single Family'!$A:$R,AB$1,0),2)</f>
        <v>0.00</v>
      </c>
      <c r="AC80" s="3" t="str">
        <f>FIXED(VLOOKUP($A80,'Full Sample-Single Family'!$A:$R,AC$1,0),2)</f>
        <v>1.00</v>
      </c>
      <c r="AD80" s="3" t="str">
        <f>FIXED(VLOOKUP($A80,'Full Sample-Single Family'!$A:$R,AD$1,0),2)</f>
        <v>1.00</v>
      </c>
      <c r="AE80" s="3" t="str">
        <f>FIXED(VLOOKUP($A80,'Full Sample-Single Family'!$A:$R,AE$1,0),2)</f>
        <v>1.00</v>
      </c>
      <c r="AF80" s="3" t="str">
        <f>FIXED(VLOOKUP($A80,'Full Sample-Single Family'!$A:$R,AF$1,0),2)</f>
        <v>0.00</v>
      </c>
      <c r="AG80" s="3" t="str">
        <f>FIXED(VLOOKUP($A80,'Full Sample-Single Family'!$A:$R,AG$1,0),2)</f>
        <v>1.00</v>
      </c>
      <c r="AH80" s="3" t="str">
        <f>FIXED(VLOOKUP($A80,'Full Sample-Single Family'!$A:$R,AH$1,0),2)</f>
        <v>1.00</v>
      </c>
      <c r="AI80" s="3" t="str">
        <f>FIXED(VLOOKUP($A80,'Full Sample-Single Family'!$A:$R,AI$1,0),2)</f>
        <v>1.00</v>
      </c>
      <c r="AJ80" s="3" t="str">
        <f>FIXED(VLOOKUP($A80,'Full Sample-Single Family'!$A:$R,AJ$1,0),2)</f>
        <v>0.00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53</v>
      </c>
      <c r="B81" t="s">
        <v>183</v>
      </c>
      <c r="C81" s="9" t="str">
        <f>FIXED(VLOOKUP($A81,'Full Sample-No Sub'!$A:$R,C$1,0),2)</f>
        <v>2,361,455.00</v>
      </c>
      <c r="D81" s="3" t="str">
        <f>FIXED(VLOOKUP($A81,'Full Sample-No Sub'!$A:$R,D$1,0),2)</f>
        <v>7,600.50</v>
      </c>
      <c r="E81" s="3" t="str">
        <f>FIXED(VLOOKUP($A81,'Full Sample-No Sub'!$A:$R,E$1,0),2)</f>
        <v>2,350,907.00</v>
      </c>
      <c r="F81" s="3" t="str">
        <f>FIXED(VLOOKUP($A81,'Full Sample-No Sub'!$A:$R,F$1,0),2)</f>
        <v>2,400,056.00</v>
      </c>
      <c r="G81" s="9" t="str">
        <f>FIXED(VLOOKUP($A81,'Full Sample-No Sub'!$A:$R,G$1,0),2)</f>
        <v>2,361,497.00</v>
      </c>
      <c r="H81" s="3" t="str">
        <f>FIXED(VLOOKUP($A81,'Full Sample-No Sub'!$A:$R,H$1,0),2)</f>
        <v>7,545.82</v>
      </c>
      <c r="I81" s="3" t="str">
        <f>FIXED(VLOOKUP($A81,'Full Sample-No Sub'!$A:$R,I$1,0),2)</f>
        <v>2,350,907.00</v>
      </c>
      <c r="J81" s="13" t="str">
        <f>FIXED(VLOOKUP($A81,'Full Sample-No Sub'!$A:$R,J$1,0),2)</f>
        <v>2,400,056.00</v>
      </c>
      <c r="K81" s="9" t="str">
        <f>FIXED(VLOOKUP($A81,'Full Sample-No Sub'!$A:$R,K$1,0),2)</f>
        <v>2,361,397.00</v>
      </c>
      <c r="L81" s="3" t="str">
        <f>FIXED(VLOOKUP($A81,'Full Sample-No Sub'!$A:$R,L$1,0),2)</f>
        <v>7,674.06</v>
      </c>
      <c r="M81" s="3" t="str">
        <f>FIXED(VLOOKUP($A81,'Full Sample-No Sub'!$A:$R,M$1,0),2)</f>
        <v>2,350,907.00</v>
      </c>
      <c r="N81" s="13" t="str">
        <f>FIXED(VLOOKUP($A81,'Full Sample-No Sub'!$A:$R,N$1,0),2)</f>
        <v>2,400,056.00</v>
      </c>
      <c r="O81" s="9" t="str">
        <f>FIXED(VLOOKUP($A81,'Full Sample-Townhouse'!$A:$R,O$1,0),2)</f>
        <v>2,359,771.00</v>
      </c>
      <c r="P81" s="3" t="str">
        <f>FIXED(VLOOKUP($A81,'Full Sample-Townhouse'!$A:$R,P$1,0),2)</f>
        <v>6,929.86</v>
      </c>
      <c r="Q81" s="3" t="str">
        <f>FIXED(VLOOKUP($A81,'Full Sample-Townhouse'!$A:$R,Q$1,0),2)</f>
        <v>2,351,041.00</v>
      </c>
      <c r="R81" s="3" t="str">
        <f>FIXED(VLOOKUP($A81,'Full Sample-Townhouse'!$A:$R,R$1,0),2)</f>
        <v>2,400,056.00</v>
      </c>
      <c r="S81" s="9" t="str">
        <f>FIXED(VLOOKUP($A81,'Full Sample-Townhouse'!$A:$R,S$1,0),2)</f>
        <v>2,359,851.00</v>
      </c>
      <c r="T81" s="3" t="str">
        <f>FIXED(VLOOKUP($A81,'Full Sample-Townhouse'!$A:$R,T$1,0),2)</f>
        <v>6,988.94</v>
      </c>
      <c r="U81" s="3" t="str">
        <f>FIXED(VLOOKUP($A81,'Full Sample-Townhouse'!$A:$R,U$1,0),2)</f>
        <v>2,351,041.00</v>
      </c>
      <c r="V81" s="13" t="str">
        <f>FIXED(VLOOKUP($A81,'Full Sample-Townhouse'!$A:$R,V$1,0),2)</f>
        <v>2,400,056.00</v>
      </c>
      <c r="W81" s="9" t="str">
        <f>FIXED(VLOOKUP($A81,'Full Sample-Townhouse'!$A:$R,W$1,0),2)</f>
        <v>2,359,663.00</v>
      </c>
      <c r="X81" s="3" t="str">
        <f>FIXED(VLOOKUP($A81,'Full Sample-Townhouse'!$A:$R,X$1,0),2)</f>
        <v>6,847.80</v>
      </c>
      <c r="Y81" s="3" t="str">
        <f>FIXED(VLOOKUP($A81,'Full Sample-Townhouse'!$A:$R,Y$1,0),2)</f>
        <v>2,351,041.00</v>
      </c>
      <c r="Z81" s="3" t="str">
        <f>FIXED(VLOOKUP($A81,'Full Sample-Townhouse'!$A:$R,Z$1,0),2)</f>
        <v>2,400,056.00</v>
      </c>
      <c r="AA81" s="9" t="str">
        <f>FIXED(VLOOKUP($A81,'Full Sample-Single Family'!$A:$R,AA$1,0),2)</f>
        <v>2,363,465.00</v>
      </c>
      <c r="AB81" s="3" t="str">
        <f>FIXED(VLOOKUP($A81,'Full Sample-Single Family'!$A:$R,AB$1,0),2)</f>
        <v>7,872.91</v>
      </c>
      <c r="AC81" s="3" t="str">
        <f>FIXED(VLOOKUP($A81,'Full Sample-Single Family'!$A:$R,AC$1,0),2)</f>
        <v>2,350,907.00</v>
      </c>
      <c r="AD81" s="3" t="str">
        <f>FIXED(VLOOKUP($A81,'Full Sample-Single Family'!$A:$R,AD$1,0),2)</f>
        <v>2,399,920.00</v>
      </c>
      <c r="AE81" s="9" t="str">
        <f>FIXED(VLOOKUP($A81,'Full Sample-Single Family'!$A:$R,AE$1,0),2)</f>
        <v>2,363,456.00</v>
      </c>
      <c r="AF81" s="3" t="str">
        <f>FIXED(VLOOKUP($A81,'Full Sample-Single Family'!$A:$R,AF$1,0),2)</f>
        <v>7,714.65</v>
      </c>
      <c r="AG81" s="3" t="str">
        <f>FIXED(VLOOKUP($A81,'Full Sample-Single Family'!$A:$R,AG$1,0),2)</f>
        <v>2,350,907.00</v>
      </c>
      <c r="AH81" s="13" t="str">
        <f>FIXED(VLOOKUP($A81,'Full Sample-Single Family'!$A:$R,AH$1,0),2)</f>
        <v>2,399,920.00</v>
      </c>
      <c r="AI81" s="9" t="str">
        <f>FIXED(VLOOKUP($A81,'Full Sample-Single Family'!$A:$R,AI$1,0),2)</f>
        <v>2,363,478.00</v>
      </c>
      <c r="AJ81" s="3" t="str">
        <f>FIXED(VLOOKUP($A81,'Full Sample-Single Family'!$A:$R,AJ$1,0),2)</f>
        <v>8,084.63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54</v>
      </c>
      <c r="B82" t="s">
        <v>184</v>
      </c>
      <c r="C82" s="9" t="str">
        <f>FIXED(VLOOKUP($A82,'Full Sample-No Sub'!$A:$R,C$1,0),2)</f>
        <v>612,703.60</v>
      </c>
      <c r="D82" s="3" t="str">
        <f>FIXED(VLOOKUP($A82,'Full Sample-No Sub'!$A:$R,D$1,0),2)</f>
        <v>13,314.19</v>
      </c>
      <c r="E82" s="3" t="str">
        <f>FIXED(VLOOKUP($A82,'Full Sample-No Sub'!$A:$R,E$1,0),2)</f>
        <v>579,824.20</v>
      </c>
      <c r="F82" s="3" t="str">
        <f>FIXED(VLOOKUP($A82,'Full Sample-No Sub'!$A:$R,F$1,0),2)</f>
        <v>638,667.70</v>
      </c>
      <c r="G82" s="9" t="str">
        <f>FIXED(VLOOKUP($A82,'Full Sample-No Sub'!$A:$R,G$1,0),2)</f>
        <v>612,486.30</v>
      </c>
      <c r="H82" s="3" t="str">
        <f>FIXED(VLOOKUP($A82,'Full Sample-No Sub'!$A:$R,H$1,0),2)</f>
        <v>13,220.43</v>
      </c>
      <c r="I82" s="3" t="str">
        <f>FIXED(VLOOKUP($A82,'Full Sample-No Sub'!$A:$R,I$1,0),2)</f>
        <v>579,824.20</v>
      </c>
      <c r="J82" s="13" t="str">
        <f>FIXED(VLOOKUP($A82,'Full Sample-No Sub'!$A:$R,J$1,0),2)</f>
        <v>638,667.70</v>
      </c>
      <c r="K82" s="9" t="str">
        <f>FIXED(VLOOKUP($A82,'Full Sample-No Sub'!$A:$R,K$1,0),2)</f>
        <v>612,999.20</v>
      </c>
      <c r="L82" s="3" t="str">
        <f>FIXED(VLOOKUP($A82,'Full Sample-No Sub'!$A:$R,L$1,0),2)</f>
        <v>13,435.37</v>
      </c>
      <c r="M82" s="3" t="str">
        <f>FIXED(VLOOKUP($A82,'Full Sample-No Sub'!$A:$R,M$1,0),2)</f>
        <v>579,905.60</v>
      </c>
      <c r="N82" s="13" t="str">
        <f>FIXED(VLOOKUP($A82,'Full Sample-No Sub'!$A:$R,N$1,0),2)</f>
        <v>638,597.20</v>
      </c>
      <c r="O82" s="9" t="str">
        <f>FIXED(VLOOKUP($A82,'Full Sample-Townhouse'!$A:$R,O$1,0),2)</f>
        <v>614,141.90</v>
      </c>
      <c r="P82" s="3" t="str">
        <f>FIXED(VLOOKUP($A82,'Full Sample-Townhouse'!$A:$R,P$1,0),2)</f>
        <v>11,656.90</v>
      </c>
      <c r="Q82" s="3" t="str">
        <f>FIXED(VLOOKUP($A82,'Full Sample-Townhouse'!$A:$R,Q$1,0),2)</f>
        <v>580,446.10</v>
      </c>
      <c r="R82" s="3" t="str">
        <f>FIXED(VLOOKUP($A82,'Full Sample-Townhouse'!$A:$R,R$1,0),2)</f>
        <v>637,819.70</v>
      </c>
      <c r="S82" s="9" t="str">
        <f>FIXED(VLOOKUP($A82,'Full Sample-Townhouse'!$A:$R,S$1,0),2)</f>
        <v>614,083.20</v>
      </c>
      <c r="T82" s="3" t="str">
        <f>FIXED(VLOOKUP($A82,'Full Sample-Townhouse'!$A:$R,T$1,0),2)</f>
        <v>11,551.72</v>
      </c>
      <c r="U82" s="3" t="str">
        <f>FIXED(VLOOKUP($A82,'Full Sample-Townhouse'!$A:$R,U$1,0),2)</f>
        <v>580,446.10</v>
      </c>
      <c r="V82" s="13" t="str">
        <f>FIXED(VLOOKUP($A82,'Full Sample-Townhouse'!$A:$R,V$1,0),2)</f>
        <v>637,819.70</v>
      </c>
      <c r="W82" s="9" t="str">
        <f>FIXED(VLOOKUP($A82,'Full Sample-Townhouse'!$A:$R,W$1,0),2)</f>
        <v>614,221.40</v>
      </c>
      <c r="X82" s="3" t="str">
        <f>FIXED(VLOOKUP($A82,'Full Sample-Townhouse'!$A:$R,X$1,0),2)</f>
        <v>11,797.98</v>
      </c>
      <c r="Y82" s="3" t="str">
        <f>FIXED(VLOOKUP($A82,'Full Sample-Townhouse'!$A:$R,Y$1,0),2)</f>
        <v>580,446.10</v>
      </c>
      <c r="Z82" s="3" t="str">
        <f>FIXED(VLOOKUP($A82,'Full Sample-Townhouse'!$A:$R,Z$1,0),2)</f>
        <v>637,819.70</v>
      </c>
      <c r="AA82" s="9" t="str">
        <f>FIXED(VLOOKUP($A82,'Full Sample-Single Family'!$A:$R,AA$1,0),2)</f>
        <v>610,985.70</v>
      </c>
      <c r="AB82" s="3" t="str">
        <f>FIXED(VLOOKUP($A82,'Full Sample-Single Family'!$A:$R,AB$1,0),2)</f>
        <v>14,875.55</v>
      </c>
      <c r="AC82" s="3" t="str">
        <f>FIXED(VLOOKUP($A82,'Full Sample-Single Family'!$A:$R,AC$1,0),2)</f>
        <v>579,824.20</v>
      </c>
      <c r="AD82" s="3" t="str">
        <f>FIXED(VLOOKUP($A82,'Full Sample-Single Family'!$A:$R,AD$1,0),2)</f>
        <v>638,667.70</v>
      </c>
      <c r="AE82" s="9" t="str">
        <f>FIXED(VLOOKUP($A82,'Full Sample-Single Family'!$A:$R,AE$1,0),2)</f>
        <v>610,585.90</v>
      </c>
      <c r="AF82" s="3" t="str">
        <f>FIXED(VLOOKUP($A82,'Full Sample-Single Family'!$A:$R,AF$1,0),2)</f>
        <v>14,742.42</v>
      </c>
      <c r="AG82" s="3" t="str">
        <f>FIXED(VLOOKUP($A82,'Full Sample-Single Family'!$A:$R,AG$1,0),2)</f>
        <v>579,824.20</v>
      </c>
      <c r="AH82" s="13" t="str">
        <f>FIXED(VLOOKUP($A82,'Full Sample-Single Family'!$A:$R,AH$1,0),2)</f>
        <v>638,667.70</v>
      </c>
      <c r="AI82" s="9" t="str">
        <f>FIXED(VLOOKUP($A82,'Full Sample-Single Family'!$A:$R,AI$1,0),2)</f>
        <v>611,532.20</v>
      </c>
      <c r="AJ82" s="3" t="str">
        <f>FIXED(VLOOKUP($A82,'Full Sample-Single Family'!$A:$R,AJ$1,0),2)</f>
        <v>15,039.22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61</v>
      </c>
      <c r="B83" t="s">
        <v>312</v>
      </c>
      <c r="C83" s="9" t="str">
        <f>FIXED(VLOOKUP($A83,'Full Sample-No Sub'!$A:$R,C$1,0),2)</f>
        <v>2,019.05</v>
      </c>
      <c r="D83" s="3" t="str">
        <f>FIXED(VLOOKUP($A83,'Full Sample-No Sub'!$A:$R,D$1,0),2)</f>
        <v>2.01</v>
      </c>
      <c r="E83" s="3" t="str">
        <f>FIXED(VLOOKUP($A83,'Full Sample-No Sub'!$A:$R,E$1,0),2)</f>
        <v>2,016.00</v>
      </c>
      <c r="F83" s="3" t="str">
        <f>FIXED(VLOOKUP($A83,'Full Sample-No Sub'!$A:$R,F$1,0),2)</f>
        <v>2,023.00</v>
      </c>
      <c r="G83" s="9" t="str">
        <f>FIXED(VLOOKUP($A83,'Full Sample-No Sub'!$A:$R,G$1,0),2)</f>
        <v>2,017.57</v>
      </c>
      <c r="H83" s="3" t="str">
        <f>FIXED(VLOOKUP($A83,'Full Sample-No Sub'!$A:$R,H$1,0),2)</f>
        <v>1.17</v>
      </c>
      <c r="I83" s="3" t="str">
        <f>FIXED(VLOOKUP($A83,'Full Sample-No Sub'!$A:$R,I$1,0),2)</f>
        <v>2,016.00</v>
      </c>
      <c r="J83" s="13" t="str">
        <f>FIXED(VLOOKUP($A83,'Full Sample-No Sub'!$A:$R,J$1,0),2)</f>
        <v>2,020.00</v>
      </c>
      <c r="K83" s="9" t="str">
        <f>FIXED(VLOOKUP($A83,'Full Sample-No Sub'!$A:$R,K$1,0),2)</f>
        <v>2,021.06</v>
      </c>
      <c r="L83" s="3" t="str">
        <f>FIXED(VLOOKUP($A83,'Full Sample-No Sub'!$A:$R,L$1,0),2)</f>
        <v>0.79</v>
      </c>
      <c r="M83" s="3" t="str">
        <f>FIXED(VLOOKUP($A83,'Full Sample-No Sub'!$A:$R,M$1,0),2)</f>
        <v>2,020.00</v>
      </c>
      <c r="N83" s="13" t="str">
        <f>FIXED(VLOOKUP($A83,'Full Sample-No Sub'!$A:$R,N$1,0),2)</f>
        <v>2,023.00</v>
      </c>
      <c r="O83" s="9" t="str">
        <f>FIXED(VLOOKUP($A83,'Full Sample-Townhouse'!$A:$R,O$1,0),2)</f>
        <v>2,019.06</v>
      </c>
      <c r="P83" s="3" t="str">
        <f>FIXED(VLOOKUP($A83,'Full Sample-Townhouse'!$A:$R,P$1,0),2)</f>
        <v>2.01</v>
      </c>
      <c r="Q83" s="3" t="str">
        <f>FIXED(VLOOKUP($A83,'Full Sample-Townhouse'!$A:$R,Q$1,0),2)</f>
        <v>2,016.00</v>
      </c>
      <c r="R83" s="3" t="str">
        <f>FIXED(VLOOKUP($A83,'Full Sample-Townhouse'!$A:$R,R$1,0),2)</f>
        <v>2,023.00</v>
      </c>
      <c r="S83" s="9" t="str">
        <f>FIXED(VLOOKUP($A83,'Full Sample-Townhouse'!$A:$R,S$1,0),2)</f>
        <v>2,017.57</v>
      </c>
      <c r="T83" s="3" t="str">
        <f>FIXED(VLOOKUP($A83,'Full Sample-Townhouse'!$A:$R,T$1,0),2)</f>
        <v>1.17</v>
      </c>
      <c r="U83" s="3" t="str">
        <f>FIXED(VLOOKUP($A83,'Full Sample-Townhouse'!$A:$R,U$1,0),2)</f>
        <v>2,016.00</v>
      </c>
      <c r="V83" s="13" t="str">
        <f>FIXED(VLOOKUP($A83,'Full Sample-Townhouse'!$A:$R,V$1,0),2)</f>
        <v>2,020.00</v>
      </c>
      <c r="W83" s="9" t="str">
        <f>FIXED(VLOOKUP($A83,'Full Sample-Townhouse'!$A:$R,W$1,0),2)</f>
        <v>2,021.08</v>
      </c>
      <c r="X83" s="3" t="str">
        <f>FIXED(VLOOKUP($A83,'Full Sample-Townhouse'!$A:$R,X$1,0),2)</f>
        <v>0.76</v>
      </c>
      <c r="Y83" s="3" t="str">
        <f>FIXED(VLOOKUP($A83,'Full Sample-Townhouse'!$A:$R,Y$1,0),2)</f>
        <v>2,020.00</v>
      </c>
      <c r="Z83" s="3" t="str">
        <f>FIXED(VLOOKUP($A83,'Full Sample-Townhouse'!$A:$R,Z$1,0),2)</f>
        <v>2,023.00</v>
      </c>
      <c r="AA83" s="9" t="str">
        <f>FIXED(VLOOKUP($A83,'Full Sample-Single Family'!$A:$R,AA$1,0),2)</f>
        <v>2,019.04</v>
      </c>
      <c r="AB83" s="3" t="str">
        <f>FIXED(VLOOKUP($A83,'Full Sample-Single Family'!$A:$R,AB$1,0),2)</f>
        <v>2.01</v>
      </c>
      <c r="AC83" s="3" t="str">
        <f>FIXED(VLOOKUP($A83,'Full Sample-Single Family'!$A:$R,AC$1,0),2)</f>
        <v>2,016.00</v>
      </c>
      <c r="AD83" s="3" t="str">
        <f>FIXED(VLOOKUP($A83,'Full Sample-Single Family'!$A:$R,AD$1,0),2)</f>
        <v>2,023.00</v>
      </c>
      <c r="AE83" s="9" t="str">
        <f>FIXED(VLOOKUP($A83,'Full Sample-Single Family'!$A:$R,AE$1,0),2)</f>
        <v>2,017.57</v>
      </c>
      <c r="AF83" s="3" t="str">
        <f>FIXED(VLOOKUP($A83,'Full Sample-Single Family'!$A:$R,AF$1,0),2)</f>
        <v>1.18</v>
      </c>
      <c r="AG83" s="3" t="str">
        <f>FIXED(VLOOKUP($A83,'Full Sample-Single Family'!$A:$R,AG$1,0),2)</f>
        <v>2,016.00</v>
      </c>
      <c r="AH83" s="13" t="str">
        <f>FIXED(VLOOKUP($A83,'Full Sample-Single Family'!$A:$R,AH$1,0),2)</f>
        <v>2,020.00</v>
      </c>
      <c r="AI83" s="9" t="str">
        <f>FIXED(VLOOKUP($A83,'Full Sample-Single Family'!$A:$R,AI$1,0),2)</f>
        <v>2,021.04</v>
      </c>
      <c r="AJ83" s="3" t="str">
        <f>FIXED(VLOOKUP($A83,'Full Sample-Single Family'!$A:$R,AJ$1,0),2)</f>
        <v>0.83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190</v>
      </c>
      <c r="B84" t="s">
        <v>191</v>
      </c>
      <c r="C84" s="9" t="str">
        <f>FIXED(VLOOKUP($A84,'Full Sample-No Sub'!$A:$R,C$1,0),2)</f>
        <v>8,958.18</v>
      </c>
      <c r="D84" s="3" t="str">
        <f>FIXED(VLOOKUP($A84,'Full Sample-No Sub'!$A:$R,D$1,0),2)</f>
        <v>89,034.99</v>
      </c>
      <c r="E84" s="3" t="str">
        <f>FIXED(VLOOKUP($A84,'Full Sample-No Sub'!$A:$R,E$1,0),2)</f>
        <v>-2,010,000.00</v>
      </c>
      <c r="F84" s="3" t="str">
        <f>FIXED(VLOOKUP($A84,'Full Sample-No Sub'!$A:$R,F$1,0),2)</f>
        <v>6,900,000.00</v>
      </c>
      <c r="G84" s="9" t="str">
        <f>FIXED(VLOOKUP($A84,'Full Sample-No Sub'!$A:$R,G$1,0),2)</f>
        <v>14,555.15</v>
      </c>
      <c r="H84" s="3" t="str">
        <f>FIXED(VLOOKUP($A84,'Full Sample-No Sub'!$A:$R,H$1,0),2)</f>
        <v>68,460.86</v>
      </c>
      <c r="I84" s="3" t="str">
        <f>FIXED(VLOOKUP($A84,'Full Sample-No Sub'!$A:$R,I$1,0),2)</f>
        <v>-1,850,000.00</v>
      </c>
      <c r="J84" s="13" t="str">
        <f>FIXED(VLOOKUP($A84,'Full Sample-No Sub'!$A:$R,J$1,0),2)</f>
        <v>2,950,000.00</v>
      </c>
      <c r="K84" s="9" t="str">
        <f>FIXED(VLOOKUP($A84,'Full Sample-No Sub'!$A:$R,K$1,0),2)</f>
        <v>1,342.97</v>
      </c>
      <c r="L84" s="3" t="str">
        <f>FIXED(VLOOKUP($A84,'Full Sample-No Sub'!$A:$R,L$1,0),2)</f>
        <v>110,615.70</v>
      </c>
      <c r="M84" s="3" t="str">
        <f>FIXED(VLOOKUP($A84,'Full Sample-No Sub'!$A:$R,M$1,0),2)</f>
        <v>-2,010,000.00</v>
      </c>
      <c r="N84" s="13" t="str">
        <f>FIXED(VLOOKUP($A84,'Full Sample-No Sub'!$A:$R,N$1,0),2)</f>
        <v>6,900,000.00</v>
      </c>
      <c r="O84" s="9" t="str">
        <f>FIXED(VLOOKUP($A84,'Full Sample-Townhouse'!$A:$R,O$1,0),2)</f>
        <v>7,325.00</v>
      </c>
      <c r="P84" s="3" t="str">
        <f>FIXED(VLOOKUP($A84,'Full Sample-Townhouse'!$A:$R,P$1,0),2)</f>
        <v>47,457.29</v>
      </c>
      <c r="Q84" s="3" t="str">
        <f>FIXED(VLOOKUP($A84,'Full Sample-Townhouse'!$A:$R,Q$1,0),2)</f>
        <v>-300,000.00</v>
      </c>
      <c r="R84" s="3" t="str">
        <f>FIXED(VLOOKUP($A84,'Full Sample-Townhouse'!$A:$R,R$1,0),2)</f>
        <v>4,750,000.00</v>
      </c>
      <c r="S84" s="9" t="str">
        <f>FIXED(VLOOKUP($A84,'Full Sample-Townhouse'!$A:$R,S$1,0),2)</f>
        <v>9,597.21</v>
      </c>
      <c r="T84" s="3" t="str">
        <f>FIXED(VLOOKUP($A84,'Full Sample-Townhouse'!$A:$R,T$1,0),2)</f>
        <v>32,027.74</v>
      </c>
      <c r="U84" s="3" t="str">
        <f>FIXED(VLOOKUP($A84,'Full Sample-Townhouse'!$A:$R,U$1,0),2)</f>
        <v>-152,000.00</v>
      </c>
      <c r="V84" s="13" t="str">
        <f>FIXED(VLOOKUP($A84,'Full Sample-Townhouse'!$A:$R,V$1,0),2)</f>
        <v>750,000.00</v>
      </c>
      <c r="W84" s="9" t="str">
        <f>FIXED(VLOOKUP($A84,'Full Sample-Townhouse'!$A:$R,W$1,0),2)</f>
        <v>4,245.62</v>
      </c>
      <c r="X84" s="3" t="str">
        <f>FIXED(VLOOKUP($A84,'Full Sample-Townhouse'!$A:$R,X$1,0),2)</f>
        <v>62,434.13</v>
      </c>
      <c r="Y84" s="3"/>
      <c r="Z84" s="3"/>
      <c r="AA84" s="9" t="str">
        <f>FIXED(VLOOKUP($A84,'Full Sample-Single Family'!$A:$R,AA$1,0),2)</f>
        <v>10,908.83</v>
      </c>
      <c r="AB84" s="3" t="str">
        <f>FIXED(VLOOKUP($A84,'Full Sample-Single Family'!$A:$R,AB$1,0),2)</f>
        <v>121,238.60</v>
      </c>
      <c r="AC84" s="3" t="str">
        <f>FIXED(VLOOKUP($A84,'Full Sample-Single Family'!$A:$R,AC$1,0),2)</f>
        <v>-2,010,000.00</v>
      </c>
      <c r="AD84" s="3" t="str">
        <f>FIXED(VLOOKUP($A84,'Full Sample-Single Family'!$A:$R,AD$1,0),2)</f>
        <v>6,900,000.00</v>
      </c>
      <c r="AE84" s="9" t="str">
        <f>FIXED(VLOOKUP($A84,'Full Sample-Single Family'!$A:$R,AE$1,0),2)</f>
        <v>20,455.11</v>
      </c>
      <c r="AF84" s="3" t="str">
        <f>FIXED(VLOOKUP($A84,'Full Sample-Single Family'!$A:$R,AF$1,0),2)</f>
        <v>94,762.67</v>
      </c>
      <c r="AG84" s="3" t="str">
        <f>FIXED(VLOOKUP($A84,'Full Sample-Single Family'!$A:$R,AG$1,0),2)</f>
        <v>-1,850,000.00</v>
      </c>
      <c r="AH84" s="13" t="str">
        <f>FIXED(VLOOKUP($A84,'Full Sample-Single Family'!$A:$R,AH$1,0),2)</f>
        <v>2,950,000.00</v>
      </c>
      <c r="AI84" s="9" t="str">
        <f>FIXED(VLOOKUP($A84,'Full Sample-Single Family'!$A:$R,AI$1,0),2)</f>
        <v>-2,141.30</v>
      </c>
      <c r="AJ84" s="3" t="str">
        <f>FIXED(VLOOKUP($A84,'Full Sample-Single Family'!$A:$R,AJ$1,0),2)</f>
        <v>149,075.40</v>
      </c>
      <c r="AK84" s="3"/>
      <c r="AL84" s="3"/>
    </row>
    <row r="85" spans="1:40" x14ac:dyDescent="0.25">
      <c r="A85" t="s">
        <v>19</v>
      </c>
      <c r="B85" t="s">
        <v>314</v>
      </c>
      <c r="C85" s="9" t="str">
        <f>FIXED(VLOOKUP($A85,'Full Sample-No Sub'!$A:$R,C$1,0)/100000,2)</f>
        <v>9.39</v>
      </c>
      <c r="D85" s="3" t="str">
        <f>FIXED(VLOOKUP($A85,'Full Sample-No Sub'!$A:$R,D$1,0),2)</f>
        <v>877,102.10</v>
      </c>
      <c r="E85" s="3" t="str">
        <f>FIXED(VLOOKUP($A85,'Full Sample-No Sub'!$A:$R,E$1,0),2)</f>
        <v>85,418.51</v>
      </c>
      <c r="F85" s="3" t="str">
        <f>FIXED(VLOOKUP($A85,'Full Sample-No Sub'!$A:$R,F$1,0),2)</f>
        <v>28,197,546.00</v>
      </c>
      <c r="G85" s="9" t="str">
        <f>FIXED(VLOOKUP($A85,'Full Sample-No Sub'!$A:$R,G$1,0),2)</f>
        <v>904,945.40</v>
      </c>
      <c r="H85" s="3" t="str">
        <f>FIXED(VLOOKUP($A85,'Full Sample-No Sub'!$A:$R,H$1,0),2)</f>
        <v>841,178.20</v>
      </c>
      <c r="I85" s="3" t="str">
        <f>FIXED(VLOOKUP($A85,'Full Sample-No Sub'!$A:$R,I$1,0),2)</f>
        <v>99,684.44</v>
      </c>
      <c r="J85" s="13" t="str">
        <f>FIXED(VLOOKUP($A85,'Full Sample-No Sub'!$A:$R,J$1,0),2)</f>
        <v>28,197,546.00</v>
      </c>
      <c r="K85" s="9" t="str">
        <f>FIXED(VLOOKUP($A85,'Full Sample-No Sub'!$A:$R,K$1,0),2)</f>
        <v>986,038.90</v>
      </c>
      <c r="L85" s="3" t="str">
        <f>FIXED(VLOOKUP($A85,'Full Sample-No Sub'!$A:$R,L$1,0),2)</f>
        <v>921,705.30</v>
      </c>
      <c r="M85" s="3" t="str">
        <f>FIXED(VLOOKUP($A85,'Full Sample-No Sub'!$A:$R,M$1,0),2)</f>
        <v>85,418.51</v>
      </c>
      <c r="N85" s="13" t="str">
        <f>FIXED(VLOOKUP($A85,'Full Sample-No Sub'!$A:$R,N$1,0),2)</f>
        <v>22,166,108.00</v>
      </c>
      <c r="O85" s="9" t="str">
        <f>FIXED(VLOOKUP($A85,'Full Sample-Townhouse'!$A:$R,O$1,0),2)</f>
        <v>665,537.00</v>
      </c>
      <c r="P85" s="3" t="str">
        <f>FIXED(VLOOKUP($A85,'Full Sample-Townhouse'!$A:$R,P$1,0),2)</f>
        <v>598,576.90</v>
      </c>
      <c r="Q85" s="3" t="str">
        <f>FIXED(VLOOKUP($A85,'Full Sample-Townhouse'!$A:$R,Q$1,0),2)</f>
        <v>85,418.51</v>
      </c>
      <c r="R85" s="3" t="str">
        <f>FIXED(VLOOKUP($A85,'Full Sample-Townhouse'!$A:$R,R$1,0),2)</f>
        <v>28,197,546.00</v>
      </c>
      <c r="S85" s="9" t="str">
        <f>FIXED(VLOOKUP($A85,'Full Sample-Townhouse'!$A:$R,S$1,0),2)</f>
        <v>665,932.40</v>
      </c>
      <c r="T85" s="3" t="str">
        <f>FIXED(VLOOKUP($A85,'Full Sample-Townhouse'!$A:$R,T$1,0),2)</f>
        <v>611,997.90</v>
      </c>
      <c r="U85" s="3" t="str">
        <f>FIXED(VLOOKUP($A85,'Full Sample-Townhouse'!$A:$R,U$1,0),2)</f>
        <v>99,684.44</v>
      </c>
      <c r="V85" s="13" t="str">
        <f>FIXED(VLOOKUP($A85,'Full Sample-Townhouse'!$A:$R,V$1,0),2)</f>
        <v>28,197,546.00</v>
      </c>
      <c r="W85" s="9" t="str">
        <f>FIXED(VLOOKUP($A85,'Full Sample-Townhouse'!$A:$R,W$1,0),2)</f>
        <v>665,001.10</v>
      </c>
      <c r="X85" s="3" t="str">
        <f>FIXED(VLOOKUP($A85,'Full Sample-Townhouse'!$A:$R,X$1,0),2)</f>
        <v>579,918.50</v>
      </c>
      <c r="Y85" s="3" t="str">
        <f>FIXED(VLOOKUP($A85,'Full Sample-Townhouse'!$A:$R,Y$1,0),2)</f>
        <v>85,418.51</v>
      </c>
      <c r="Z85" s="3" t="str">
        <f>FIXED(VLOOKUP($A85,'Full Sample-Townhouse'!$A:$R,Z$1,0),2)</f>
        <v>17,256,276.00</v>
      </c>
      <c r="AA85" s="9" t="str">
        <f>FIXED(VLOOKUP($A85,'Full Sample-Single Family'!$A:$R,AA$1,0),2)</f>
        <v>1,266,274.00</v>
      </c>
      <c r="AB85" s="3" t="str">
        <f>FIXED(VLOOKUP($A85,'Full Sample-Single Family'!$A:$R,AB$1,0),2)</f>
        <v>1,031,415.00</v>
      </c>
      <c r="AC85" s="3" t="str">
        <f>FIXED(VLOOKUP($A85,'Full Sample-Single Family'!$A:$R,AC$1,0),2)</f>
        <v>168,375.10</v>
      </c>
      <c r="AD85" s="3" t="str">
        <f>FIXED(VLOOKUP($A85,'Full Sample-Single Family'!$A:$R,AD$1,0),2)</f>
        <v>23,293,838.00</v>
      </c>
      <c r="AE85" s="9" t="str">
        <f>FIXED(VLOOKUP($A85,'Full Sample-Single Family'!$A:$R,AE$1,0),2)</f>
        <v>1,189,371.00</v>
      </c>
      <c r="AF85" s="3" t="str">
        <f>FIXED(VLOOKUP($A85,'Full Sample-Single Family'!$A:$R,AF$1,0),2)</f>
        <v>977,274.50</v>
      </c>
      <c r="AG85" s="3" t="str">
        <f>FIXED(VLOOKUP($A85,'Full Sample-Single Family'!$A:$R,AG$1,0),2)</f>
        <v>168,375.10</v>
      </c>
      <c r="AH85" s="13" t="str">
        <f>FIXED(VLOOKUP($A85,'Full Sample-Single Family'!$A:$R,AH$1,0),2)</f>
        <v>23,293,838.00</v>
      </c>
      <c r="AI85" s="9" t="str">
        <f>FIXED(VLOOKUP($A85,'Full Sample-Single Family'!$A:$R,AI$1,0),2)</f>
        <v>1,371,403.00</v>
      </c>
      <c r="AJ85" s="3" t="str">
        <f>FIXED(VLOOKUP($A85,'Full Sample-Single Family'!$A:$R,AJ$1,0),2)</f>
        <v>1,092,456.00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  <c r="AN85" s="9" t="s">
        <v>302</v>
      </c>
    </row>
    <row r="86" spans="1:40" x14ac:dyDescent="0.25">
      <c r="A86" t="s">
        <v>79</v>
      </c>
      <c r="B86" s="4" t="s">
        <v>155</v>
      </c>
      <c r="C86" s="9" t="str">
        <f>FIXED(VLOOKUP($A86,'Full Sample-No Sub'!$A:$R,C$1,0),2)</f>
        <v>0.12</v>
      </c>
      <c r="D86" s="3" t="str">
        <f>FIXED(VLOOKUP($A86,'Full Sample-No Sub'!$A:$R,D$1,0),2)</f>
        <v>0.33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9" t="str">
        <f>FIXED(VLOOKUP($A86,'Full Sample-No Sub'!$A:$R,G$1,0),2)</f>
        <v>0.12</v>
      </c>
      <c r="H86" s="3" t="str">
        <f>FIXED(VLOOKUP($A86,'Full Sample-No Sub'!$A:$R,H$1,0),2)</f>
        <v>0.33</v>
      </c>
      <c r="I86" s="3" t="str">
        <f>FIXED(VLOOKUP($A86,'Full Sample-No Sub'!$A:$R,I$1,0),2)</f>
        <v>0.00</v>
      </c>
      <c r="J86" s="13" t="str">
        <f>FIXED(VLOOKUP($A86,'Full Sample-No Sub'!$A:$R,J$1,0),2)</f>
        <v>1.00</v>
      </c>
      <c r="K86" s="9" t="str">
        <f>FIXED(VLOOKUP($A86,'Full Sample-No Sub'!$A:$R,K$1,0),2)</f>
        <v>0.12</v>
      </c>
      <c r="L86" s="3" t="str">
        <f>FIXED(VLOOKUP($A86,'Full Sample-No Sub'!$A:$R,L$1,0),2)</f>
        <v>0.33</v>
      </c>
      <c r="M86" s="3" t="str">
        <f>FIXED(VLOOKUP($A86,'Full Sample-No Sub'!$A:$R,M$1,0),2)</f>
        <v>0.00</v>
      </c>
      <c r="N86" s="13" t="str">
        <f>FIXED(VLOOKUP($A86,'Full Sample-No Sub'!$A:$R,N$1,0),2)</f>
        <v>1.00</v>
      </c>
      <c r="O86" s="9" t="str">
        <f>FIXED(VLOOKUP($A86,'Full Sample-Townhouse'!$A:$R,O$1,0),2)</f>
        <v>0.20</v>
      </c>
      <c r="P86" s="3" t="str">
        <f>FIXED(VLOOKUP($A86,'Full Sample-Townhouse'!$A:$R,P$1,0),2)</f>
        <v>0.40</v>
      </c>
      <c r="Q86" s="3" t="str">
        <f>FIXED(VLOOKUP($A86,'Full Sample-Townhouse'!$A:$R,Q$1,0),2)</f>
        <v>0.00</v>
      </c>
      <c r="R86" s="3" t="str">
        <f>FIXED(VLOOKUP($A86,'Full Sample-Townhouse'!$A:$R,R$1,0),2)</f>
        <v>1.00</v>
      </c>
      <c r="S86" s="9" t="str">
        <f>FIXED(VLOOKUP($A86,'Full Sample-Townhouse'!$A:$R,S$1,0),2)</f>
        <v>0.20</v>
      </c>
      <c r="T86" s="3" t="str">
        <f>FIXED(VLOOKUP($A86,'Full Sample-Townhouse'!$A:$R,T$1,0),2)</f>
        <v>0.40</v>
      </c>
      <c r="U86" s="3" t="str">
        <f>FIXED(VLOOKUP($A86,'Full Sample-Townhouse'!$A:$R,U$1,0),2)</f>
        <v>0.00</v>
      </c>
      <c r="V86" s="13" t="str">
        <f>FIXED(VLOOKUP($A86,'Full Sample-Townhouse'!$A:$R,V$1,0),2)</f>
        <v>1.00</v>
      </c>
      <c r="W86" s="9" t="str">
        <f>FIXED(VLOOKUP($A86,'Full Sample-Townhouse'!$A:$R,W$1,0),2)</f>
        <v>0.20</v>
      </c>
      <c r="X86" s="3" t="str">
        <f>FIXED(VLOOKUP($A86,'Full Sample-Townhouse'!$A:$R,X$1,0),2)</f>
        <v>0.40</v>
      </c>
      <c r="Y86" s="3" t="str">
        <f>FIXED(VLOOKUP($A86,'Full Sample-Townhouse'!$A:$R,Y$1,0),2)</f>
        <v>0.00</v>
      </c>
      <c r="Z86" s="3" t="str">
        <f>FIXED(VLOOKUP($A86,'Full Sample-Townhouse'!$A:$R,Z$1,0),2)</f>
        <v>1.00</v>
      </c>
      <c r="AA86" s="9" t="str">
        <f>FIXED(VLOOKUP($A86,'Full Sample-Single Family'!$A:$R,AA$1,0),2)</f>
        <v>0.03</v>
      </c>
      <c r="AB86" s="3" t="str">
        <f>FIXED(VLOOKUP($A86,'Full Sample-Single Family'!$A:$R,AB$1,0),2)</f>
        <v>0.18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1.00</v>
      </c>
      <c r="AE86" s="9" t="str">
        <f>FIXED(VLOOKUP($A86,'Full Sample-Single Family'!$A:$R,AE$1,0),2)</f>
        <v>0.03</v>
      </c>
      <c r="AF86" s="3" t="str">
        <f>FIXED(VLOOKUP($A86,'Full Sample-Single Family'!$A:$R,AF$1,0),2)</f>
        <v>0.17</v>
      </c>
      <c r="AG86" s="3" t="str">
        <f>FIXED(VLOOKUP($A86,'Full Sample-Single Family'!$A:$R,AG$1,0),2)</f>
        <v>0.00</v>
      </c>
      <c r="AH86" s="13" t="str">
        <f>FIXED(VLOOKUP($A86,'Full Sample-Single Family'!$A:$R,AH$1,0),2)</f>
        <v>1.00</v>
      </c>
      <c r="AI86" s="9" t="str">
        <f>FIXED(VLOOKUP($A86,'Full Sample-Single Family'!$A:$R,AI$1,0),2)</f>
        <v>0.04</v>
      </c>
      <c r="AJ86" s="3" t="str">
        <f>FIXED(VLOOKUP($A86,'Full Sample-Single Family'!$A:$R,AJ$1,0),2)</f>
        <v>0.19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80</v>
      </c>
      <c r="B87" s="4" t="s">
        <v>156</v>
      </c>
      <c r="C87" s="9" t="str">
        <f>FIXED(VLOOKUP($A87,'Full Sample-No Sub'!$A:$R,C$1,0),2)</f>
        <v>0.01</v>
      </c>
      <c r="D87" s="3" t="str">
        <f>FIXED(VLOOKUP($A87,'Full Sample-No Sub'!$A:$R,D$1,0),2)</f>
        <v>0.08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9" t="str">
        <f>FIXED(VLOOKUP($A87,'Full Sample-No Sub'!$A:$R,G$1,0),2)</f>
        <v>0.01</v>
      </c>
      <c r="H87" s="3" t="str">
        <f>FIXED(VLOOKUP($A87,'Full Sample-No Sub'!$A:$R,H$1,0),2)</f>
        <v>0.07</v>
      </c>
      <c r="I87" s="3" t="str">
        <f>FIXED(VLOOKUP($A87,'Full Sample-No Sub'!$A:$R,I$1,0),2)</f>
        <v>0.00</v>
      </c>
      <c r="J87" s="13" t="str">
        <f>FIXED(VLOOKUP($A87,'Full Sample-No Sub'!$A:$R,J$1,0),2)</f>
        <v>1.00</v>
      </c>
      <c r="K87" s="9" t="str">
        <f>FIXED(VLOOKUP($A87,'Full Sample-No Sub'!$A:$R,K$1,0),2)</f>
        <v>0.01</v>
      </c>
      <c r="L87" s="3" t="str">
        <f>FIXED(VLOOKUP($A87,'Full Sample-No Sub'!$A:$R,L$1,0),2)</f>
        <v>0.08</v>
      </c>
      <c r="M87" s="3" t="str">
        <f>FIXED(VLOOKUP($A87,'Full Sample-No Sub'!$A:$R,M$1,0),2)</f>
        <v>0.00</v>
      </c>
      <c r="N87" s="13" t="str">
        <f>FIXED(VLOOKUP($A87,'Full Sample-No Sub'!$A:$R,N$1,0),2)</f>
        <v>1.00</v>
      </c>
      <c r="O87" s="9" t="str">
        <f>FIXED(VLOOKUP($A87,'Full Sample-Townhouse'!$A:$R,O$1,0),2)</f>
        <v>0.01</v>
      </c>
      <c r="P87" s="3" t="str">
        <f>FIXED(VLOOKUP($A87,'Full Sample-Townhouse'!$A:$R,P$1,0),2)</f>
        <v>0.10</v>
      </c>
      <c r="Q87" s="3" t="str">
        <f>FIXED(VLOOKUP($A87,'Full Sample-Townhouse'!$A:$R,Q$1,0),2)</f>
        <v>0.00</v>
      </c>
      <c r="R87" s="3" t="str">
        <f>FIXED(VLOOKUP($A87,'Full Sample-Townhouse'!$A:$R,R$1,0),2)</f>
        <v>1.00</v>
      </c>
      <c r="S87" s="9" t="str">
        <f>FIXED(VLOOKUP($A87,'Full Sample-Townhouse'!$A:$R,S$1,0),2)</f>
        <v>0.01</v>
      </c>
      <c r="T87" s="3" t="str">
        <f>FIXED(VLOOKUP($A87,'Full Sample-Townhouse'!$A:$R,T$1,0),2)</f>
        <v>0.10</v>
      </c>
      <c r="U87" s="3" t="str">
        <f>FIXED(VLOOKUP($A87,'Full Sample-Townhouse'!$A:$R,U$1,0),2)</f>
        <v>0.00</v>
      </c>
      <c r="V87" s="13" t="str">
        <f>FIXED(VLOOKUP($A87,'Full Sample-Townhouse'!$A:$R,V$1,0),2)</f>
        <v>1.00</v>
      </c>
      <c r="W87" s="9" t="str">
        <f>FIXED(VLOOKUP($A87,'Full Sample-Townhouse'!$A:$R,W$1,0),2)</f>
        <v>0.01</v>
      </c>
      <c r="X87" s="3" t="str">
        <f>FIXED(VLOOKUP($A87,'Full Sample-Townhouse'!$A:$R,X$1,0),2)</f>
        <v>0.11</v>
      </c>
      <c r="Y87" s="3" t="str">
        <f>FIXED(VLOOKUP($A87,'Full Sample-Townhouse'!$A:$R,Y$1,0),2)</f>
        <v>0.00</v>
      </c>
      <c r="Z87" s="3" t="str">
        <f>FIXED(VLOOKUP($A87,'Full Sample-Townhouse'!$A:$R,Z$1,0),2)</f>
        <v>1.00</v>
      </c>
      <c r="AA87" s="9" t="str">
        <f>FIXED(VLOOKUP($A87,'Full Sample-Single Family'!$A:$R,AA$1,0),2)</f>
        <v>0.00</v>
      </c>
      <c r="AB87" s="3" t="str">
        <f>FIXED(VLOOKUP($A87,'Full Sample-Single Family'!$A:$R,AB$1,0),2)</f>
        <v>0.02</v>
      </c>
      <c r="AC87" s="3" t="str">
        <f>FIXED(VLOOKUP($A87,'Full Sample-Single Family'!$A:$R,AC$1,0),2)</f>
        <v>0.00</v>
      </c>
      <c r="AD87" s="3" t="str">
        <f>FIXED(VLOOKUP($A87,'Full Sample-Single Family'!$A:$R,AD$1,0),2)</f>
        <v>1.00</v>
      </c>
      <c r="AE87" s="9" t="str">
        <f>FIXED(VLOOKUP($A87,'Full Sample-Single Family'!$A:$R,AE$1,0),2)</f>
        <v>0.00</v>
      </c>
      <c r="AF87" s="3" t="str">
        <f>FIXED(VLOOKUP($A87,'Full Sample-Single Family'!$A:$R,AF$1,0),2)</f>
        <v>0.02</v>
      </c>
      <c r="AG87" s="3" t="str">
        <f>FIXED(VLOOKUP($A87,'Full Sample-Single Family'!$A:$R,AG$1,0),2)</f>
        <v>0.00</v>
      </c>
      <c r="AH87" s="13" t="str">
        <f>FIXED(VLOOKUP($A87,'Full Sample-Single Family'!$A:$R,AH$1,0),2)</f>
        <v>1.00</v>
      </c>
      <c r="AI87" s="9" t="str">
        <f>FIXED(VLOOKUP($A87,'Full Sample-Single Family'!$A:$R,AI$1,0),2)</f>
        <v>0.00</v>
      </c>
      <c r="AJ87" s="3" t="str">
        <f>FIXED(VLOOKUP($A87,'Full Sample-Single Family'!$A:$R,AJ$1,0),2)</f>
        <v>0.01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81</v>
      </c>
      <c r="B88" s="4" t="s">
        <v>157</v>
      </c>
      <c r="C88" s="9" t="str">
        <f>FIXED(VLOOKUP($A88,'Full Sample-No Sub'!$A:$R,C$1,0),2)</f>
        <v>0.00</v>
      </c>
      <c r="D88" s="3" t="str">
        <f>FIXED(VLOOKUP($A88,'Full Sample-No Sub'!$A:$R,D$1,0),2)</f>
        <v>0.04</v>
      </c>
      <c r="E88" s="3" t="str">
        <f>FIXED(VLOOKUP($A88,'Full Sample-No Sub'!$A:$R,E$1,0),2)</f>
        <v>0.00</v>
      </c>
      <c r="F88" s="3" t="str">
        <f>FIXED(VLOOKUP($A88,'Full Sample-No Sub'!$A:$R,F$1,0),2)</f>
        <v>1.00</v>
      </c>
      <c r="G88" s="9" t="str">
        <f>FIXED(VLOOKUP($A88,'Full Sample-No Sub'!$A:$R,G$1,0),2)</f>
        <v>0.00</v>
      </c>
      <c r="H88" s="3" t="str">
        <f>FIXED(VLOOKUP($A88,'Full Sample-No Sub'!$A:$R,H$1,0),2)</f>
        <v>0.04</v>
      </c>
      <c r="I88" s="3" t="str">
        <f>FIXED(VLOOKUP($A88,'Full Sample-No Sub'!$A:$R,I$1,0),2)</f>
        <v>0.00</v>
      </c>
      <c r="J88" s="13" t="str">
        <f>FIXED(VLOOKUP($A88,'Full Sample-No Sub'!$A:$R,J$1,0),2)</f>
        <v>1.00</v>
      </c>
      <c r="K88" s="9" t="str">
        <f>FIXED(VLOOKUP($A88,'Full Sample-No Sub'!$A:$R,K$1,0),2)</f>
        <v>0.00</v>
      </c>
      <c r="L88" s="3" t="str">
        <f>FIXED(VLOOKUP($A88,'Full Sample-No Sub'!$A:$R,L$1,0),2)</f>
        <v>0.04</v>
      </c>
      <c r="M88" s="3" t="str">
        <f>FIXED(VLOOKUP($A88,'Full Sample-No Sub'!$A:$R,M$1,0),2)</f>
        <v>0.00</v>
      </c>
      <c r="N88" s="13" t="str">
        <f>FIXED(VLOOKUP($A88,'Full Sample-No Sub'!$A:$R,N$1,0),2)</f>
        <v>1.00</v>
      </c>
      <c r="O88" s="9" t="str">
        <f>FIXED(VLOOKUP($A88,'Full Sample-Townhouse'!$A:$R,O$1,0),2)</f>
        <v>0.00</v>
      </c>
      <c r="P88" s="3" t="str">
        <f>FIXED(VLOOKUP($A88,'Full Sample-Townhouse'!$A:$R,P$1,0),2)</f>
        <v>0.02</v>
      </c>
      <c r="Q88" s="3" t="str">
        <f>FIXED(VLOOKUP($A88,'Full Sample-Townhouse'!$A:$R,Q$1,0),2)</f>
        <v>0.00</v>
      </c>
      <c r="R88" s="3" t="str">
        <f>FIXED(VLOOKUP($A88,'Full Sample-Townhouse'!$A:$R,R$1,0),2)</f>
        <v>1.00</v>
      </c>
      <c r="S88" s="9" t="str">
        <f>FIXED(VLOOKUP($A88,'Full Sample-Townhouse'!$A:$R,S$1,0),2)</f>
        <v>0.00</v>
      </c>
      <c r="T88" s="3" t="str">
        <f>FIXED(VLOOKUP($A88,'Full Sample-Townhouse'!$A:$R,T$1,0),2)</f>
        <v>0.03</v>
      </c>
      <c r="U88" s="3" t="str">
        <f>FIXED(VLOOKUP($A88,'Full Sample-Townhouse'!$A:$R,U$1,0),2)</f>
        <v>0.00</v>
      </c>
      <c r="V88" s="13" t="str">
        <f>FIXED(VLOOKUP($A88,'Full Sample-Townhouse'!$A:$R,V$1,0),2)</f>
        <v>1.00</v>
      </c>
      <c r="W88" s="9" t="str">
        <f>FIXED(VLOOKUP($A88,'Full Sample-Townhouse'!$A:$R,W$1,0),2)</f>
        <v>0.00</v>
      </c>
      <c r="X88" s="3" t="str">
        <f>FIXED(VLOOKUP($A88,'Full Sample-Townhouse'!$A:$R,X$1,0),2)</f>
        <v>0.02</v>
      </c>
      <c r="Y88" s="3" t="str">
        <f>FIXED(VLOOKUP($A88,'Full Sample-Townhouse'!$A:$R,Y$1,0),2)</f>
        <v>0.00</v>
      </c>
      <c r="Z88" s="3" t="str">
        <f>FIXED(VLOOKUP($A88,'Full Sample-Townhouse'!$A:$R,Z$1,0),2)</f>
        <v>1.00</v>
      </c>
      <c r="AA88" s="9" t="str">
        <f>FIXED(VLOOKUP($A88,'Full Sample-Single Family'!$A:$R,AA$1,0),2)</f>
        <v>0.00</v>
      </c>
      <c r="AB88" s="3" t="str">
        <f>FIXED(VLOOKUP($A88,'Full Sample-Single Family'!$A:$R,AB$1,0),2)</f>
        <v>0.06</v>
      </c>
      <c r="AC88" s="3" t="str">
        <f>FIXED(VLOOKUP($A88,'Full Sample-Single Family'!$A:$R,AC$1,0),2)</f>
        <v>0.00</v>
      </c>
      <c r="AD88" s="3" t="str">
        <f>FIXED(VLOOKUP($A88,'Full Sample-Single Family'!$A:$R,AD$1,0),2)</f>
        <v>1.00</v>
      </c>
      <c r="AE88" s="9" t="str">
        <f>FIXED(VLOOKUP($A88,'Full Sample-Single Family'!$A:$R,AE$1,0),2)</f>
        <v>0.00</v>
      </c>
      <c r="AF88" s="3" t="str">
        <f>FIXED(VLOOKUP($A88,'Full Sample-Single Family'!$A:$R,AF$1,0),2)</f>
        <v>0.06</v>
      </c>
      <c r="AG88" s="3" t="str">
        <f>FIXED(VLOOKUP($A88,'Full Sample-Single Family'!$A:$R,AG$1,0),2)</f>
        <v>0.00</v>
      </c>
      <c r="AH88" s="13" t="str">
        <f>FIXED(VLOOKUP($A88,'Full Sample-Single Family'!$A:$R,AH$1,0),2)</f>
        <v>1.00</v>
      </c>
      <c r="AI88" s="9" t="str">
        <f>FIXED(VLOOKUP($A88,'Full Sample-Single Family'!$A:$R,AI$1,0),2)</f>
        <v>0.00</v>
      </c>
      <c r="AJ88" s="3" t="str">
        <f>FIXED(VLOOKUP($A88,'Full Sample-Single Family'!$A:$R,AJ$1,0),2)</f>
        <v>0.06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82</v>
      </c>
      <c r="B89" s="4" t="s">
        <v>158</v>
      </c>
      <c r="C89" s="9" t="str">
        <f>FIXED(VLOOKUP($A89,'Full Sample-No Sub'!$A:$R,C$1,0),2)</f>
        <v>0.04</v>
      </c>
      <c r="D89" s="3" t="str">
        <f>FIXED(VLOOKUP($A89,'Full Sample-No Sub'!$A:$R,D$1,0),2)</f>
        <v>0.20</v>
      </c>
      <c r="E89" s="3" t="str">
        <f>FIXED(VLOOKUP($A89,'Full Sample-No Sub'!$A:$R,E$1,0),2)</f>
        <v>0.00</v>
      </c>
      <c r="F89" s="3" t="str">
        <f>FIXED(VLOOKUP($A89,'Full Sample-No Sub'!$A:$R,F$1,0),2)</f>
        <v>1.00</v>
      </c>
      <c r="G89" s="9" t="str">
        <f>FIXED(VLOOKUP($A89,'Full Sample-No Sub'!$A:$R,G$1,0),2)</f>
        <v>0.04</v>
      </c>
      <c r="H89" s="3" t="str">
        <f>FIXED(VLOOKUP($A89,'Full Sample-No Sub'!$A:$R,H$1,0),2)</f>
        <v>0.20</v>
      </c>
      <c r="I89" s="3" t="str">
        <f>FIXED(VLOOKUP($A89,'Full Sample-No Sub'!$A:$R,I$1,0),2)</f>
        <v>0.00</v>
      </c>
      <c r="J89" s="13" t="str">
        <f>FIXED(VLOOKUP($A89,'Full Sample-No Sub'!$A:$R,J$1,0),2)</f>
        <v>1.00</v>
      </c>
      <c r="K89" s="9" t="str">
        <f>FIXED(VLOOKUP($A89,'Full Sample-No Sub'!$A:$R,K$1,0),2)</f>
        <v>0.04</v>
      </c>
      <c r="L89" s="3" t="str">
        <f>FIXED(VLOOKUP($A89,'Full Sample-No Sub'!$A:$R,L$1,0),2)</f>
        <v>0.20</v>
      </c>
      <c r="M89" s="3" t="str">
        <f>FIXED(VLOOKUP($A89,'Full Sample-No Sub'!$A:$R,M$1,0),2)</f>
        <v>0.00</v>
      </c>
      <c r="N89" s="13" t="str">
        <f>FIXED(VLOOKUP($A89,'Full Sample-No Sub'!$A:$R,N$1,0),2)</f>
        <v>1.00</v>
      </c>
      <c r="O89" s="9" t="str">
        <f>FIXED(VLOOKUP($A89,'Full Sample-Townhouse'!$A:$R,O$1,0),2)</f>
        <v>0.07</v>
      </c>
      <c r="P89" s="3" t="str">
        <f>FIXED(VLOOKUP($A89,'Full Sample-Townhouse'!$A:$R,P$1,0),2)</f>
        <v>0.26</v>
      </c>
      <c r="Q89" s="3" t="str">
        <f>FIXED(VLOOKUP($A89,'Full Sample-Townhouse'!$A:$R,Q$1,0),2)</f>
        <v>0.00</v>
      </c>
      <c r="R89" s="3" t="str">
        <f>FIXED(VLOOKUP($A89,'Full Sample-Townhouse'!$A:$R,R$1,0),2)</f>
        <v>1.00</v>
      </c>
      <c r="S89" s="9" t="str">
        <f>FIXED(VLOOKUP($A89,'Full Sample-Townhouse'!$A:$R,S$1,0),2)</f>
        <v>0.07</v>
      </c>
      <c r="T89" s="3" t="str">
        <f>FIXED(VLOOKUP($A89,'Full Sample-Townhouse'!$A:$R,T$1,0),2)</f>
        <v>0.26</v>
      </c>
      <c r="U89" s="3" t="str">
        <f>FIXED(VLOOKUP($A89,'Full Sample-Townhouse'!$A:$R,U$1,0),2)</f>
        <v>0.00</v>
      </c>
      <c r="V89" s="13" t="str">
        <f>FIXED(VLOOKUP($A89,'Full Sample-Townhouse'!$A:$R,V$1,0),2)</f>
        <v>1.00</v>
      </c>
      <c r="W89" s="9" t="str">
        <f>FIXED(VLOOKUP($A89,'Full Sample-Townhouse'!$A:$R,W$1,0),2)</f>
        <v>0.08</v>
      </c>
      <c r="X89" s="3" t="str">
        <f>FIXED(VLOOKUP($A89,'Full Sample-Townhouse'!$A:$R,X$1,0),2)</f>
        <v>0.26</v>
      </c>
      <c r="Y89" s="3" t="str">
        <f>FIXED(VLOOKUP($A89,'Full Sample-Townhouse'!$A:$R,Y$1,0),2)</f>
        <v>0.00</v>
      </c>
      <c r="Z89" s="3" t="str">
        <f>FIXED(VLOOKUP($A89,'Full Sample-Townhouse'!$A:$R,Z$1,0),2)</f>
        <v>1.00</v>
      </c>
      <c r="AA89" s="9" t="str">
        <f>FIXED(VLOOKUP($A89,'Full Sample-Single Family'!$A:$R,AA$1,0),2)</f>
        <v>0.00</v>
      </c>
      <c r="AB89" s="3" t="str">
        <f>FIXED(VLOOKUP($A89,'Full Sample-Single Family'!$A:$R,AB$1,0),2)</f>
        <v>0.06</v>
      </c>
      <c r="AC89" s="3" t="str">
        <f>FIXED(VLOOKUP($A89,'Full Sample-Single Family'!$A:$R,AC$1,0),2)</f>
        <v>0.00</v>
      </c>
      <c r="AD89" s="3" t="str">
        <f>FIXED(VLOOKUP($A89,'Full Sample-Single Family'!$A:$R,AD$1,0),2)</f>
        <v>1.00</v>
      </c>
      <c r="AE89" s="9" t="str">
        <f>FIXED(VLOOKUP($A89,'Full Sample-Single Family'!$A:$R,AE$1,0),2)</f>
        <v>0.00</v>
      </c>
      <c r="AF89" s="3" t="str">
        <f>FIXED(VLOOKUP($A89,'Full Sample-Single Family'!$A:$R,AF$1,0),2)</f>
        <v>0.06</v>
      </c>
      <c r="AG89" s="3" t="str">
        <f>FIXED(VLOOKUP($A89,'Full Sample-Single Family'!$A:$R,AG$1,0),2)</f>
        <v>0.00</v>
      </c>
      <c r="AH89" s="13" t="str">
        <f>FIXED(VLOOKUP($A89,'Full Sample-Single Family'!$A:$R,AH$1,0),2)</f>
        <v>1.00</v>
      </c>
      <c r="AI89" s="9" t="str">
        <f>FIXED(VLOOKUP($A89,'Full Sample-Single Family'!$A:$R,AI$1,0),2)</f>
        <v>0.00</v>
      </c>
      <c r="AJ89" s="3" t="str">
        <f>FIXED(VLOOKUP($A89,'Full Sample-Single Family'!$A:$R,AJ$1,0),2)</f>
        <v>0.06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83</v>
      </c>
      <c r="B90" s="4" t="s">
        <v>159</v>
      </c>
      <c r="C90" s="9" t="str">
        <f>FIXED(VLOOKUP($A90,'Full Sample-No Sub'!$A:$R,C$1,0),2)</f>
        <v>0.42</v>
      </c>
      <c r="D90" s="3" t="str">
        <f>FIXED(VLOOKUP($A90,'Full Sample-No Sub'!$A:$R,D$1,0),2)</f>
        <v>0.49</v>
      </c>
      <c r="E90" s="3" t="str">
        <f>FIXED(VLOOKUP($A90,'Full Sample-No Sub'!$A:$R,E$1,0),2)</f>
        <v>0.00</v>
      </c>
      <c r="F90" s="3" t="str">
        <f>FIXED(VLOOKUP($A90,'Full Sample-No Sub'!$A:$R,F$1,0),2)</f>
        <v>1.00</v>
      </c>
      <c r="G90" s="9" t="str">
        <f>FIXED(VLOOKUP($A90,'Full Sample-No Sub'!$A:$R,G$1,0),2)</f>
        <v>0.43</v>
      </c>
      <c r="H90" s="3" t="str">
        <f>FIXED(VLOOKUP($A90,'Full Sample-No Sub'!$A:$R,H$1,0),2)</f>
        <v>0.50</v>
      </c>
      <c r="I90" s="3" t="str">
        <f>FIXED(VLOOKUP($A90,'Full Sample-No Sub'!$A:$R,I$1,0),2)</f>
        <v>0.00</v>
      </c>
      <c r="J90" s="13" t="str">
        <f>FIXED(VLOOKUP($A90,'Full Sample-No Sub'!$A:$R,J$1,0),2)</f>
        <v>1.00</v>
      </c>
      <c r="K90" s="9" t="str">
        <f>FIXED(VLOOKUP($A90,'Full Sample-No Sub'!$A:$R,K$1,0),2)</f>
        <v>0.41</v>
      </c>
      <c r="L90" s="3" t="str">
        <f>FIXED(VLOOKUP($A90,'Full Sample-No Sub'!$A:$R,L$1,0),2)</f>
        <v>0.49</v>
      </c>
      <c r="M90" s="3" t="str">
        <f>FIXED(VLOOKUP($A90,'Full Sample-No Sub'!$A:$R,M$1,0),2)</f>
        <v>0.00</v>
      </c>
      <c r="N90" s="13" t="str">
        <f>FIXED(VLOOKUP($A90,'Full Sample-No Sub'!$A:$R,N$1,0),2)</f>
        <v>1.00</v>
      </c>
      <c r="O90" s="9" t="str">
        <f>FIXED(VLOOKUP($A90,'Full Sample-Townhouse'!$A:$R,O$1,0),2)</f>
        <v>0.31</v>
      </c>
      <c r="P90" s="3" t="str">
        <f>FIXED(VLOOKUP($A90,'Full Sample-Townhouse'!$A:$R,P$1,0),2)</f>
        <v>0.46</v>
      </c>
      <c r="Q90" s="3" t="str">
        <f>FIXED(VLOOKUP($A90,'Full Sample-Townhouse'!$A:$R,Q$1,0),2)</f>
        <v>0.00</v>
      </c>
      <c r="R90" s="3" t="str">
        <f>FIXED(VLOOKUP($A90,'Full Sample-Townhouse'!$A:$R,R$1,0),2)</f>
        <v>1.00</v>
      </c>
      <c r="S90" s="9" t="str">
        <f>FIXED(VLOOKUP($A90,'Full Sample-Townhouse'!$A:$R,S$1,0),2)</f>
        <v>0.31</v>
      </c>
      <c r="T90" s="3" t="str">
        <f>FIXED(VLOOKUP($A90,'Full Sample-Townhouse'!$A:$R,T$1,0),2)</f>
        <v>0.46</v>
      </c>
      <c r="U90" s="3" t="str">
        <f>FIXED(VLOOKUP($A90,'Full Sample-Townhouse'!$A:$R,U$1,0),2)</f>
        <v>0.00</v>
      </c>
      <c r="V90" s="13" t="str">
        <f>FIXED(VLOOKUP($A90,'Full Sample-Townhouse'!$A:$R,V$1,0),2)</f>
        <v>1.00</v>
      </c>
      <c r="W90" s="9" t="str">
        <f>FIXED(VLOOKUP($A90,'Full Sample-Townhouse'!$A:$R,W$1,0),2)</f>
        <v>0.31</v>
      </c>
      <c r="X90" s="3" t="str">
        <f>FIXED(VLOOKUP($A90,'Full Sample-Townhouse'!$A:$R,X$1,0),2)</f>
        <v>0.46</v>
      </c>
      <c r="Y90" s="3" t="str">
        <f>FIXED(VLOOKUP($A90,'Full Sample-Townhouse'!$A:$R,Y$1,0),2)</f>
        <v>0.00</v>
      </c>
      <c r="Z90" s="3" t="str">
        <f>FIXED(VLOOKUP($A90,'Full Sample-Townhouse'!$A:$R,Z$1,0),2)</f>
        <v>1.00</v>
      </c>
      <c r="AA90" s="9" t="str">
        <f>FIXED(VLOOKUP($A90,'Full Sample-Single Family'!$A:$R,AA$1,0),2)</f>
        <v>0.55</v>
      </c>
      <c r="AB90" s="3" t="str">
        <f>FIXED(VLOOKUP($A90,'Full Sample-Single Family'!$A:$R,AB$1,0),2)</f>
        <v>0.50</v>
      </c>
      <c r="AC90" s="3" t="str">
        <f>FIXED(VLOOKUP($A90,'Full Sample-Single Family'!$A:$R,AC$1,0),2)</f>
        <v>0.00</v>
      </c>
      <c r="AD90" s="3" t="str">
        <f>FIXED(VLOOKUP($A90,'Full Sample-Single Family'!$A:$R,AD$1,0),2)</f>
        <v>1.00</v>
      </c>
      <c r="AE90" s="9" t="str">
        <f>FIXED(VLOOKUP($A90,'Full Sample-Single Family'!$A:$R,AE$1,0),2)</f>
        <v>0.56</v>
      </c>
      <c r="AF90" s="3" t="str">
        <f>FIXED(VLOOKUP($A90,'Full Sample-Single Family'!$A:$R,AF$1,0),2)</f>
        <v>0.50</v>
      </c>
      <c r="AG90" s="3" t="str">
        <f>FIXED(VLOOKUP($A90,'Full Sample-Single Family'!$A:$R,AG$1,0),2)</f>
        <v>0.00</v>
      </c>
      <c r="AH90" s="13" t="str">
        <f>FIXED(VLOOKUP($A90,'Full Sample-Single Family'!$A:$R,AH$1,0),2)</f>
        <v>1.00</v>
      </c>
      <c r="AI90" s="9" t="str">
        <f>FIXED(VLOOKUP($A90,'Full Sample-Single Family'!$A:$R,AI$1,0),2)</f>
        <v>0.53</v>
      </c>
      <c r="AJ90" s="3" t="str">
        <f>FIXED(VLOOKUP($A90,'Full Sample-Single Family'!$A:$R,AJ$1,0),2)</f>
        <v>0.50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84</v>
      </c>
      <c r="B91" s="4" t="s">
        <v>160</v>
      </c>
      <c r="C91" s="9" t="str">
        <f>FIXED(VLOOKUP($A91,'Full Sample-No Sub'!$A:$R,C$1,0),2)</f>
        <v>0.01</v>
      </c>
      <c r="D91" s="3" t="str">
        <f>FIXED(VLOOKUP($A91,'Full Sample-No Sub'!$A:$R,D$1,0),2)</f>
        <v>0.09</v>
      </c>
      <c r="E91" s="3" t="str">
        <f>FIXED(VLOOKUP($A91,'Full Sample-No Sub'!$A:$R,E$1,0),2)</f>
        <v>0.00</v>
      </c>
      <c r="F91" s="3" t="str">
        <f>FIXED(VLOOKUP($A91,'Full Sample-No Sub'!$A:$R,F$1,0),2)</f>
        <v>1.00</v>
      </c>
      <c r="G91" s="9" t="str">
        <f>FIXED(VLOOKUP($A91,'Full Sample-No Sub'!$A:$R,G$1,0),2)</f>
        <v>0.01</v>
      </c>
      <c r="H91" s="3" t="str">
        <f>FIXED(VLOOKUP($A91,'Full Sample-No Sub'!$A:$R,H$1,0),2)</f>
        <v>0.08</v>
      </c>
      <c r="I91" s="3" t="str">
        <f>FIXED(VLOOKUP($A91,'Full Sample-No Sub'!$A:$R,I$1,0),2)</f>
        <v>0.00</v>
      </c>
      <c r="J91" s="13" t="str">
        <f>FIXED(VLOOKUP($A91,'Full Sample-No Sub'!$A:$R,J$1,0),2)</f>
        <v>1.00</v>
      </c>
      <c r="K91" s="9" t="str">
        <f>FIXED(VLOOKUP($A91,'Full Sample-No Sub'!$A:$R,K$1,0),2)</f>
        <v>0.01</v>
      </c>
      <c r="L91" s="3" t="str">
        <f>FIXED(VLOOKUP($A91,'Full Sample-No Sub'!$A:$R,L$1,0),2)</f>
        <v>0.09</v>
      </c>
      <c r="M91" s="3" t="str">
        <f>FIXED(VLOOKUP($A91,'Full Sample-No Sub'!$A:$R,M$1,0),2)</f>
        <v>0.00</v>
      </c>
      <c r="N91" s="13" t="str">
        <f>FIXED(VLOOKUP($A91,'Full Sample-No Sub'!$A:$R,N$1,0),2)</f>
        <v>1.00</v>
      </c>
      <c r="O91" s="9" t="str">
        <f>FIXED(VLOOKUP($A91,'Full Sample-Townhouse'!$A:$R,O$1,0),2)</f>
        <v>0.01</v>
      </c>
      <c r="P91" s="3" t="str">
        <f>FIXED(VLOOKUP($A91,'Full Sample-Townhouse'!$A:$R,P$1,0),2)</f>
        <v>0.09</v>
      </c>
      <c r="Q91" s="3" t="str">
        <f>FIXED(VLOOKUP($A91,'Full Sample-Townhouse'!$A:$R,Q$1,0),2)</f>
        <v>0.00</v>
      </c>
      <c r="R91" s="3" t="str">
        <f>FIXED(VLOOKUP($A91,'Full Sample-Townhouse'!$A:$R,R$1,0),2)</f>
        <v>1.00</v>
      </c>
      <c r="S91" s="9" t="str">
        <f>FIXED(VLOOKUP($A91,'Full Sample-Townhouse'!$A:$R,S$1,0),2)</f>
        <v>0.01</v>
      </c>
      <c r="T91" s="3" t="str">
        <f>FIXED(VLOOKUP($A91,'Full Sample-Townhouse'!$A:$R,T$1,0),2)</f>
        <v>0.08</v>
      </c>
      <c r="U91" s="3" t="str">
        <f>FIXED(VLOOKUP($A91,'Full Sample-Townhouse'!$A:$R,U$1,0),2)</f>
        <v>0.00</v>
      </c>
      <c r="V91" s="13" t="str">
        <f>FIXED(VLOOKUP($A91,'Full Sample-Townhouse'!$A:$R,V$1,0),2)</f>
        <v>1.00</v>
      </c>
      <c r="W91" s="9" t="str">
        <f>FIXED(VLOOKUP($A91,'Full Sample-Townhouse'!$A:$R,W$1,0),2)</f>
        <v>0.01</v>
      </c>
      <c r="X91" s="3" t="str">
        <f>FIXED(VLOOKUP($A91,'Full Sample-Townhouse'!$A:$R,X$1,0),2)</f>
        <v>0.09</v>
      </c>
      <c r="Y91" s="3" t="str">
        <f>FIXED(VLOOKUP($A91,'Full Sample-Townhouse'!$A:$R,Y$1,0),2)</f>
        <v>0.00</v>
      </c>
      <c r="Z91" s="3" t="str">
        <f>FIXED(VLOOKUP($A91,'Full Sample-Townhouse'!$A:$R,Z$1,0),2)</f>
        <v>1.00</v>
      </c>
      <c r="AA91" s="9" t="str">
        <f>FIXED(VLOOKUP($A91,'Full Sample-Single Family'!$A:$R,AA$1,0),2)</f>
        <v>0.01</v>
      </c>
      <c r="AB91" s="3" t="str">
        <f>FIXED(VLOOKUP($A91,'Full Sample-Single Family'!$A:$R,AB$1,0),2)</f>
        <v>0.09</v>
      </c>
      <c r="AC91" s="3" t="str">
        <f>FIXED(VLOOKUP($A91,'Full Sample-Single Family'!$A:$R,AC$1,0),2)</f>
        <v>0.00</v>
      </c>
      <c r="AD91" s="3" t="str">
        <f>FIXED(VLOOKUP($A91,'Full Sample-Single Family'!$A:$R,AD$1,0),2)</f>
        <v>1.00</v>
      </c>
      <c r="AE91" s="9" t="str">
        <f>FIXED(VLOOKUP($A91,'Full Sample-Single Family'!$A:$R,AE$1,0),2)</f>
        <v>0.01</v>
      </c>
      <c r="AF91" s="3" t="str">
        <f>FIXED(VLOOKUP($A91,'Full Sample-Single Family'!$A:$R,AF$1,0),2)</f>
        <v>0.08</v>
      </c>
      <c r="AG91" s="3" t="str">
        <f>FIXED(VLOOKUP($A91,'Full Sample-Single Family'!$A:$R,AG$1,0),2)</f>
        <v>0.00</v>
      </c>
      <c r="AH91" s="13" t="str">
        <f>FIXED(VLOOKUP($A91,'Full Sample-Single Family'!$A:$R,AH$1,0),2)</f>
        <v>1.00</v>
      </c>
      <c r="AI91" s="9" t="str">
        <f>FIXED(VLOOKUP($A91,'Full Sample-Single Family'!$A:$R,AI$1,0),2)</f>
        <v>0.01</v>
      </c>
      <c r="AJ91" s="3" t="str">
        <f>FIXED(VLOOKUP($A91,'Full Sample-Single Family'!$A:$R,AJ$1,0),2)</f>
        <v>0.10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40" x14ac:dyDescent="0.25">
      <c r="A92" t="s">
        <v>85</v>
      </c>
      <c r="B92" s="4" t="s">
        <v>161</v>
      </c>
      <c r="C92" s="9" t="str">
        <f>FIXED(VLOOKUP($A92,'Full Sample-No Sub'!$A:$R,C$1,0),2)</f>
        <v>0.40</v>
      </c>
      <c r="D92" s="3" t="str">
        <f>FIXED(VLOOKUP($A92,'Full Sample-No Sub'!$A:$R,D$1,0),2)</f>
        <v>0.49</v>
      </c>
      <c r="E92" s="3" t="str">
        <f>FIXED(VLOOKUP($A92,'Full Sample-No Sub'!$A:$R,E$1,0),2)</f>
        <v>0.00</v>
      </c>
      <c r="F92" s="3" t="str">
        <f>FIXED(VLOOKUP($A92,'Full Sample-No Sub'!$A:$R,F$1,0),2)</f>
        <v>1.00</v>
      </c>
      <c r="G92" s="9" t="str">
        <f>FIXED(VLOOKUP($A92,'Full Sample-No Sub'!$A:$R,G$1,0),2)</f>
        <v>0.39</v>
      </c>
      <c r="H92" s="3" t="str">
        <f>FIXED(VLOOKUP($A92,'Full Sample-No Sub'!$A:$R,H$1,0),2)</f>
        <v>0.49</v>
      </c>
      <c r="I92" s="3" t="str">
        <f>FIXED(VLOOKUP($A92,'Full Sample-No Sub'!$A:$R,I$1,0),2)</f>
        <v>0.00</v>
      </c>
      <c r="J92" s="13" t="str">
        <f>FIXED(VLOOKUP($A92,'Full Sample-No Sub'!$A:$R,J$1,0),2)</f>
        <v>1.00</v>
      </c>
      <c r="K92" s="9" t="str">
        <f>FIXED(VLOOKUP($A92,'Full Sample-No Sub'!$A:$R,K$1,0),2)</f>
        <v>0.41</v>
      </c>
      <c r="L92" s="3" t="str">
        <f>FIXED(VLOOKUP($A92,'Full Sample-No Sub'!$A:$R,L$1,0),2)</f>
        <v>0.49</v>
      </c>
      <c r="M92" s="3" t="str">
        <f>FIXED(VLOOKUP($A92,'Full Sample-No Sub'!$A:$R,M$1,0),2)</f>
        <v>0.00</v>
      </c>
      <c r="N92" s="13" t="str">
        <f>FIXED(VLOOKUP($A92,'Full Sample-No Sub'!$A:$R,N$1,0),2)</f>
        <v>1.00</v>
      </c>
      <c r="O92" s="9" t="str">
        <f>FIXED(VLOOKUP($A92,'Full Sample-Townhouse'!$A:$R,O$1,0),2)</f>
        <v>0.40</v>
      </c>
      <c r="P92" s="3" t="str">
        <f>FIXED(VLOOKUP($A92,'Full Sample-Townhouse'!$A:$R,P$1,0),2)</f>
        <v>0.49</v>
      </c>
      <c r="Q92" s="3" t="str">
        <f>FIXED(VLOOKUP($A92,'Full Sample-Townhouse'!$A:$R,Q$1,0),2)</f>
        <v>0.00</v>
      </c>
      <c r="R92" s="3" t="str">
        <f>FIXED(VLOOKUP($A92,'Full Sample-Townhouse'!$A:$R,R$1,0),2)</f>
        <v>1.00</v>
      </c>
      <c r="S92" s="9" t="str">
        <f>FIXED(VLOOKUP($A92,'Full Sample-Townhouse'!$A:$R,S$1,0),2)</f>
        <v>0.39</v>
      </c>
      <c r="T92" s="3" t="str">
        <f>FIXED(VLOOKUP($A92,'Full Sample-Townhouse'!$A:$R,T$1,0),2)</f>
        <v>0.49</v>
      </c>
      <c r="U92" s="3" t="str">
        <f>FIXED(VLOOKUP($A92,'Full Sample-Townhouse'!$A:$R,U$1,0),2)</f>
        <v>0.00</v>
      </c>
      <c r="V92" s="13" t="str">
        <f>FIXED(VLOOKUP($A92,'Full Sample-Townhouse'!$A:$R,V$1,0),2)</f>
        <v>1.00</v>
      </c>
      <c r="W92" s="9" t="str">
        <f>FIXED(VLOOKUP($A92,'Full Sample-Townhouse'!$A:$R,W$1,0),2)</f>
        <v>0.40</v>
      </c>
      <c r="X92" s="3" t="str">
        <f>FIXED(VLOOKUP($A92,'Full Sample-Townhouse'!$A:$R,X$1,0),2)</f>
        <v>0.49</v>
      </c>
      <c r="Y92" s="3" t="str">
        <f>FIXED(VLOOKUP($A92,'Full Sample-Townhouse'!$A:$R,Y$1,0),2)</f>
        <v>0.00</v>
      </c>
      <c r="Z92" s="3" t="str">
        <f>FIXED(VLOOKUP($A92,'Full Sample-Townhouse'!$A:$R,Z$1,0),2)</f>
        <v>1.00</v>
      </c>
      <c r="AA92" s="9" t="str">
        <f>FIXED(VLOOKUP($A92,'Full Sample-Single Family'!$A:$R,AA$1,0),2)</f>
        <v>0.40</v>
      </c>
      <c r="AB92" s="3" t="str">
        <f>FIXED(VLOOKUP($A92,'Full Sample-Single Family'!$A:$R,AB$1,0),2)</f>
        <v>0.49</v>
      </c>
      <c r="AC92" s="3" t="str">
        <f>FIXED(VLOOKUP($A92,'Full Sample-Single Family'!$A:$R,AC$1,0),2)</f>
        <v>0.00</v>
      </c>
      <c r="AD92" s="3" t="str">
        <f>FIXED(VLOOKUP($A92,'Full Sample-Single Family'!$A:$R,AD$1,0),2)</f>
        <v>1.00</v>
      </c>
      <c r="AE92" s="9" t="str">
        <f>FIXED(VLOOKUP($A92,'Full Sample-Single Family'!$A:$R,AE$1,0),2)</f>
        <v>0.39</v>
      </c>
      <c r="AF92" s="3" t="str">
        <f>FIXED(VLOOKUP($A92,'Full Sample-Single Family'!$A:$R,AF$1,0),2)</f>
        <v>0.49</v>
      </c>
      <c r="AG92" s="3" t="str">
        <f>FIXED(VLOOKUP($A92,'Full Sample-Single Family'!$A:$R,AG$1,0),2)</f>
        <v>0.00</v>
      </c>
      <c r="AH92" s="13" t="str">
        <f>FIXED(VLOOKUP($A92,'Full Sample-Single Family'!$A:$R,AH$1,0),2)</f>
        <v>1.00</v>
      </c>
      <c r="AI92" s="9" t="str">
        <f>FIXED(VLOOKUP($A92,'Full Sample-Single Family'!$A:$R,AI$1,0),2)</f>
        <v>0.42</v>
      </c>
      <c r="AJ92" s="3" t="str">
        <f>FIXED(VLOOKUP($A92,'Full Sample-Single Family'!$A:$R,AJ$1,0),2)</f>
        <v>0.49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AI69:AL69"/>
    <mergeCell ref="O69:R69"/>
    <mergeCell ref="S69:V69"/>
    <mergeCell ref="W69:Z69"/>
    <mergeCell ref="C69:F69"/>
    <mergeCell ref="G69:J69"/>
    <mergeCell ref="K69:N69"/>
    <mergeCell ref="AA69:AD69"/>
    <mergeCell ref="AE69:AH69"/>
    <mergeCell ref="A2:AJ2"/>
    <mergeCell ref="A3:AJ3"/>
    <mergeCell ref="C4:L4"/>
    <mergeCell ref="O4:X4"/>
    <mergeCell ref="O5:R5"/>
    <mergeCell ref="S5:V5"/>
    <mergeCell ref="W5:Z5"/>
    <mergeCell ref="AA4:AJ4"/>
    <mergeCell ref="AA5:AD5"/>
    <mergeCell ref="AE5:AH5"/>
    <mergeCell ref="AI5:AL5"/>
    <mergeCell ref="C5:F5"/>
    <mergeCell ref="G5:J5"/>
    <mergeCell ref="K5:N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3FA7-75C5-45A3-9457-834403A4289D}">
  <sheetPr codeName="Sheet27">
    <pageSetUpPr fitToPage="1"/>
  </sheetPr>
  <dimension ref="A1:AN92"/>
  <sheetViews>
    <sheetView workbookViewId="0">
      <selection activeCell="A2" sqref="A2:AL6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8.85546875" style="3" hidden="1" customWidth="1"/>
    <col min="4" max="4" width="10.140625" style="3" hidden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hidden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28" t="s">
        <v>270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</row>
    <row r="3" spans="1:40" ht="23.25" x14ac:dyDescent="0.35">
      <c r="A3" s="29" t="s">
        <v>323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321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322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x14ac:dyDescent="0.25">
      <c r="A5" s="5"/>
      <c r="B5" s="5"/>
      <c r="C5" s="30" t="s">
        <v>92</v>
      </c>
      <c r="D5" s="31"/>
      <c r="E5" s="31"/>
      <c r="F5" s="31"/>
      <c r="G5" s="32" t="s">
        <v>317</v>
      </c>
      <c r="H5" s="33"/>
      <c r="I5" s="33"/>
      <c r="J5" s="34"/>
      <c r="K5" s="30" t="s">
        <v>318</v>
      </c>
      <c r="L5" s="31"/>
      <c r="M5" s="31"/>
      <c r="N5" s="35"/>
      <c r="O5" s="30" t="s">
        <v>92</v>
      </c>
      <c r="P5" s="31"/>
      <c r="Q5" s="31"/>
      <c r="R5" s="31"/>
      <c r="S5" s="32" t="s">
        <v>317</v>
      </c>
      <c r="T5" s="33"/>
      <c r="U5" s="33"/>
      <c r="V5" s="34"/>
      <c r="W5" s="30" t="s">
        <v>318</v>
      </c>
      <c r="X5" s="31"/>
      <c r="Y5" s="31"/>
      <c r="Z5" s="35"/>
      <c r="AA5" s="30" t="s">
        <v>92</v>
      </c>
      <c r="AB5" s="31"/>
      <c r="AC5" s="31"/>
      <c r="AD5" s="31"/>
      <c r="AE5" s="32" t="s">
        <v>317</v>
      </c>
      <c r="AF5" s="33"/>
      <c r="AG5" s="33"/>
      <c r="AH5" s="34"/>
      <c r="AI5" s="30" t="s">
        <v>318</v>
      </c>
      <c r="AJ5" s="31"/>
      <c r="AK5" s="31"/>
      <c r="AL5" s="35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315</v>
      </c>
      <c r="C7" s="9" t="str">
        <f>FIXED(VLOOKUP($A7,'Full Sample-No Sub'!$A:$R,C$1,0)/100000,2)</f>
        <v>9.28</v>
      </c>
      <c r="D7" s="3" t="str">
        <f>FIXED(VLOOKUP($A7,'Full Sample-No Sub'!$A:$R,D$1,0)/100000,2)</f>
        <v>8.28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8.87</v>
      </c>
      <c r="H7" s="3" t="str">
        <f>FIXED(VLOOKUP($A7,'Full Sample-No Sub'!$A:$R,H$1,0)/100000,2)</f>
        <v>7.90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9.84</v>
      </c>
      <c r="L7" s="3" t="str">
        <f>FIXED(VLOOKUP($A7,'Full Sample-No Sub'!$A:$R,L$1,0)/100000,2)</f>
        <v>8.73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6.57</v>
      </c>
      <c r="P7" s="3" t="str">
        <f>FIXED(VLOOKUP($A7,'Full Sample-Townhouse'!$A:$R,P$1,0)/100000,2)</f>
        <v>5.72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6.54</v>
      </c>
      <c r="T7" s="3" t="str">
        <f>FIXED(VLOOKUP($A7,'Full Sample-Townhouse'!$A:$R,T$1,0)/100000,2)</f>
        <v>5.90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6.60</v>
      </c>
      <c r="X7" s="3" t="str">
        <f>FIXED(VLOOKUP($A7,'Full Sample-Townhouse'!$A:$R,X$1,0)/100000,2)</f>
        <v>5.45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12.53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9.00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10.22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(AI7-AE7)/(SQRT(((AF7^2)/AE69)+((AJ7^2)/AI69)))</f>
        <v>16.089841966829226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0.56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1.30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1.29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(W7-S7)/(SQRT(((T7^2)/S69)+((X7^2)/W69)))</f>
        <v>0.87002363933546678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0.43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0.38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44.36</v>
      </c>
      <c r="D11" s="3" t="str">
        <f>FIXED(VLOOKUP($A11,'Full Sample-No Sub'!$A:$R,D$1,0),2)</f>
        <v>58.82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51.11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57.26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46.06</v>
      </c>
      <c r="P11" s="3" t="str">
        <f>FIXED(VLOOKUP($A11,'Full Sample-Townhouse'!$A:$R,P$1,0),2)</f>
        <v>60.62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50.71</v>
      </c>
      <c r="T11" s="3" t="str">
        <f>FIXED(VLOOKUP($A11,'Full Sample-Townhouse'!$A:$R,T$1,0),2)</f>
        <v>58.34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39.77</v>
      </c>
      <c r="X11" s="3" t="str">
        <f>FIXED(VLOOKUP($A11,'Full Sample-Townhouse'!$A:$R,X$1,0),2)</f>
        <v>63.04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42.32</v>
      </c>
      <c r="AB11" s="3" t="str">
        <f>FIXED(VLOOKUP($A11,'Full Sample-Single Family'!$A:$R,AB$1,0),2)</f>
        <v>56.52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51.59</v>
      </c>
      <c r="AF11" s="3" t="str">
        <f>FIXED(VLOOKUP($A11,'Full Sample-Single Family'!$A:$R,AF$1,0),2)</f>
        <v>59.84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29.65</v>
      </c>
      <c r="AJ11" s="3" t="str">
        <f>FIXED(VLOOKUP($A11,'Full Sample-Single Family'!$A:$R,AJ$1,0),2)</f>
        <v>48.86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1.50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0.55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0.98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2.72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2.70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1.31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0.28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0.22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0.52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0.51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0.21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316</v>
      </c>
      <c r="C18" s="9" t="str">
        <f>FIXED(VLOOKUP($A18,'Full Sample-No Sub'!$A:$R,C$1,0),2)</f>
        <v>1,473.24</v>
      </c>
      <c r="D18" s="3" t="str">
        <f>FIXED(VLOOKUP($A18,'Full Sample-No Sub'!$A:$R,D$1,0),2)</f>
        <v>982.46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1,459.27</v>
      </c>
      <c r="H18" s="3" t="str">
        <f>FIXED(VLOOKUP($A18,'Full Sample-No Sub'!$A:$R,H$1,0),2)</f>
        <v>951.34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1,492.26</v>
      </c>
      <c r="L18" s="3" t="str">
        <f>FIXED(VLOOKUP($A18,'Full Sample-No Sub'!$A:$R,L$1,0),2)</f>
        <v>1,022.99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963.10</v>
      </c>
      <c r="P18" s="3" t="str">
        <f>FIXED(VLOOKUP($A18,'Full Sample-Townhouse'!$A:$R,P$1,0),2)</f>
        <v>437.41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965.57</v>
      </c>
      <c r="T18" s="3" t="str">
        <f>FIXED(VLOOKUP($A18,'Full Sample-Townhouse'!$A:$R,T$1,0),2)</f>
        <v>434.83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959.76</v>
      </c>
      <c r="X18" s="3" t="str">
        <f>FIXED(VLOOKUP($A18,'Full Sample-Townhouse'!$A:$R,X$1,0),2)</f>
        <v>440.88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2,082.55</v>
      </c>
      <c r="AB18" s="3" t="str">
        <f>FIXED(VLOOKUP($A18,'Full Sample-Single Family'!$A:$R,AB$1,0),2)</f>
        <v>1,098.86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2,046.78</v>
      </c>
      <c r="AF18" s="3" t="str">
        <f>FIXED(VLOOKUP($A18,'Full Sample-Single Family'!$A:$R,AF$1,0),2)</f>
        <v>1,059.19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2,131.45</v>
      </c>
      <c r="AJ18" s="3" t="str">
        <f>FIXED(VLOOKUP($A18,'Full Sample-Single Family'!$A:$R,AJ$1,0),2)</f>
        <v>1,149.13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36.91</v>
      </c>
      <c r="D19" s="3" t="str">
        <f>FIXED(VLOOKUP($A19,'Full Sample-No Sub'!$A:$R,D$1,0),2)</f>
        <v>19.66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35.25</v>
      </c>
      <c r="H19" s="3" t="str">
        <f>FIXED(VLOOKUP($A19,'Full Sample-No Sub'!$A:$R,H$1,0),2)</f>
        <v>19.33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39.17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35.39</v>
      </c>
      <c r="P19" s="3" t="str">
        <f>FIXED(VLOOKUP($A19,'Full Sample-Townhouse'!$A:$R,P$1,0),2)</f>
        <v>16.00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34.12</v>
      </c>
      <c r="T19" s="3" t="str">
        <f>FIXED(VLOOKUP($A19,'Full Sample-Townhouse'!$A:$R,T$1,0),2)</f>
        <v>15.64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37.10</v>
      </c>
      <c r="X19" s="3" t="str">
        <f>FIXED(VLOOKUP($A19,'Full Sample-Townhouse'!$A:$R,X$1,0),2)</f>
        <v>16.32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38.74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36.60</v>
      </c>
      <c r="AF19" s="3" t="str">
        <f>FIXED(VLOOKUP($A19,'Full Sample-Single Family'!$A:$R,AF$1,0),2)</f>
        <v>22.88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41.66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1.75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1.62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1.51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1.41</v>
      </c>
      <c r="T20" s="3" t="str">
        <f>FIXED(VLOOKUP($A20,'Full Sample-Townhouse'!$A:$R,T$1,0),2)</f>
        <v>0.96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1.07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70</v>
      </c>
      <c r="B22" s="4" t="s">
        <v>146</v>
      </c>
      <c r="C22" s="9" t="str">
        <f>FIXED(VLOOKUP($A22,'Full Sample-No Sub'!$A:$R,C$1,0),2)</f>
        <v>0.19</v>
      </c>
      <c r="D22" s="3" t="str">
        <f>FIXED(VLOOKUP($A22,'Full Sample-No Sub'!$A:$R,D$1,0),2)</f>
        <v>0.40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0.19</v>
      </c>
      <c r="H22" s="3" t="str">
        <f>FIXED(VLOOKUP($A22,'Full Sample-No Sub'!$A:$R,H$1,0),2)</f>
        <v>0.39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0.20</v>
      </c>
      <c r="L22" s="3" t="str">
        <f>FIXED(VLOOKUP($A22,'Full Sample-No Sub'!$A:$R,L$1,0),2)</f>
        <v>0.40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0.17</v>
      </c>
      <c r="P22" s="3" t="str">
        <f>FIXED(VLOOKUP($A22,'Full Sample-Townhouse'!$A:$R,P$1,0),2)</f>
        <v>0.38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0.17</v>
      </c>
      <c r="T22" s="3" t="str">
        <f>FIXED(VLOOKUP($A22,'Full Sample-Townhouse'!$A:$R,T$1,0),2)</f>
        <v>0.38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0.18</v>
      </c>
      <c r="X22" s="3" t="str">
        <f>FIXED(VLOOKUP($A22,'Full Sample-Townhouse'!$A:$R,X$1,0),2)</f>
        <v>0.38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0.22</v>
      </c>
      <c r="AB22" s="3" t="str">
        <f>FIXED(VLOOKUP($A22,'Full Sample-Single Family'!$A:$R,AB$1,0),2)</f>
        <v>0.41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0.21</v>
      </c>
      <c r="AF22" s="3" t="str">
        <f>FIXED(VLOOKUP($A22,'Full Sample-Single Family'!$A:$R,AF$1,0),2)</f>
        <v>0.41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0.22</v>
      </c>
      <c r="AJ22" s="3" t="str">
        <f>FIXED(VLOOKUP($A22,'Full Sample-Single Family'!$A:$R,AJ$1,0),2)</f>
        <v>0.42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71</v>
      </c>
      <c r="B23" s="4" t="s">
        <v>147</v>
      </c>
      <c r="C23" s="9" t="str">
        <f>FIXED(VLOOKUP($A23,'Full Sample-No Sub'!$A:$R,C$1,0),2)</f>
        <v>0.33</v>
      </c>
      <c r="D23" s="3" t="str">
        <f>FIXED(VLOOKUP($A23,'Full Sample-No Sub'!$A:$R,D$1,0),2)</f>
        <v>0.47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0.35</v>
      </c>
      <c r="H23" s="3" t="str">
        <f>FIXED(VLOOKUP($A23,'Full Sample-No Sub'!$A:$R,H$1,0),2)</f>
        <v>0.48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0.31</v>
      </c>
      <c r="L23" s="3" t="str">
        <f>FIXED(VLOOKUP($A23,'Full Sample-No Sub'!$A:$R,L$1,0),2)</f>
        <v>0.46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0.36</v>
      </c>
      <c r="P23" s="3" t="str">
        <f>FIXED(VLOOKUP($A23,'Full Sample-Townhouse'!$A:$R,P$1,0),2)</f>
        <v>0.48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0.38</v>
      </c>
      <c r="T23" s="3" t="str">
        <f>FIXED(VLOOKUP($A23,'Full Sample-Townhouse'!$A:$R,T$1,0),2)</f>
        <v>0.48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0.34</v>
      </c>
      <c r="X23" s="3" t="str">
        <f>FIXED(VLOOKUP($A23,'Full Sample-Townhouse'!$A:$R,X$1,0),2)</f>
        <v>0.47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0.30</v>
      </c>
      <c r="AB23" s="3" t="str">
        <f>FIXED(VLOOKUP($A23,'Full Sample-Single Family'!$A:$R,AB$1,0),2)</f>
        <v>0.46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0.32</v>
      </c>
      <c r="AF23" s="3" t="str">
        <f>FIXED(VLOOKUP($A23,'Full Sample-Single Family'!$A:$R,AF$1,0),2)</f>
        <v>0.47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0.28</v>
      </c>
      <c r="AJ23" s="3" t="str">
        <f>FIXED(VLOOKUP($A23,'Full Sample-Single Family'!$A:$R,AJ$1,0),2)</f>
        <v>0.45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72</v>
      </c>
      <c r="B24" s="4" t="s">
        <v>148</v>
      </c>
      <c r="C24" s="9" t="str">
        <f>FIXED(VLOOKUP($A24,'Full Sample-No Sub'!$A:$R,C$1,0),2)</f>
        <v>0.43</v>
      </c>
      <c r="D24" s="3" t="str">
        <f>FIXED(VLOOKUP($A24,'Full Sample-No Sub'!$A:$R,D$1,0),2)</f>
        <v>0.50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0.41</v>
      </c>
      <c r="H24" s="3" t="str">
        <f>FIXED(VLOOKUP($A24,'Full Sample-No Sub'!$A:$R,H$1,0),2)</f>
        <v>0.49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0.45</v>
      </c>
      <c r="L24" s="3" t="str">
        <f>FIXED(VLOOKUP($A24,'Full Sample-No Sub'!$A:$R,L$1,0),2)</f>
        <v>0.50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0.44</v>
      </c>
      <c r="P24" s="3" t="str">
        <f>FIXED(VLOOKUP($A24,'Full Sample-Townhouse'!$A:$R,P$1,0),2)</f>
        <v>0.50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0.43</v>
      </c>
      <c r="T24" s="3" t="str">
        <f>FIXED(VLOOKUP($A24,'Full Sample-Townhouse'!$A:$R,T$1,0),2)</f>
        <v>0.49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0.46</v>
      </c>
      <c r="X24" s="3" t="str">
        <f>FIXED(VLOOKUP($A24,'Full Sample-Townhouse'!$A:$R,X$1,0),2)</f>
        <v>0.50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0.41</v>
      </c>
      <c r="AB24" s="3" t="str">
        <f>FIXED(VLOOKUP($A24,'Full Sample-Single Family'!$A:$R,AB$1,0),2)</f>
        <v>0.49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0.40</v>
      </c>
      <c r="AF24" s="3" t="str">
        <f>FIXED(VLOOKUP($A24,'Full Sample-Single Family'!$A:$R,AF$1,0),2)</f>
        <v>0.49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0.43</v>
      </c>
      <c r="AJ24" s="3" t="str">
        <f>FIXED(VLOOKUP($A24,'Full Sample-Single Family'!$A:$R,AJ$1,0),2)</f>
        <v>0.50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0.22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0.09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0.10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0.10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0.38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0.18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tr">
        <f>FIXED(VLOOKUP($A28,'Full Sample-Single Family'!$A:$R,AA$1,0),2)</f>
        <v>0.00</v>
      </c>
      <c r="AB28" s="3" t="str">
        <f>FIXED(VLOOKUP($A28,'Full Sample-Single Family'!$A:$R,AB$1,0),2)</f>
        <v>0.00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0.28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0.27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0.50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0.53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tr">
        <f>FIXED(VLOOKUP($A29,'Full Sample-Single Family'!$A:$R,AA$1,0),2)</f>
        <v>0.00</v>
      </c>
      <c r="AB29" s="3" t="str">
        <f>FIXED(VLOOKUP($A29,'Full Sample-Single Family'!$A:$R,AB$1,0),2)</f>
        <v>0.00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0.30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tr">
        <f>FIXED(VLOOKUP($A30,'Full Sample-Single Family'!$A:$R,AA$1,0),2)</f>
        <v>0.00</v>
      </c>
      <c r="AB30" s="3" t="str">
        <f>FIXED(VLOOKUP($A30,'Full Sample-Single Family'!$A:$R,AB$1,0),2)</f>
        <v>0.02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1.00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0.02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1.00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0.01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0.07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tr">
        <f>FIXED(VLOOKUP($A31,'Full Sample-Single Family'!$A:$R,AA$1,0),2)</f>
        <v>0.00</v>
      </c>
      <c r="AB31" s="3" t="str">
        <f>FIXED(VLOOKUP($A31,'Full Sample-Single Family'!$A:$R,AB$1,0),2)</f>
        <v>0.00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0.06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0.06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0.27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FIXED(VLOOKUP($A33,'Full Sample-Townhouse'!$A:$R,O$1,0),2)</f>
        <v>0.00</v>
      </c>
      <c r="P33" s="3" t="str">
        <f>FIXED(VLOOKUP($A33,'Full Sample-Townhouse'!$A:$R,P$1,0),2)</f>
        <v>0.01</v>
      </c>
      <c r="Q33" s="3" t="str">
        <f>FIXED(VLOOKUP($A33,'Full Sample-Townhouse'!$A:$R,Q$1,0),2)</f>
        <v>0.00</v>
      </c>
      <c r="R33" s="3" t="str">
        <f>FIXED(VLOOKUP($A33,'Full Sample-Townhouse'!$A:$R,R$1,0),2)</f>
        <v>1.00</v>
      </c>
      <c r="S33" s="9" t="str">
        <f>FIXED(VLOOKUP($A33,'Full Sample-Townhouse'!$A:$R,S$1,0),2)</f>
        <v>0.00</v>
      </c>
      <c r="T33" s="3" t="str">
        <f>FIXED(VLOOKUP($A33,'Full Sample-Townhouse'!$A:$R,T$1,0),2)</f>
        <v>0.01</v>
      </c>
      <c r="U33" s="3" t="str">
        <f>FIXED(VLOOKUP($A33,'Full Sample-Townhouse'!$A:$R,U$1,0),2)</f>
        <v>0.00</v>
      </c>
      <c r="V33" s="13" t="str">
        <f>FIXED(VLOOKUP($A33,'Full Sample-Townhouse'!$A:$R,V$1,0),2)</f>
        <v>1.00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FIXED(VLOOKUP($A34,'Full Sample-Townhouse'!$A:$R,O$1,0),2)</f>
        <v>0.00</v>
      </c>
      <c r="P34" s="3" t="str">
        <f>FIXED(VLOOKUP($A34,'Full Sample-Townhouse'!$A:$R,P$1,0),2)</f>
        <v>0.00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0.28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0.09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0.23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0.24</v>
      </c>
      <c r="T39" s="3" t="str">
        <f>FIXED(VLOOKUP($A39,'Full Sample-Townhouse'!$A:$R,T$1,0),2)</f>
        <v>0.43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0.27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0.37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0.29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0.28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0.06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0.11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0.11</v>
      </c>
      <c r="H42" s="3" t="str">
        <f>FIXED(VLOOKUP($A42,'Full Sample-No Sub'!$A:$R,H$1,0),2)</f>
        <v>0.31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0.20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0.19</v>
      </c>
      <c r="T42" s="3" t="str">
        <f>FIXED(VLOOKUP($A42,'Full Sample-Townhouse'!$A:$R,T$1,0),2)</f>
        <v>0.39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18.09</v>
      </c>
      <c r="D44" s="3" t="str">
        <f>FIXED(VLOOKUP($A44,'Full Sample-No Sub'!$A:$R,D$1,0),2)</f>
        <v>47.43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17.91</v>
      </c>
      <c r="H44" s="3" t="str">
        <f>FIXED(VLOOKUP($A44,'Full Sample-No Sub'!$A:$R,H$1,0),2)</f>
        <v>45.73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18.35</v>
      </c>
      <c r="L44" s="3" t="str">
        <f>FIXED(VLOOKUP($A44,'Full Sample-No Sub'!$A:$R,L$1,0),2)</f>
        <v>49.64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12.48</v>
      </c>
      <c r="P44" s="3" t="str">
        <f>FIXED(VLOOKUP($A44,'Full Sample-Townhouse'!$A:$R,P$1,0),2)</f>
        <v>41.98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12.00</v>
      </c>
      <c r="T44" s="3" t="str">
        <f>FIXED(VLOOKUP($A44,'Full Sample-Townhouse'!$A:$R,T$1,0),2)</f>
        <v>39.93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13.12</v>
      </c>
      <c r="X44" s="3" t="str">
        <f>FIXED(VLOOKUP($A44,'Full Sample-Townhouse'!$A:$R,X$1,0),2)</f>
        <v>44.60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52.43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50.91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24.61</v>
      </c>
      <c r="AJ44" s="3" t="str">
        <f>FIXED(VLOOKUP($A44,'Full Sample-Single Family'!$A:$R,AJ$1,0),2)</f>
        <v>54.44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0.25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0.43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0.24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0.33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0.32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0.18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0.67</v>
      </c>
      <c r="D52" s="3" t="str">
        <f>FIXED(VLOOKUP($A52,'Full Sample-No Sub'!$A:$R,D$1,0),2)</f>
        <v>1.47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0.65</v>
      </c>
      <c r="H52" s="3" t="str">
        <f>FIXED(VLOOKUP($A52,'Full Sample-No Sub'!$A:$R,H$1,0),2)</f>
        <v>1.47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1.22</v>
      </c>
      <c r="P52" s="3" t="str">
        <f>FIXED(VLOOKUP($A52,'Full Sample-Townhouse'!$A:$R,P$1,0),2)</f>
        <v>1.82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1.20</v>
      </c>
      <c r="T52" s="3" t="str">
        <f>FIXED(VLOOKUP($A52,'Full Sample-Townhouse'!$A:$R,T$1,0),2)</f>
        <v>1.81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2.10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2.15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1.77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1.80</v>
      </c>
      <c r="T53" s="3" t="str">
        <f>FIXED(VLOOKUP($A53,'Full Sample-Townhouse'!$A:$R,T$1,0),2)</f>
        <v>2.32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2.56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4.14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4.12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3.21</v>
      </c>
      <c r="P55" s="3" t="str">
        <f>FIXED(VLOOKUP($A55,'Full Sample-Townhouse'!$A:$R,P$1,0),2)</f>
        <v>3.46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3.16</v>
      </c>
      <c r="T55" s="3" t="str">
        <f>FIXED(VLOOKUP($A55,'Full Sample-Townhouse'!$A:$R,T$1,0),2)</f>
        <v>3.35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3.26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4.24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9.10</v>
      </c>
      <c r="D56" s="3" t="str">
        <f>FIXED(VLOOKUP($A56,'Full Sample-No Sub'!$A:$R,D$1,0),2)</f>
        <v>5.60</v>
      </c>
      <c r="E56" s="3" t="str">
        <f>FIXED(VLOOKUP($A56,'Full Sample-No Sub'!$A:$R,E$1,0),2)</f>
        <v>0.32</v>
      </c>
      <c r="F56" s="3" t="str">
        <f>FIXED(VLOOKUP($A56,'Full Sample-No Sub'!$A:$R,F$1,0),2)</f>
        <v>30.99</v>
      </c>
      <c r="G56" s="9" t="str">
        <f>FIXED(VLOOKUP($A56,'Full Sample-No Sub'!$A:$R,G$1,0),2)</f>
        <v>9.10</v>
      </c>
      <c r="H56" s="3" t="str">
        <f>FIXED(VLOOKUP($A56,'Full Sample-No Sub'!$A:$R,H$1,0),2)</f>
        <v>5.60</v>
      </c>
      <c r="I56" s="3" t="str">
        <f>FIXED(VLOOKUP($A56,'Full Sample-No Sub'!$A:$R,I$1,0),2)</f>
        <v>0.32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7.66</v>
      </c>
      <c r="P56" s="3" t="str">
        <f>FIXED(VLOOKUP($A56,'Full Sample-Townhouse'!$A:$R,P$1,0),2)</f>
        <v>5.18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7.71</v>
      </c>
      <c r="T56" s="3" t="str">
        <f>FIXED(VLOOKUP($A56,'Full Sample-Townhouse'!$A:$R,T$1,0),2)</f>
        <v>5.20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5.14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0.32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10.76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0.32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10.92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4.52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4.67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6.08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6.28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1.23</v>
      </c>
      <c r="X57" s="3" t="str">
        <f>FIXED(VLOOKUP($A57,'Full Sample-Townhouse'!$A:$R,X$1,0),2)</f>
        <v>5.79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7.83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7.83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1.60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1.59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1.34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1.96</v>
      </c>
      <c r="T58" s="3" t="str">
        <f>FIXED(VLOOKUP($A58,'Full Sample-Townhouse'!$A:$R,T$1,0),2)</f>
        <v>1.34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2.18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2.18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1.85</v>
      </c>
      <c r="P59" s="3" t="str">
        <f>FIXED(VLOOKUP($A59,'Full Sample-Townhouse'!$A:$R,P$1,0),2)</f>
        <v>1.22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1.86</v>
      </c>
      <c r="T59" s="3" t="str">
        <f>FIXED(VLOOKUP($A59,'Full Sample-Townhouse'!$A:$R,T$1,0),2)</f>
        <v>1.22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1.83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42</v>
      </c>
      <c r="B60" t="s">
        <v>121</v>
      </c>
      <c r="C60" s="9" t="str">
        <f>FIXED(VLOOKUP($A60,'Full Sample-No Sub'!$A:$R,C$1,0),2)</f>
        <v>0.25</v>
      </c>
      <c r="D60" s="3" t="str">
        <f>FIXED(VLOOKUP($A60,'Full Sample-No Sub'!$A:$R,D$1,0),2)</f>
        <v>0.17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0.26</v>
      </c>
      <c r="H60" s="3" t="str">
        <f>FIXED(VLOOKUP($A60,'Full Sample-No Sub'!$A:$R,H$1,0),2)</f>
        <v>0.17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0.25</v>
      </c>
      <c r="L60" s="3" t="str">
        <f>FIXED(VLOOKUP($A60,'Full Sample-No Sub'!$A:$R,L$1,0),2)</f>
        <v>0.17</v>
      </c>
      <c r="M60" s="3" t="str">
        <f>FIXED(VLOOKUP($A60,'Full Sample-No Sub'!$A:$R,M$1,0),2)</f>
        <v>0.00</v>
      </c>
      <c r="N60" s="13" t="str">
        <f>FIXED(VLOOKUP($A60,'Full Sample-No Sub'!$A:$R,N$1,0),2)</f>
        <v>0.92</v>
      </c>
      <c r="O60" s="9" t="str">
        <f>FIXED(VLOOKUP($A60,'Full Sample-Townhouse'!$A:$R,O$1,0),2)</f>
        <v>0.28</v>
      </c>
      <c r="P60" s="3" t="str">
        <f>FIXED(VLOOKUP($A60,'Full Sample-Townhouse'!$A:$R,P$1,0),2)</f>
        <v>0.17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0.28</v>
      </c>
      <c r="T60" s="3" t="str">
        <f>FIXED(VLOOKUP($A60,'Full Sample-Townhouse'!$A:$R,T$1,0),2)</f>
        <v>0.17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0.27</v>
      </c>
      <c r="X60" s="3" t="str">
        <f>FIXED(VLOOKUP($A60,'Full Sample-Townhouse'!$A:$R,X$1,0),2)</f>
        <v>0.18</v>
      </c>
      <c r="Y60" s="3" t="str">
        <f>FIXED(VLOOKUP($A60,'Full Sample-Townhouse'!$A:$R,Y$1,0),2)</f>
        <v>0.00</v>
      </c>
      <c r="Z60" s="3" t="str">
        <f>FIXED(VLOOKUP($A60,'Full Sample-Townhouse'!$A:$R,Z$1,0),2)</f>
        <v>0.83</v>
      </c>
      <c r="AA60" s="9" t="str">
        <f>FIXED(VLOOKUP($A60,'Full Sample-Single Family'!$A:$R,AA$1,0),2)</f>
        <v>0.22</v>
      </c>
      <c r="AB60" s="3" t="str">
        <f>FIXED(VLOOKUP($A60,'Full Sample-Single Family'!$A:$R,AB$1,0),2)</f>
        <v>0.16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0.92</v>
      </c>
      <c r="AE60" s="9" t="str">
        <f>FIXED(VLOOKUP($A60,'Full Sample-Single Family'!$A:$R,AE$1,0),2)</f>
        <v>0.22</v>
      </c>
      <c r="AF60" s="3" t="str">
        <f>FIXED(VLOOKUP($A60,'Full Sample-Single Family'!$A:$R,AF$1,0),2)</f>
        <v>0.15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0.86</v>
      </c>
      <c r="AI60" s="9" t="str">
        <f>FIXED(VLOOKUP($A60,'Full Sample-Single Family'!$A:$R,AI$1,0),2)</f>
        <v>0.22</v>
      </c>
      <c r="AJ60" s="3" t="str">
        <f>FIXED(VLOOKUP($A60,'Full Sample-Single Family'!$A:$R,AJ$1,0),2)</f>
        <v>0.16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43</v>
      </c>
      <c r="B61" t="s">
        <v>122</v>
      </c>
      <c r="C61" s="9" t="str">
        <f>FIXED(VLOOKUP($A61,'Full Sample-No Sub'!$A:$R,C$1,0),2)</f>
        <v>0.02</v>
      </c>
      <c r="D61" s="3" t="str">
        <f>FIXED(VLOOKUP($A61,'Full Sample-No Sub'!$A:$R,D$1,0),2)</f>
        <v>0.04</v>
      </c>
      <c r="E61" s="3" t="str">
        <f>FIXED(VLOOKUP($A61,'Full Sample-No Sub'!$A:$R,E$1,0),2)</f>
        <v>0.00</v>
      </c>
      <c r="F61" s="3" t="str">
        <f>FIXED(VLOOKUP($A61,'Full Sample-No Sub'!$A:$R,F$1,0),2)</f>
        <v>0.78</v>
      </c>
      <c r="G61" s="9" t="str">
        <f>FIXED(VLOOKUP($A61,'Full Sample-No Sub'!$A:$R,G$1,0),2)</f>
        <v>0.02</v>
      </c>
      <c r="H61" s="3" t="str">
        <f>FIXED(VLOOKUP($A61,'Full Sample-No Sub'!$A:$R,H$1,0),2)</f>
        <v>0.03</v>
      </c>
      <c r="I61" s="3" t="str">
        <f>FIXED(VLOOKUP($A61,'Full Sample-No Sub'!$A:$R,I$1,0),2)</f>
        <v>0.00</v>
      </c>
      <c r="J61" s="13" t="str">
        <f>FIXED(VLOOKUP($A61,'Full Sample-No Sub'!$A:$R,J$1,0),2)</f>
        <v>0.78</v>
      </c>
      <c r="K61" s="9" t="str">
        <f>FIXED(VLOOKUP($A61,'Full Sample-No Sub'!$A:$R,K$1,0),2)</f>
        <v>0.02</v>
      </c>
      <c r="L61" s="3" t="str">
        <f>FIXED(VLOOKUP($A61,'Full Sample-No Sub'!$A:$R,L$1,0),2)</f>
        <v>0.04</v>
      </c>
      <c r="M61" s="3" t="str">
        <f>FIXED(VLOOKUP($A61,'Full Sample-No Sub'!$A:$R,M$1,0),2)</f>
        <v>0.00</v>
      </c>
      <c r="N61" s="13" t="str">
        <f>FIXED(VLOOKUP($A61,'Full Sample-No Sub'!$A:$R,N$1,0),2)</f>
        <v>0.78</v>
      </c>
      <c r="O61" s="9" t="str">
        <f>FIXED(VLOOKUP($A61,'Full Sample-Townhouse'!$A:$R,O$1,0),2)</f>
        <v>0.02</v>
      </c>
      <c r="P61" s="3" t="str">
        <f>FIXED(VLOOKUP($A61,'Full Sample-Townhouse'!$A:$R,P$1,0),2)</f>
        <v>0.04</v>
      </c>
      <c r="Q61" s="3" t="str">
        <f>FIXED(VLOOKUP($A61,'Full Sample-Townhouse'!$A:$R,Q$1,0),2)</f>
        <v>0.00</v>
      </c>
      <c r="R61" s="3" t="str">
        <f>FIXED(VLOOKUP($A61,'Full Sample-Townhouse'!$A:$R,R$1,0),2)</f>
        <v>0.78</v>
      </c>
      <c r="S61" s="9" t="str">
        <f>FIXED(VLOOKUP($A61,'Full Sample-Townhouse'!$A:$R,S$1,0),2)</f>
        <v>0.02</v>
      </c>
      <c r="T61" s="3" t="str">
        <f>FIXED(VLOOKUP($A61,'Full Sample-Townhouse'!$A:$R,T$1,0),2)</f>
        <v>0.03</v>
      </c>
      <c r="U61" s="3" t="str">
        <f>FIXED(VLOOKUP($A61,'Full Sample-Townhouse'!$A:$R,U$1,0),2)</f>
        <v>0.00</v>
      </c>
      <c r="V61" s="13" t="str">
        <f>FIXED(VLOOKUP($A61,'Full Sample-Townhouse'!$A:$R,V$1,0),2)</f>
        <v>0.78</v>
      </c>
      <c r="W61" s="9" t="str">
        <f>FIXED(VLOOKUP($A61,'Full Sample-Townhouse'!$A:$R,W$1,0),2)</f>
        <v>0.02</v>
      </c>
      <c r="X61" s="3" t="str">
        <f>FIXED(VLOOKUP($A61,'Full Sample-Townhouse'!$A:$R,X$1,0),2)</f>
        <v>0.04</v>
      </c>
      <c r="Y61" s="3" t="str">
        <f>FIXED(VLOOKUP($A61,'Full Sample-Townhouse'!$A:$R,Y$1,0),2)</f>
        <v>0.00</v>
      </c>
      <c r="Z61" s="3" t="str">
        <f>FIXED(VLOOKUP($A61,'Full Sample-Townhouse'!$A:$R,Z$1,0),2)</f>
        <v>0.78</v>
      </c>
      <c r="AA61" s="9" t="str">
        <f>FIXED(VLOOKUP($A61,'Full Sample-Single Family'!$A:$R,AA$1,0),2)</f>
        <v>0.02</v>
      </c>
      <c r="AB61" s="3" t="str">
        <f>FIXED(VLOOKUP($A61,'Full Sample-Single Family'!$A:$R,AB$1,0),2)</f>
        <v>0.03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0.36</v>
      </c>
      <c r="AE61" s="9" t="str">
        <f>FIXED(VLOOKUP($A61,'Full Sample-Single Family'!$A:$R,AE$1,0),2)</f>
        <v>0.02</v>
      </c>
      <c r="AF61" s="3" t="str">
        <f>FIXED(VLOOKUP($A61,'Full Sample-Single Family'!$A:$R,AF$1,0),2)</f>
        <v>0.03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0.36</v>
      </c>
      <c r="AI61" s="9" t="str">
        <f>FIXED(VLOOKUP($A61,'Full Sample-Single Family'!$A:$R,AI$1,0),2)</f>
        <v>0.02</v>
      </c>
      <c r="AJ61" s="3" t="str">
        <f>FIXED(VLOOKUP($A61,'Full Sample-Single Family'!$A:$R,AJ$1,0),2)</f>
        <v>0.04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44</v>
      </c>
      <c r="B62" t="s">
        <v>123</v>
      </c>
      <c r="C62" s="9" t="str">
        <f>FIXED(VLOOKUP($A62,'Full Sample-No Sub'!$A:$R,C$1,0),2)</f>
        <v>0.43</v>
      </c>
      <c r="D62" s="3" t="str">
        <f>FIXED(VLOOKUP($A62,'Full Sample-No Sub'!$A:$R,D$1,0),2)</f>
        <v>0.19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0.42</v>
      </c>
      <c r="H62" s="3" t="str">
        <f>FIXED(VLOOKUP($A62,'Full Sample-No Sub'!$A:$R,H$1,0),2)</f>
        <v>0.18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0.43</v>
      </c>
      <c r="L62" s="3" t="str">
        <f>FIXED(VLOOKUP($A62,'Full Sample-No Sub'!$A:$R,L$1,0),2)</f>
        <v>0.20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0.43</v>
      </c>
      <c r="P62" s="3" t="str">
        <f>FIXED(VLOOKUP($A62,'Full Sample-Townhouse'!$A:$R,P$1,0),2)</f>
        <v>0.18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0.43</v>
      </c>
      <c r="T62" s="3" t="str">
        <f>FIXED(VLOOKUP($A62,'Full Sample-Townhouse'!$A:$R,T$1,0),2)</f>
        <v>0.18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0.44</v>
      </c>
      <c r="X62" s="3" t="str">
        <f>FIXED(VLOOKUP($A62,'Full Sample-Townhouse'!$A:$R,X$1,0),2)</f>
        <v>0.19</v>
      </c>
      <c r="Y62" s="3" t="str">
        <f>FIXED(VLOOKUP($A62,'Full Sample-Townhouse'!$A:$R,Y$1,0),2)</f>
        <v>0.01</v>
      </c>
      <c r="Z62" s="3" t="str">
        <f>FIXED(VLOOKUP($A62,'Full Sample-Townhouse'!$A:$R,Z$1,0),2)</f>
        <v>1.00</v>
      </c>
      <c r="AA62" s="9" t="str">
        <f>FIXED(VLOOKUP($A62,'Full Sample-Single Family'!$A:$R,AA$1,0),2)</f>
        <v>0.41</v>
      </c>
      <c r="AB62" s="3" t="str">
        <f>FIXED(VLOOKUP($A62,'Full Sample-Single Family'!$A:$R,AB$1,0),2)</f>
        <v>0.19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0.97</v>
      </c>
      <c r="AE62" s="9" t="str">
        <f>FIXED(VLOOKUP($A62,'Full Sample-Single Family'!$A:$R,AE$1,0),2)</f>
        <v>0.42</v>
      </c>
      <c r="AF62" s="3" t="str">
        <f>FIXED(VLOOKUP($A62,'Full Sample-Single Family'!$A:$R,AF$1,0),2)</f>
        <v>0.19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0.97</v>
      </c>
      <c r="AI62" s="9" t="str">
        <f>FIXED(VLOOKUP($A62,'Full Sample-Single Family'!$A:$R,AI$1,0),2)</f>
        <v>0.41</v>
      </c>
      <c r="AJ62" s="3" t="str">
        <f>FIXED(VLOOKUP($A62,'Full Sample-Single Family'!$A:$R,AJ$1,0),2)</f>
        <v>0.20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45</v>
      </c>
      <c r="B63" t="s">
        <v>124</v>
      </c>
      <c r="C63" s="9" t="str">
        <f>FIXED(VLOOKUP($A63,'Full Sample-No Sub'!$A:$R,C$1,0),2)</f>
        <v>0.07</v>
      </c>
      <c r="D63" s="3" t="str">
        <f>FIXED(VLOOKUP($A63,'Full Sample-No Sub'!$A:$R,D$1,0),2)</f>
        <v>0.09</v>
      </c>
      <c r="E63" s="3" t="str">
        <f>FIXED(VLOOKUP($A63,'Full Sample-No Sub'!$A:$R,E$1,0),2)</f>
        <v>0.00</v>
      </c>
      <c r="F63" s="3" t="str">
        <f>FIXED(VLOOKUP($A63,'Full Sample-No Sub'!$A:$R,F$1,0),2)</f>
        <v>0.71</v>
      </c>
      <c r="G63" s="9" t="str">
        <f>FIXED(VLOOKUP($A63,'Full Sample-No Sub'!$A:$R,G$1,0),2)</f>
        <v>0.07</v>
      </c>
      <c r="H63" s="3" t="str">
        <f>FIXED(VLOOKUP($A63,'Full Sample-No Sub'!$A:$R,H$1,0),2)</f>
        <v>0.08</v>
      </c>
      <c r="I63" s="3" t="str">
        <f>FIXED(VLOOKUP($A63,'Full Sample-No Sub'!$A:$R,I$1,0),2)</f>
        <v>0.00</v>
      </c>
      <c r="J63" s="13" t="str">
        <f>FIXED(VLOOKUP($A63,'Full Sample-No Sub'!$A:$R,J$1,0),2)</f>
        <v>0.61</v>
      </c>
      <c r="K63" s="9" t="str">
        <f>FIXED(VLOOKUP($A63,'Full Sample-No Sub'!$A:$R,K$1,0),2)</f>
        <v>0.07</v>
      </c>
      <c r="L63" s="3" t="str">
        <f>FIXED(VLOOKUP($A63,'Full Sample-No Sub'!$A:$R,L$1,0),2)</f>
        <v>0.10</v>
      </c>
      <c r="M63" s="3" t="str">
        <f>FIXED(VLOOKUP($A63,'Full Sample-No Sub'!$A:$R,M$1,0),2)</f>
        <v>0.00</v>
      </c>
      <c r="N63" s="13" t="str">
        <f>FIXED(VLOOKUP($A63,'Full Sample-No Sub'!$A:$R,N$1,0),2)</f>
        <v>0.71</v>
      </c>
      <c r="O63" s="9" t="str">
        <f>FIXED(VLOOKUP($A63,'Full Sample-Townhouse'!$A:$R,O$1,0),2)</f>
        <v>0.06</v>
      </c>
      <c r="P63" s="3" t="str">
        <f>FIXED(VLOOKUP($A63,'Full Sample-Townhouse'!$A:$R,P$1,0),2)</f>
        <v>0.08</v>
      </c>
      <c r="Q63" s="3" t="str">
        <f>FIXED(VLOOKUP($A63,'Full Sample-Townhouse'!$A:$R,Q$1,0),2)</f>
        <v>0.00</v>
      </c>
      <c r="R63" s="3" t="str">
        <f>FIXED(VLOOKUP($A63,'Full Sample-Townhouse'!$A:$R,R$1,0),2)</f>
        <v>0.64</v>
      </c>
      <c r="S63" s="9" t="str">
        <f>FIXED(VLOOKUP($A63,'Full Sample-Townhouse'!$A:$R,S$1,0),2)</f>
        <v>0.06</v>
      </c>
      <c r="T63" s="3" t="str">
        <f>FIXED(VLOOKUP($A63,'Full Sample-Townhouse'!$A:$R,T$1,0),2)</f>
        <v>0.07</v>
      </c>
      <c r="U63" s="3" t="str">
        <f>FIXED(VLOOKUP($A63,'Full Sample-Townhouse'!$A:$R,U$1,0),2)</f>
        <v>0.00</v>
      </c>
      <c r="V63" s="13" t="str">
        <f>FIXED(VLOOKUP($A63,'Full Sample-Townhouse'!$A:$R,V$1,0),2)</f>
        <v>0.56</v>
      </c>
      <c r="W63" s="9" t="str">
        <f>FIXED(VLOOKUP($A63,'Full Sample-Townhouse'!$A:$R,W$1,0),2)</f>
        <v>0.06</v>
      </c>
      <c r="X63" s="3" t="str">
        <f>FIXED(VLOOKUP($A63,'Full Sample-Townhouse'!$A:$R,X$1,0),2)</f>
        <v>0.09</v>
      </c>
      <c r="Y63" s="3" t="str">
        <f>FIXED(VLOOKUP($A63,'Full Sample-Townhouse'!$A:$R,Y$1,0),2)</f>
        <v>0.00</v>
      </c>
      <c r="Z63" s="3" t="str">
        <f>FIXED(VLOOKUP($A63,'Full Sample-Townhouse'!$A:$R,Z$1,0),2)</f>
        <v>0.64</v>
      </c>
      <c r="AA63" s="9" t="str">
        <f>FIXED(VLOOKUP($A63,'Full Sample-Single Family'!$A:$R,AA$1,0),2)</f>
        <v>0.08</v>
      </c>
      <c r="AB63" s="3" t="str">
        <f>FIXED(VLOOKUP($A63,'Full Sample-Single Family'!$A:$R,AB$1,0),2)</f>
        <v>0.11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0.71</v>
      </c>
      <c r="AE63" s="9" t="str">
        <f>FIXED(VLOOKUP($A63,'Full Sample-Single Family'!$A:$R,AE$1,0),2)</f>
        <v>0.08</v>
      </c>
      <c r="AF63" s="3" t="str">
        <f>FIXED(VLOOKUP($A63,'Full Sample-Single Family'!$A:$R,AF$1,0),2)</f>
        <v>0.10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0.61</v>
      </c>
      <c r="AI63" s="9" t="str">
        <f>FIXED(VLOOKUP($A63,'Full Sample-Single Family'!$A:$R,AI$1,0),2)</f>
        <v>0.08</v>
      </c>
      <c r="AJ63" s="3" t="str">
        <f>FIXED(VLOOKUP($A63,'Full Sample-Single Family'!$A:$R,AJ$1,0),2)</f>
        <v>0.12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46</v>
      </c>
      <c r="B64" t="s">
        <v>126</v>
      </c>
      <c r="C64" s="9" t="str">
        <f>FIXED(VLOOKUP($A64,'Full Sample-No Sub'!$A:$R,C$1,0),2)</f>
        <v>0.87</v>
      </c>
      <c r="D64" s="3" t="str">
        <f>FIXED(VLOOKUP($A64,'Full Sample-No Sub'!$A:$R,D$1,0),2)</f>
        <v>0.17</v>
      </c>
      <c r="E64" s="3" t="str">
        <f>FIXED(VLOOKUP($A64,'Full Sample-No Sub'!$A:$R,E$1,0),2)</f>
        <v>0.01</v>
      </c>
      <c r="F64" s="3" t="str">
        <f>FIXED(VLOOKUP($A64,'Full Sample-No Sub'!$A:$R,F$1,0),2)</f>
        <v>1.00</v>
      </c>
      <c r="G64" s="9" t="str">
        <f>FIXED(VLOOKUP($A64,'Full Sample-No Sub'!$A:$R,G$1,0),2)</f>
        <v>0.87</v>
      </c>
      <c r="H64" s="3" t="str">
        <f>FIXED(VLOOKUP($A64,'Full Sample-No Sub'!$A:$R,H$1,0),2)</f>
        <v>0.17</v>
      </c>
      <c r="I64" s="3" t="str">
        <f>FIXED(VLOOKUP($A64,'Full Sample-No Sub'!$A:$R,I$1,0),2)</f>
        <v>0.01</v>
      </c>
      <c r="J64" s="13" t="str">
        <f>FIXED(VLOOKUP($A64,'Full Sample-No Sub'!$A:$R,J$1,0),2)</f>
        <v>1.00</v>
      </c>
      <c r="K64" s="9" t="str">
        <f>FIXED(VLOOKUP($A64,'Full Sample-No Sub'!$A:$R,K$1,0),2)</f>
        <v>0.88</v>
      </c>
      <c r="L64" s="3" t="str">
        <f>FIXED(VLOOKUP($A64,'Full Sample-No Sub'!$A:$R,L$1,0),2)</f>
        <v>0.16</v>
      </c>
      <c r="M64" s="3" t="str">
        <f>FIXED(VLOOKUP($A64,'Full Sample-No Sub'!$A:$R,M$1,0),2)</f>
        <v>0.07</v>
      </c>
      <c r="N64" s="13" t="str">
        <f>FIXED(VLOOKUP($A64,'Full Sample-No Sub'!$A:$R,N$1,0),2)</f>
        <v>1.00</v>
      </c>
      <c r="O64" s="9" t="str">
        <f>FIXED(VLOOKUP($A64,'Full Sample-Townhouse'!$A:$R,O$1,0),2)</f>
        <v>0.82</v>
      </c>
      <c r="P64" s="3" t="str">
        <f>FIXED(VLOOKUP($A64,'Full Sample-Townhouse'!$A:$R,P$1,0),2)</f>
        <v>0.20</v>
      </c>
      <c r="Q64" s="3" t="str">
        <f>FIXED(VLOOKUP($A64,'Full Sample-Townhouse'!$A:$R,Q$1,0),2)</f>
        <v>0.07</v>
      </c>
      <c r="R64" s="3" t="str">
        <f>FIXED(VLOOKUP($A64,'Full Sample-Townhouse'!$A:$R,R$1,0),2)</f>
        <v>1.00</v>
      </c>
      <c r="S64" s="9" t="str">
        <f>FIXED(VLOOKUP($A64,'Full Sample-Townhouse'!$A:$R,S$1,0),2)</f>
        <v>0.82</v>
      </c>
      <c r="T64" s="3" t="str">
        <f>FIXED(VLOOKUP($A64,'Full Sample-Townhouse'!$A:$R,T$1,0),2)</f>
        <v>0.21</v>
      </c>
      <c r="U64" s="3" t="str">
        <f>FIXED(VLOOKUP($A64,'Full Sample-Townhouse'!$A:$R,U$1,0),2)</f>
        <v>0.07</v>
      </c>
      <c r="V64" s="13" t="str">
        <f>FIXED(VLOOKUP($A64,'Full Sample-Townhouse'!$A:$R,V$1,0),2)</f>
        <v>1.00</v>
      </c>
      <c r="W64" s="9" t="str">
        <f>FIXED(VLOOKUP($A64,'Full Sample-Townhouse'!$A:$R,W$1,0),2)</f>
        <v>0.83</v>
      </c>
      <c r="X64" s="3" t="str">
        <f>FIXED(VLOOKUP($A64,'Full Sample-Townhouse'!$A:$R,X$1,0),2)</f>
        <v>0.19</v>
      </c>
      <c r="Y64" s="3" t="str">
        <f>FIXED(VLOOKUP($A64,'Full Sample-Townhouse'!$A:$R,Y$1,0),2)</f>
        <v>0.07</v>
      </c>
      <c r="Z64" s="3" t="str">
        <f>FIXED(VLOOKUP($A64,'Full Sample-Townhouse'!$A:$R,Z$1,0),2)</f>
        <v>1.00</v>
      </c>
      <c r="AA64" s="9" t="str">
        <f>FIXED(VLOOKUP($A64,'Full Sample-Single Family'!$A:$R,AA$1,0),2)</f>
        <v>0.94</v>
      </c>
      <c r="AB64" s="3" t="str">
        <f>FIXED(VLOOKUP($A64,'Full Sample-Single Family'!$A:$R,AB$1,0),2)</f>
        <v>0.08</v>
      </c>
      <c r="AC64" s="3" t="str">
        <f>FIXED(VLOOKUP($A64,'Full Sample-Single Family'!$A:$R,AC$1,0),2)</f>
        <v>0.01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0.94</v>
      </c>
      <c r="AF64" s="3" t="str">
        <f>FIXED(VLOOKUP($A64,'Full Sample-Single Family'!$A:$R,AF$1,0),2)</f>
        <v>0.07</v>
      </c>
      <c r="AG64" s="3" t="str">
        <f>FIXED(VLOOKUP($A64,'Full Sample-Single Family'!$A:$R,AG$1,0),2)</f>
        <v>0.01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0.93</v>
      </c>
      <c r="AJ64" s="3" t="str">
        <f>FIXED(VLOOKUP($A64,'Full Sample-Single Family'!$A:$R,AJ$1,0),2)</f>
        <v>0.09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40" x14ac:dyDescent="0.25">
      <c r="A65" t="s">
        <v>47</v>
      </c>
      <c r="B65" t="s">
        <v>127</v>
      </c>
      <c r="C65" s="9" t="str">
        <f>FIXED(VLOOKUP($A65,'Full Sample-No Sub'!$A:$R,C$1,0),2)</f>
        <v>0.13</v>
      </c>
      <c r="D65" s="3" t="str">
        <f>FIXED(VLOOKUP($A65,'Full Sample-No Sub'!$A:$R,D$1,0),2)</f>
        <v>0.17</v>
      </c>
      <c r="E65" s="3" t="str">
        <f>FIXED(VLOOKUP($A65,'Full Sample-No Sub'!$A:$R,E$1,0),2)</f>
        <v>0.00</v>
      </c>
      <c r="F65" s="3" t="str">
        <f>FIXED(VLOOKUP($A65,'Full Sample-No Sub'!$A:$R,F$1,0),2)</f>
        <v>0.93</v>
      </c>
      <c r="G65" s="9" t="str">
        <f>FIXED(VLOOKUP($A65,'Full Sample-No Sub'!$A:$R,G$1,0),2)</f>
        <v>0.13</v>
      </c>
      <c r="H65" s="3" t="str">
        <f>FIXED(VLOOKUP($A65,'Full Sample-No Sub'!$A:$R,H$1,0),2)</f>
        <v>0.17</v>
      </c>
      <c r="I65" s="3" t="str">
        <f>FIXED(VLOOKUP($A65,'Full Sample-No Sub'!$A:$R,I$1,0),2)</f>
        <v>0.00</v>
      </c>
      <c r="J65" s="13" t="str">
        <f>FIXED(VLOOKUP($A65,'Full Sample-No Sub'!$A:$R,J$1,0),2)</f>
        <v>0.93</v>
      </c>
      <c r="K65" s="9" t="str">
        <f>FIXED(VLOOKUP($A65,'Full Sample-No Sub'!$A:$R,K$1,0),2)</f>
        <v>0.12</v>
      </c>
      <c r="L65" s="3" t="str">
        <f>FIXED(VLOOKUP($A65,'Full Sample-No Sub'!$A:$R,L$1,0),2)</f>
        <v>0.16</v>
      </c>
      <c r="M65" s="3" t="str">
        <f>FIXED(VLOOKUP($A65,'Full Sample-No Sub'!$A:$R,M$1,0),2)</f>
        <v>0.00</v>
      </c>
      <c r="N65" s="13" t="str">
        <f>FIXED(VLOOKUP($A65,'Full Sample-No Sub'!$A:$R,N$1,0),2)</f>
        <v>0.93</v>
      </c>
      <c r="O65" s="9" t="str">
        <f>FIXED(VLOOKUP($A65,'Full Sample-Townhouse'!$A:$R,O$1,0),2)</f>
        <v>0.18</v>
      </c>
      <c r="P65" s="3" t="str">
        <f>FIXED(VLOOKUP($A65,'Full Sample-Townhouse'!$A:$R,P$1,0),2)</f>
        <v>0.20</v>
      </c>
      <c r="Q65" s="3" t="str">
        <f>FIXED(VLOOKUP($A65,'Full Sample-Townhouse'!$A:$R,Q$1,0),2)</f>
        <v>0.00</v>
      </c>
      <c r="R65" s="3" t="str">
        <f>FIXED(VLOOKUP($A65,'Full Sample-Townhouse'!$A:$R,R$1,0),2)</f>
        <v>0.93</v>
      </c>
      <c r="S65" s="9" t="str">
        <f>FIXED(VLOOKUP($A65,'Full Sample-Townhouse'!$A:$R,S$1,0),2)</f>
        <v>0.18</v>
      </c>
      <c r="T65" s="3" t="str">
        <f>FIXED(VLOOKUP($A65,'Full Sample-Townhouse'!$A:$R,T$1,0),2)</f>
        <v>0.21</v>
      </c>
      <c r="U65" s="3" t="str">
        <f>FIXED(VLOOKUP($A65,'Full Sample-Townhouse'!$A:$R,U$1,0),2)</f>
        <v>0.00</v>
      </c>
      <c r="V65" s="13" t="str">
        <f>FIXED(VLOOKUP($A65,'Full Sample-Townhouse'!$A:$R,V$1,0),2)</f>
        <v>0.93</v>
      </c>
      <c r="W65" s="9" t="str">
        <f>FIXED(VLOOKUP($A65,'Full Sample-Townhouse'!$A:$R,W$1,0),2)</f>
        <v>0.17</v>
      </c>
      <c r="X65" s="3" t="str">
        <f>FIXED(VLOOKUP($A65,'Full Sample-Townhouse'!$A:$R,X$1,0),2)</f>
        <v>0.19</v>
      </c>
      <c r="Y65" s="3" t="str">
        <f>FIXED(VLOOKUP($A65,'Full Sample-Townhouse'!$A:$R,Y$1,0),2)</f>
        <v>0.00</v>
      </c>
      <c r="Z65" s="3" t="str">
        <f>FIXED(VLOOKUP($A65,'Full Sample-Townhouse'!$A:$R,Z$1,0),2)</f>
        <v>0.93</v>
      </c>
      <c r="AA65" s="9" t="str">
        <f>FIXED(VLOOKUP($A65,'Full Sample-Single Family'!$A:$R,AA$1,0),2)</f>
        <v>0.06</v>
      </c>
      <c r="AB65" s="3" t="str">
        <f>FIXED(VLOOKUP($A65,'Full Sample-Single Family'!$A:$R,AB$1,0),2)</f>
        <v>0.08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0.70</v>
      </c>
      <c r="AE65" s="9" t="str">
        <f>FIXED(VLOOKUP($A65,'Full Sample-Single Family'!$A:$R,AE$1,0),2)</f>
        <v>0.06</v>
      </c>
      <c r="AF65" s="3" t="str">
        <f>FIXED(VLOOKUP($A65,'Full Sample-Single Family'!$A:$R,AF$1,0),2)</f>
        <v>0.07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0.70</v>
      </c>
      <c r="AI65" s="9" t="str">
        <f>FIXED(VLOOKUP($A65,'Full Sample-Single Family'!$A:$R,AI$1,0),2)</f>
        <v>0.06</v>
      </c>
      <c r="AJ65" s="3" t="str">
        <f>FIXED(VLOOKUP($A65,'Full Sample-Single Family'!$A:$R,AJ$1,0),2)</f>
        <v>0.08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40" x14ac:dyDescent="0.25">
      <c r="A66" t="s">
        <v>48</v>
      </c>
      <c r="B66" t="s">
        <v>128</v>
      </c>
      <c r="C66" s="9" t="str">
        <f>FIXED(VLOOKUP($A66,'Full Sample-No Sub'!$A:$R,C$1,0),2)</f>
        <v>0.64</v>
      </c>
      <c r="D66" s="3" t="str">
        <f>FIXED(VLOOKUP($A66,'Full Sample-No Sub'!$A:$R,D$1,0),2)</f>
        <v>0.21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0.63</v>
      </c>
      <c r="H66" s="3" t="str">
        <f>FIXED(VLOOKUP($A66,'Full Sample-No Sub'!$A:$R,H$1,0),2)</f>
        <v>0.21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0.66</v>
      </c>
      <c r="L66" s="3" t="str">
        <f>FIXED(VLOOKUP($A66,'Full Sample-No Sub'!$A:$R,L$1,0),2)</f>
        <v>0.21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0.55</v>
      </c>
      <c r="P66" s="3" t="str">
        <f>FIXED(VLOOKUP($A66,'Full Sample-Townhouse'!$A:$R,P$1,0),2)</f>
        <v>0.19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0.53</v>
      </c>
      <c r="T66" s="3" t="str">
        <f>FIXED(VLOOKUP($A66,'Full Sample-Townhouse'!$A:$R,T$1,0),2)</f>
        <v>0.19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0.57</v>
      </c>
      <c r="X66" s="3" t="str">
        <f>FIXED(VLOOKUP($A66,'Full Sample-Townhouse'!$A:$R,X$1,0),2)</f>
        <v>0.20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0.75</v>
      </c>
      <c r="AB66" s="3" t="str">
        <f>FIXED(VLOOKUP($A66,'Full Sample-Single Family'!$A:$R,AB$1,0),2)</f>
        <v>0.17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0.74</v>
      </c>
      <c r="AF66" s="3" t="str">
        <f>FIXED(VLOOKUP($A66,'Full Sample-Single Family'!$A:$R,AF$1,0),2)</f>
        <v>0.16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0.76</v>
      </c>
      <c r="AJ66" s="3" t="str">
        <f>FIXED(VLOOKUP($A66,'Full Sample-Single Family'!$A:$R,AJ$1,0),2)</f>
        <v>0.17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40" x14ac:dyDescent="0.25">
      <c r="A67" t="s">
        <v>49</v>
      </c>
      <c r="B67" t="s">
        <v>129</v>
      </c>
      <c r="C67" s="9" t="str">
        <f>FIXED(VLOOKUP($A67,'Full Sample-No Sub'!$A:$R,C$1,0),2)</f>
        <v>0.36</v>
      </c>
      <c r="D67" s="3" t="str">
        <f>FIXED(VLOOKUP($A67,'Full Sample-No Sub'!$A:$R,D$1,0),2)</f>
        <v>0.21</v>
      </c>
      <c r="E67" s="3" t="str">
        <f>FIXED(VLOOKUP($A67,'Full Sample-No Sub'!$A:$R,E$1,0),2)</f>
        <v>0.00</v>
      </c>
      <c r="F67" s="3" t="str">
        <f>FIXED(VLOOKUP($A67,'Full Sample-No Sub'!$A:$R,F$1,0),2)</f>
        <v>1.00</v>
      </c>
      <c r="G67" s="9" t="str">
        <f>FIXED(VLOOKUP($A67,'Full Sample-No Sub'!$A:$R,G$1,0),2)</f>
        <v>0.37</v>
      </c>
      <c r="H67" s="3" t="str">
        <f>FIXED(VLOOKUP($A67,'Full Sample-No Sub'!$A:$R,H$1,0),2)</f>
        <v>0.21</v>
      </c>
      <c r="I67" s="3" t="str">
        <f>FIXED(VLOOKUP($A67,'Full Sample-No Sub'!$A:$R,I$1,0),2)</f>
        <v>0.00</v>
      </c>
      <c r="J67" s="13" t="str">
        <f>FIXED(VLOOKUP($A67,'Full Sample-No Sub'!$A:$R,J$1,0),2)</f>
        <v>1.00</v>
      </c>
      <c r="K67" s="9" t="str">
        <f>FIXED(VLOOKUP($A67,'Full Sample-No Sub'!$A:$R,K$1,0),2)</f>
        <v>0.34</v>
      </c>
      <c r="L67" s="3" t="str">
        <f>FIXED(VLOOKUP($A67,'Full Sample-No Sub'!$A:$R,L$1,0),2)</f>
        <v>0.21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FIXED(VLOOKUP($A67,'Full Sample-Townhouse'!$A:$R,O$1,0),2)</f>
        <v>0.45</v>
      </c>
      <c r="P67" s="3" t="str">
        <f>FIXED(VLOOKUP($A67,'Full Sample-Townhouse'!$A:$R,P$1,0),2)</f>
        <v>0.19</v>
      </c>
      <c r="Q67" s="3" t="str">
        <f>FIXED(VLOOKUP($A67,'Full Sample-Townhouse'!$A:$R,Q$1,0),2)</f>
        <v>0.00</v>
      </c>
      <c r="R67" s="3" t="str">
        <f>FIXED(VLOOKUP($A67,'Full Sample-Townhouse'!$A:$R,R$1,0),2)</f>
        <v>1.00</v>
      </c>
      <c r="S67" s="9" t="str">
        <f>FIXED(VLOOKUP($A67,'Full Sample-Townhouse'!$A:$R,S$1,0),2)</f>
        <v>0.47</v>
      </c>
      <c r="T67" s="3" t="str">
        <f>FIXED(VLOOKUP($A67,'Full Sample-Townhouse'!$A:$R,T$1,0),2)</f>
        <v>0.19</v>
      </c>
      <c r="U67" s="3" t="str">
        <f>FIXED(VLOOKUP($A67,'Full Sample-Townhouse'!$A:$R,U$1,0),2)</f>
        <v>0.00</v>
      </c>
      <c r="V67" s="13" t="str">
        <f>FIXED(VLOOKUP($A67,'Full Sample-Townhouse'!$A:$R,V$1,0),2)</f>
        <v>1.00</v>
      </c>
      <c r="W67" s="9" t="str">
        <f>FIXED(VLOOKUP($A67,'Full Sample-Townhouse'!$A:$R,W$1,0),2)</f>
        <v>0.43</v>
      </c>
      <c r="X67" s="3" t="str">
        <f>FIXED(VLOOKUP($A67,'Full Sample-Townhouse'!$A:$R,X$1,0),2)</f>
        <v>0.20</v>
      </c>
      <c r="Y67" s="3" t="str">
        <f>FIXED(VLOOKUP($A67,'Full Sample-Townhouse'!$A:$R,Y$1,0),2)</f>
        <v>0.00</v>
      </c>
      <c r="Z67" s="3" t="str">
        <f>FIXED(VLOOKUP($A67,'Full Sample-Townhouse'!$A:$R,Z$1,0),2)</f>
        <v>1.00</v>
      </c>
      <c r="AA67" s="9" t="str">
        <f>FIXED(VLOOKUP($A67,'Full Sample-Single Family'!$A:$R,AA$1,0),2)</f>
        <v>0.25</v>
      </c>
      <c r="AB67" s="3" t="str">
        <f>FIXED(VLOOKUP($A67,'Full Sample-Single Family'!$A:$R,AB$1,0),2)</f>
        <v>0.17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1.00</v>
      </c>
      <c r="AE67" s="9" t="str">
        <f>FIXED(VLOOKUP($A67,'Full Sample-Single Family'!$A:$R,AE$1,0),2)</f>
        <v>0.26</v>
      </c>
      <c r="AF67" s="3" t="str">
        <f>FIXED(VLOOKUP($A67,'Full Sample-Single Family'!$A:$R,AF$1,0),2)</f>
        <v>0.16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1.00</v>
      </c>
      <c r="AI67" s="9" t="str">
        <f>FIXED(VLOOKUP($A67,'Full Sample-Single Family'!$A:$R,AI$1,0),2)</f>
        <v>0.24</v>
      </c>
      <c r="AJ67" s="3" t="str">
        <f>FIXED(VLOOKUP($A67,'Full Sample-Single Family'!$A:$R,AJ$1,0),2)</f>
        <v>0.17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40" x14ac:dyDescent="0.25">
      <c r="C68" s="9"/>
      <c r="G68" s="9"/>
      <c r="J68" s="13"/>
      <c r="K68" s="9"/>
      <c r="N68" s="13"/>
      <c r="O68" s="9"/>
      <c r="P68" s="3"/>
      <c r="Q68" s="3"/>
      <c r="R68" s="3"/>
      <c r="S68" s="9"/>
      <c r="T68" s="3"/>
      <c r="U68" s="3"/>
      <c r="V68" s="13"/>
      <c r="W68" s="9"/>
      <c r="X68" s="3"/>
      <c r="Y68" s="3"/>
      <c r="Z68" s="3"/>
      <c r="AA68" s="9"/>
      <c r="AB68" s="3"/>
      <c r="AC68" s="3"/>
      <c r="AD68" s="3"/>
      <c r="AE68" s="9"/>
      <c r="AF68" s="3"/>
      <c r="AG68" s="3"/>
      <c r="AH68" s="13"/>
      <c r="AI68" s="9"/>
      <c r="AJ68" s="3"/>
      <c r="AK68" s="3"/>
      <c r="AL68" s="3"/>
    </row>
    <row r="69" spans="1:40" x14ac:dyDescent="0.25">
      <c r="A69" t="s">
        <v>186</v>
      </c>
      <c r="B69" t="s">
        <v>187</v>
      </c>
      <c r="C69" s="36">
        <f>'Full Sample-No Sub'!B3</f>
        <v>50394</v>
      </c>
      <c r="D69" s="37"/>
      <c r="E69" s="37"/>
      <c r="F69" s="37"/>
      <c r="G69" s="36">
        <f>'Full Sample-No Sub'!H3</f>
        <v>29046</v>
      </c>
      <c r="H69" s="37"/>
      <c r="I69" s="37"/>
      <c r="J69" s="38"/>
      <c r="K69" s="36">
        <f>'Full Sample-No Sub'!N3</f>
        <v>21348</v>
      </c>
      <c r="L69" s="37"/>
      <c r="M69" s="37"/>
      <c r="N69" s="38"/>
      <c r="O69" s="36">
        <f>'Full Sample-Townhouse'!B3</f>
        <v>27429</v>
      </c>
      <c r="P69" s="37"/>
      <c r="Q69" s="37"/>
      <c r="R69" s="37"/>
      <c r="S69" s="36">
        <f>'Full Sample-Townhouse'!H3</f>
        <v>15783</v>
      </c>
      <c r="T69" s="37"/>
      <c r="U69" s="37"/>
      <c r="V69" s="38"/>
      <c r="W69" s="36">
        <f>'Full Sample-Townhouse'!N3</f>
        <v>11646</v>
      </c>
      <c r="X69" s="37"/>
      <c r="Y69" s="37"/>
      <c r="Z69" s="37"/>
      <c r="AA69" s="36">
        <f>'Full Sample-Single Family'!B3</f>
        <v>22965</v>
      </c>
      <c r="AB69" s="37"/>
      <c r="AC69" s="37"/>
      <c r="AD69" s="37"/>
      <c r="AE69" s="36">
        <f>'Full Sample-Single Family'!H3</f>
        <v>13263</v>
      </c>
      <c r="AF69" s="37"/>
      <c r="AG69" s="37"/>
      <c r="AH69" s="38"/>
      <c r="AI69" s="36">
        <f>'Full Sample-Single Family'!N3</f>
        <v>9702</v>
      </c>
      <c r="AJ69" s="37"/>
      <c r="AK69" s="37"/>
      <c r="AL69" s="37"/>
    </row>
    <row r="70" spans="1:40" x14ac:dyDescent="0.25"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40" x14ac:dyDescent="0.25">
      <c r="K71" s="27"/>
      <c r="O71" s="3"/>
      <c r="P71" s="3"/>
      <c r="Q71" s="3"/>
      <c r="R71" s="3"/>
      <c r="S71" s="3"/>
      <c r="T71" s="3"/>
      <c r="U71" s="3"/>
      <c r="V71" s="3"/>
      <c r="W71" s="3"/>
      <c r="X71" s="27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27"/>
      <c r="AK71" s="3"/>
      <c r="AL71" s="3"/>
      <c r="AN71" s="1"/>
    </row>
    <row r="72" spans="1:40" x14ac:dyDescent="0.25"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40" x14ac:dyDescent="0.25">
      <c r="A73" t="s">
        <v>17</v>
      </c>
      <c r="B73" t="s">
        <v>101</v>
      </c>
      <c r="C73" s="3" t="str">
        <f>FIXED(VLOOKUP($A73,'Full Sample-No Sub'!$A:$R,C$1,0),2)</f>
        <v>164.77</v>
      </c>
      <c r="D73" s="3" t="str">
        <f>FIXED(VLOOKUP($A73,'Full Sample-No Sub'!$A:$R,D$1,0),2)</f>
        <v>229.81</v>
      </c>
      <c r="E73" s="3" t="str">
        <f>FIXED(VLOOKUP($A73,'Full Sample-No Sub'!$A:$R,E$1,0),2)</f>
        <v>0.00</v>
      </c>
      <c r="F73" s="3" t="str">
        <f>FIXED(VLOOKUP($A73,'Full Sample-No Sub'!$A:$R,F$1,0),2)</f>
        <v>5,000.00</v>
      </c>
      <c r="G73" s="3" t="str">
        <f>FIXED(VLOOKUP($A73,'Full Sample-No Sub'!$A:$R,G$1,0),2)</f>
        <v>162.56</v>
      </c>
      <c r="H73" s="3" t="str">
        <f>FIXED(VLOOKUP($A73,'Full Sample-No Sub'!$A:$R,H$1,0),2)</f>
        <v>229.65</v>
      </c>
      <c r="I73" s="3" t="str">
        <f>FIXED(VLOOKUP($A73,'Full Sample-No Sub'!$A:$R,I$1,0),2)</f>
        <v>0.00</v>
      </c>
      <c r="J73" s="3" t="str">
        <f>FIXED(VLOOKUP($A73,'Full Sample-No Sub'!$A:$R,J$1,0),2)</f>
        <v>5,000.00</v>
      </c>
      <c r="K73" s="3" t="str">
        <f>FIXED(VLOOKUP($A73,'Full Sample-No Sub'!$A:$R,K$1,0),2)</f>
        <v>167.77</v>
      </c>
      <c r="L73" s="3" t="str">
        <f>FIXED(VLOOKUP($A73,'Full Sample-No Sub'!$A:$R,L$1,0),2)</f>
        <v>229.99</v>
      </c>
      <c r="M73" s="3" t="str">
        <f>FIXED(VLOOKUP($A73,'Full Sample-No Sub'!$A:$R,M$1,0),2)</f>
        <v>0.00</v>
      </c>
      <c r="N73" s="3" t="str">
        <f>FIXED(VLOOKUP($A73,'Full Sample-No Sub'!$A:$R,N$1,0),2)</f>
        <v>3,200.00</v>
      </c>
      <c r="O73" s="3" t="str">
        <f>FIXED(VLOOKUP($A73,'Full Sample-Townhouse'!$A:$R,O$1,0),2)</f>
        <v>26.52</v>
      </c>
      <c r="P73" s="3" t="str">
        <f>FIXED(VLOOKUP($A73,'Full Sample-Townhouse'!$A:$R,P$1,0),2)</f>
        <v>96.87</v>
      </c>
      <c r="Q73" s="3" t="str">
        <f>FIXED(VLOOKUP($A73,'Full Sample-Townhouse'!$A:$R,Q$1,0),2)</f>
        <v>0.00</v>
      </c>
      <c r="R73" s="3" t="str">
        <f>FIXED(VLOOKUP($A73,'Full Sample-Townhouse'!$A:$R,R$1,0),2)</f>
        <v>1,380.00</v>
      </c>
      <c r="S73" s="3" t="str">
        <f>FIXED(VLOOKUP($A73,'Full Sample-Townhouse'!$A:$R,S$1,0),2)</f>
        <v>22.52</v>
      </c>
      <c r="T73" s="3" t="str">
        <f>FIXED(VLOOKUP($A73,'Full Sample-Townhouse'!$A:$R,T$1,0),2)</f>
        <v>89.21</v>
      </c>
      <c r="U73" s="3" t="str">
        <f>FIXED(VLOOKUP($A73,'Full Sample-Townhouse'!$A:$R,U$1,0),2)</f>
        <v>0.00</v>
      </c>
      <c r="V73" s="3" t="str">
        <f>FIXED(VLOOKUP($A73,'Full Sample-Townhouse'!$A:$R,V$1,0),2)</f>
        <v>942.00</v>
      </c>
      <c r="W73" s="3" t="str">
        <f>FIXED(VLOOKUP($A73,'Full Sample-Townhouse'!$A:$R,W$1,0),2)</f>
        <v>31.94</v>
      </c>
      <c r="X73" s="3" t="str">
        <f>FIXED(VLOOKUP($A73,'Full Sample-Townhouse'!$A:$R,X$1,0),2)</f>
        <v>106.13</v>
      </c>
      <c r="Y73" s="3" t="str">
        <f>FIXED(VLOOKUP($A73,'Full Sample-Townhouse'!$A:$R,Y$1,0),2)</f>
        <v>0.00</v>
      </c>
      <c r="Z73" s="3" t="str">
        <f>FIXED(VLOOKUP($A73,'Full Sample-Townhouse'!$A:$R,Z$1,0),2)</f>
        <v>1,380.00</v>
      </c>
      <c r="AA73" s="3" t="str">
        <f>FIXED(VLOOKUP($A73,'Full Sample-Single Family'!$A:$R,AA$1,0),2)</f>
        <v>329.89</v>
      </c>
      <c r="AB73" s="3" t="str">
        <f>FIXED(VLOOKUP($A73,'Full Sample-Single Family'!$A:$R,AB$1,0),2)</f>
        <v>233.65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5,000.00</v>
      </c>
      <c r="AE73" s="3" t="str">
        <f>FIXED(VLOOKUP($A73,'Full Sample-Single Family'!$A:$R,AE$1,0),2)</f>
        <v>329.21</v>
      </c>
      <c r="AF73" s="3" t="str">
        <f>FIXED(VLOOKUP($A73,'Full Sample-Single Family'!$A:$R,AF$1,0),2)</f>
        <v>234.36</v>
      </c>
      <c r="AG73" s="3" t="str">
        <f>FIXED(VLOOKUP($A73,'Full Sample-Single Family'!$A:$R,AG$1,0),2)</f>
        <v>0.00</v>
      </c>
      <c r="AH73" s="3" t="str">
        <f>FIXED(VLOOKUP($A73,'Full Sample-Single Family'!$A:$R,AH$1,0),2)</f>
        <v>5,000.00</v>
      </c>
      <c r="AI73" s="3" t="str">
        <f>FIXED(VLOOKUP($A73,'Full Sample-Single Family'!$A:$R,AI$1,0),2)</f>
        <v>330.81</v>
      </c>
      <c r="AJ73" s="3" t="str">
        <f>FIXED(VLOOKUP($A73,'Full Sample-Single Family'!$A:$R,AJ$1,0),2)</f>
        <v>232.69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40" x14ac:dyDescent="0.25">
      <c r="A74" t="s">
        <v>32</v>
      </c>
      <c r="B74" s="4" t="s">
        <v>116</v>
      </c>
      <c r="C74" s="3" t="str">
        <f>FIXED(VLOOKUP($A74,'Full Sample-No Sub'!$A:$R,C$1,0),2)</f>
        <v>0.46</v>
      </c>
      <c r="D74" s="3" t="str">
        <f>FIXED(VLOOKUP($A74,'Full Sample-No Sub'!$A:$R,D$1,0),2)</f>
        <v>0.50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3" t="str">
        <f>FIXED(VLOOKUP($A74,'Full Sample-No Sub'!$A:$R,G$1,0),2)</f>
        <v>0.46</v>
      </c>
      <c r="H74" s="3" t="str">
        <f>FIXED(VLOOKUP($A74,'Full Sample-No Sub'!$A:$R,H$1,0),2)</f>
        <v>0.50</v>
      </c>
      <c r="I74" s="3" t="str">
        <f>FIXED(VLOOKUP($A74,'Full Sample-No Sub'!$A:$R,I$1,0),2)</f>
        <v>0.00</v>
      </c>
      <c r="J74" s="3" t="str">
        <f>FIXED(VLOOKUP($A74,'Full Sample-No Sub'!$A:$R,J$1,0),2)</f>
        <v>1.00</v>
      </c>
      <c r="K74" s="3" t="str">
        <f>FIXED(VLOOKUP($A74,'Full Sample-No Sub'!$A:$R,K$1,0),2)</f>
        <v>0.46</v>
      </c>
      <c r="L74" s="3" t="str">
        <f>FIXED(VLOOKUP($A74,'Full Sample-No Sub'!$A:$R,L$1,0),2)</f>
        <v>0.50</v>
      </c>
      <c r="M74" s="3" t="str">
        <f>FIXED(VLOOKUP($A74,'Full Sample-No Sub'!$A:$R,M$1,0),2)</f>
        <v>0.00</v>
      </c>
      <c r="N74" s="3" t="str">
        <f>FIXED(VLOOKUP($A74,'Full Sample-No Sub'!$A:$R,N$1,0),2)</f>
        <v>1.00</v>
      </c>
      <c r="O74" s="3" t="str">
        <f>FIXED(VLOOKUP($A74,'Full Sample-Townhouse'!$A:$R,O$1,0),2)</f>
        <v>0.00</v>
      </c>
      <c r="P74" s="3" t="str">
        <f>FIXED(VLOOKUP($A74,'Full Sample-Townhouse'!$A:$R,P$1,0),2)</f>
        <v>0.04</v>
      </c>
      <c r="Q74" s="3" t="str">
        <f>FIXED(VLOOKUP($A74,'Full Sample-Townhouse'!$A:$R,Q$1,0),2)</f>
        <v>0.00</v>
      </c>
      <c r="R74" s="3" t="str">
        <f>FIXED(VLOOKUP($A74,'Full Sample-Townhouse'!$A:$R,R$1,0),2)</f>
        <v>1.00</v>
      </c>
      <c r="S74" s="3" t="str">
        <f>FIXED(VLOOKUP($A74,'Full Sample-Townhouse'!$A:$R,S$1,0),2)</f>
        <v>0.00</v>
      </c>
      <c r="T74" s="3" t="str">
        <f>FIXED(VLOOKUP($A74,'Full Sample-Townhouse'!$A:$R,T$1,0),2)</f>
        <v>0.04</v>
      </c>
      <c r="U74" s="3" t="str">
        <f>FIXED(VLOOKUP($A74,'Full Sample-Townhouse'!$A:$R,U$1,0),2)</f>
        <v>0.00</v>
      </c>
      <c r="V74" s="3" t="str">
        <f>FIXED(VLOOKUP($A74,'Full Sample-Townhouse'!$A:$R,V$1,0),2)</f>
        <v>1.00</v>
      </c>
      <c r="W74" s="3" t="str">
        <f>FIXED(VLOOKUP($A74,'Full Sample-Townhouse'!$A:$R,W$1,0),2)</f>
        <v>0.00</v>
      </c>
      <c r="X74" s="3" t="str">
        <f>FIXED(VLOOKUP($A74,'Full Sample-Townhouse'!$A:$R,X$1,0),2)</f>
        <v>0.04</v>
      </c>
      <c r="Y74" s="3" t="str">
        <f>FIXED(VLOOKUP($A74,'Full Sample-Townhouse'!$A:$R,Y$1,0),2)</f>
        <v>0.00</v>
      </c>
      <c r="Z74" s="3" t="str">
        <f>FIXED(VLOOKUP($A74,'Full Sample-Townhouse'!$A:$R,Z$1,0),2)</f>
        <v>1.00</v>
      </c>
      <c r="AA74" s="3" t="str">
        <f>FIXED(VLOOKUP($A74,'Full Sample-Single Family'!$A:$R,AA$1,0),2)</f>
        <v>1.00</v>
      </c>
      <c r="AB74" s="3" t="str">
        <f>FIXED(VLOOKUP($A74,'Full Sample-Single Family'!$A:$R,AB$1,0),2)</f>
        <v>0.02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3" t="str">
        <f>FIXED(VLOOKUP($A74,'Full Sample-Single Family'!$A:$R,AE$1,0),2)</f>
        <v>1.00</v>
      </c>
      <c r="AF74" s="3" t="str">
        <f>FIXED(VLOOKUP($A74,'Full Sample-Single Family'!$A:$R,AF$1,0),2)</f>
        <v>0.02</v>
      </c>
      <c r="AG74" s="3" t="str">
        <f>FIXED(VLOOKUP($A74,'Full Sample-Single Family'!$A:$R,AG$1,0),2)</f>
        <v>0.00</v>
      </c>
      <c r="AH74" s="3" t="str">
        <f>FIXED(VLOOKUP($A74,'Full Sample-Single Family'!$A:$R,AH$1,0),2)</f>
        <v>1.00</v>
      </c>
      <c r="AI74" s="3" t="str">
        <f>FIXED(VLOOKUP($A74,'Full Sample-Single Family'!$A:$R,AI$1,0),2)</f>
        <v>1.00</v>
      </c>
      <c r="AJ74" s="3" t="str">
        <f>FIXED(VLOOKUP($A74,'Full Sample-Single Family'!$A:$R,AJ$1,0),2)</f>
        <v>0.01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40" x14ac:dyDescent="0.25">
      <c r="A75" t="s">
        <v>35</v>
      </c>
      <c r="B75" t="s">
        <v>119</v>
      </c>
      <c r="C75" s="3" t="str">
        <f>FIXED(VLOOKUP($A75,'Full Sample-No Sub'!$A:$R,C$1,0),2)</f>
        <v>3.04</v>
      </c>
      <c r="D75" s="3" t="str">
        <f>FIXED(VLOOKUP($A75,'Full Sample-No Sub'!$A:$R,D$1,0),2)</f>
        <v>9.19</v>
      </c>
      <c r="E75" s="3" t="str">
        <f>FIXED(VLOOKUP($A75,'Full Sample-No Sub'!$A:$R,E$1,0),2)</f>
        <v>0.00</v>
      </c>
      <c r="F75" s="3" t="str">
        <f>FIXED(VLOOKUP($A75,'Full Sample-No Sub'!$A:$R,F$1,0),2)</f>
        <v>94.00</v>
      </c>
      <c r="G75" s="3" t="str">
        <f>FIXED(VLOOKUP($A75,'Full Sample-No Sub'!$A:$R,G$1,0),2)</f>
        <v>2.82</v>
      </c>
      <c r="H75" s="3" t="str">
        <f>FIXED(VLOOKUP($A75,'Full Sample-No Sub'!$A:$R,H$1,0),2)</f>
        <v>8.78</v>
      </c>
      <c r="I75" s="3" t="str">
        <f>FIXED(VLOOKUP($A75,'Full Sample-No Sub'!$A:$R,I$1,0),2)</f>
        <v>0.00</v>
      </c>
      <c r="J75" s="3" t="str">
        <f>FIXED(VLOOKUP($A75,'Full Sample-No Sub'!$A:$R,J$1,0),2)</f>
        <v>88.00</v>
      </c>
      <c r="K75" s="3" t="str">
        <f>FIXED(VLOOKUP($A75,'Full Sample-No Sub'!$A:$R,K$1,0),2)</f>
        <v>3.34</v>
      </c>
      <c r="L75" s="3" t="str">
        <f>FIXED(VLOOKUP($A75,'Full Sample-No Sub'!$A:$R,L$1,0),2)</f>
        <v>9.70</v>
      </c>
      <c r="M75" s="3" t="str">
        <f>FIXED(VLOOKUP($A75,'Full Sample-No Sub'!$A:$R,M$1,0),2)</f>
        <v>0.00</v>
      </c>
      <c r="N75" s="3" t="str">
        <f>FIXED(VLOOKUP($A75,'Full Sample-No Sub'!$A:$R,N$1,0),2)</f>
        <v>94.00</v>
      </c>
      <c r="O75" s="3" t="str">
        <f>FIXED(VLOOKUP($A75,'Full Sample-Townhouse'!$A:$R,O$1,0),2)</f>
        <v>1.45</v>
      </c>
      <c r="P75" s="3" t="str">
        <f>FIXED(VLOOKUP($A75,'Full Sample-Townhouse'!$A:$R,P$1,0),2)</f>
        <v>4.04</v>
      </c>
      <c r="Q75" s="3" t="str">
        <f>FIXED(VLOOKUP($A75,'Full Sample-Townhouse'!$A:$R,Q$1,0),2)</f>
        <v>0.00</v>
      </c>
      <c r="R75" s="3" t="str">
        <f>FIXED(VLOOKUP($A75,'Full Sample-Townhouse'!$A:$R,R$1,0),2)</f>
        <v>57.00</v>
      </c>
      <c r="S75" s="3" t="str">
        <f>FIXED(VLOOKUP($A75,'Full Sample-Townhouse'!$A:$R,S$1,0),2)</f>
        <v>1.37</v>
      </c>
      <c r="T75" s="3" t="str">
        <f>FIXED(VLOOKUP($A75,'Full Sample-Townhouse'!$A:$R,T$1,0),2)</f>
        <v>3.88</v>
      </c>
      <c r="U75" s="3" t="str">
        <f>FIXED(VLOOKUP($A75,'Full Sample-Townhouse'!$A:$R,U$1,0),2)</f>
        <v>0.00</v>
      </c>
      <c r="V75" s="3" t="str">
        <f>FIXED(VLOOKUP($A75,'Full Sample-Townhouse'!$A:$R,V$1,0),2)</f>
        <v>57.00</v>
      </c>
      <c r="W75" s="3" t="str">
        <f>FIXED(VLOOKUP($A75,'Full Sample-Townhouse'!$A:$R,W$1,0),2)</f>
        <v>1.54</v>
      </c>
      <c r="X75" s="3" t="str">
        <f>FIXED(VLOOKUP($A75,'Full Sample-Townhouse'!$A:$R,X$1,0),2)</f>
        <v>4.26</v>
      </c>
      <c r="Y75" s="3" t="str">
        <f>FIXED(VLOOKUP($A75,'Full Sample-Townhouse'!$A:$R,Y$1,0),2)</f>
        <v>0.00</v>
      </c>
      <c r="Z75" s="3" t="str">
        <f>FIXED(VLOOKUP($A75,'Full Sample-Townhouse'!$A:$R,Z$1,0),2)</f>
        <v>45.00</v>
      </c>
      <c r="AA75" s="3" t="str">
        <f>FIXED(VLOOKUP($A75,'Full Sample-Single Family'!$A:$R,AA$1,0),2)</f>
        <v>4.94</v>
      </c>
      <c r="AB75" s="3" t="str">
        <f>FIXED(VLOOKUP($A75,'Full Sample-Single Family'!$A:$R,AB$1,0),2)</f>
        <v>12.61</v>
      </c>
      <c r="AC75" s="3" t="str">
        <f>FIXED(VLOOKUP($A75,'Full Sample-Single Family'!$A:$R,AC$1,0),2)</f>
        <v>0.00</v>
      </c>
      <c r="AD75" s="3" t="str">
        <f>FIXED(VLOOKUP($A75,'Full Sample-Single Family'!$A:$R,AD$1,0),2)</f>
        <v>94.00</v>
      </c>
      <c r="AE75" s="3" t="str">
        <f>FIXED(VLOOKUP($A75,'Full Sample-Single Family'!$A:$R,AE$1,0),2)</f>
        <v>4.54</v>
      </c>
      <c r="AF75" s="3" t="str">
        <f>FIXED(VLOOKUP($A75,'Full Sample-Single Family'!$A:$R,AF$1,0),2)</f>
        <v>12.06</v>
      </c>
      <c r="AG75" s="3" t="str">
        <f>FIXED(VLOOKUP($A75,'Full Sample-Single Family'!$A:$R,AG$1,0),2)</f>
        <v>0.00</v>
      </c>
      <c r="AH75" s="3" t="str">
        <f>FIXED(VLOOKUP($A75,'Full Sample-Single Family'!$A:$R,AH$1,0),2)</f>
        <v>88.00</v>
      </c>
      <c r="AI75" s="3" t="str">
        <f>FIXED(VLOOKUP($A75,'Full Sample-Single Family'!$A:$R,AI$1,0),2)</f>
        <v>5.49</v>
      </c>
      <c r="AJ75" s="3" t="str">
        <f>FIXED(VLOOKUP($A75,'Full Sample-Single Family'!$A:$R,AJ$1,0),2)</f>
        <v>13.30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40" x14ac:dyDescent="0.25">
      <c r="A76" t="s">
        <v>37</v>
      </c>
      <c r="B76" t="s">
        <v>137</v>
      </c>
      <c r="C76" s="3" t="str">
        <f>FIXED(VLOOKUP($A76,'Full Sample-No Sub'!$A:$R,C$1,0),2)</f>
        <v>3.14</v>
      </c>
      <c r="D76" s="3" t="str">
        <f>FIXED(VLOOKUP($A76,'Full Sample-No Sub'!$A:$R,D$1,0),2)</f>
        <v>5.98</v>
      </c>
      <c r="E76" s="3" t="str">
        <f>FIXED(VLOOKUP($A76,'Full Sample-No Sub'!$A:$R,E$1,0),2)</f>
        <v>0.01</v>
      </c>
      <c r="F76" s="3" t="str">
        <f>FIXED(VLOOKUP($A76,'Full Sample-No Sub'!$A:$R,F$1,0),2)</f>
        <v>128.92</v>
      </c>
      <c r="G76" s="3" t="str">
        <f>FIXED(VLOOKUP($A76,'Full Sample-No Sub'!$A:$R,G$1,0),2)</f>
        <v>3.13</v>
      </c>
      <c r="H76" s="3" t="str">
        <f>FIXED(VLOOKUP($A76,'Full Sample-No Sub'!$A:$R,H$1,0),2)</f>
        <v>5.92</v>
      </c>
      <c r="I76" s="3" t="str">
        <f>FIXED(VLOOKUP($A76,'Full Sample-No Sub'!$A:$R,I$1,0),2)</f>
        <v>0.01</v>
      </c>
      <c r="J76" s="3" t="str">
        <f>FIXED(VLOOKUP($A76,'Full Sample-No Sub'!$A:$R,J$1,0),2)</f>
        <v>128.92</v>
      </c>
      <c r="K76" s="3" t="str">
        <f>FIXED(VLOOKUP($A76,'Full Sample-No Sub'!$A:$R,K$1,0),2)</f>
        <v>3.14</v>
      </c>
      <c r="L76" s="3" t="str">
        <f>FIXED(VLOOKUP($A76,'Full Sample-No Sub'!$A:$R,L$1,0),2)</f>
        <v>6.06</v>
      </c>
      <c r="M76" s="3" t="str">
        <f>FIXED(VLOOKUP($A76,'Full Sample-No Sub'!$A:$R,M$1,0),2)</f>
        <v>0.01</v>
      </c>
      <c r="N76" s="3" t="str">
        <f>FIXED(VLOOKUP($A76,'Full Sample-No Sub'!$A:$R,N$1,0),2)</f>
        <v>111.97</v>
      </c>
      <c r="O76" s="3" t="str">
        <f>FIXED(VLOOKUP($A76,'Full Sample-Townhouse'!$A:$R,O$1,0),2)</f>
        <v>4.97</v>
      </c>
      <c r="P76" s="3" t="str">
        <f>FIXED(VLOOKUP($A76,'Full Sample-Townhouse'!$A:$R,P$1,0),2)</f>
        <v>6.91</v>
      </c>
      <c r="Q76" s="3" t="str">
        <f>FIXED(VLOOKUP($A76,'Full Sample-Townhouse'!$A:$R,Q$1,0),2)</f>
        <v>0.01</v>
      </c>
      <c r="R76" s="3" t="str">
        <f>FIXED(VLOOKUP($A76,'Full Sample-Townhouse'!$A:$R,R$1,0),2)</f>
        <v>111.97</v>
      </c>
      <c r="S76" s="3" t="str">
        <f>FIXED(VLOOKUP($A76,'Full Sample-Townhouse'!$A:$R,S$1,0),2)</f>
        <v>4.95</v>
      </c>
      <c r="T76" s="3" t="str">
        <f>FIXED(VLOOKUP($A76,'Full Sample-Townhouse'!$A:$R,T$1,0),2)</f>
        <v>6.86</v>
      </c>
      <c r="U76" s="3" t="str">
        <f>FIXED(VLOOKUP($A76,'Full Sample-Townhouse'!$A:$R,U$1,0),2)</f>
        <v>0.01</v>
      </c>
      <c r="V76" s="3" t="str">
        <f>FIXED(VLOOKUP($A76,'Full Sample-Townhouse'!$A:$R,V$1,0),2)</f>
        <v>52.78</v>
      </c>
      <c r="W76" s="3" t="str">
        <f>FIXED(VLOOKUP($A76,'Full Sample-Townhouse'!$A:$R,W$1,0),2)</f>
        <v>4.99</v>
      </c>
      <c r="X76" s="3" t="str">
        <f>FIXED(VLOOKUP($A76,'Full Sample-Townhouse'!$A:$R,X$1,0),2)</f>
        <v>6.98</v>
      </c>
      <c r="Y76" s="3" t="str">
        <f>FIXED(VLOOKUP($A76,'Full Sample-Townhouse'!$A:$R,Y$1,0),2)</f>
        <v>0.01</v>
      </c>
      <c r="Z76" s="3" t="str">
        <f>FIXED(VLOOKUP($A76,'Full Sample-Townhouse'!$A:$R,Z$1,0),2)</f>
        <v>111.97</v>
      </c>
      <c r="AA76" s="3" t="str">
        <f>FIXED(VLOOKUP($A76,'Full Sample-Single Family'!$A:$R,AA$1,0),2)</f>
        <v>0.95</v>
      </c>
      <c r="AB76" s="3" t="str">
        <f>FIXED(VLOOKUP($A76,'Full Sample-Single Family'!$A:$R,AB$1,0),2)</f>
        <v>3.57</v>
      </c>
      <c r="AC76" s="3" t="str">
        <f>FIXED(VLOOKUP($A76,'Full Sample-Single Family'!$A:$R,AC$1,0),2)</f>
        <v>0.02</v>
      </c>
      <c r="AD76" s="3" t="str">
        <f>FIXED(VLOOKUP($A76,'Full Sample-Single Family'!$A:$R,AD$1,0),2)</f>
        <v>128.92</v>
      </c>
      <c r="AE76" s="3" t="str">
        <f>FIXED(VLOOKUP($A76,'Full Sample-Single Family'!$A:$R,AE$1,0),2)</f>
        <v>0.97</v>
      </c>
      <c r="AF76" s="3" t="str">
        <f>FIXED(VLOOKUP($A76,'Full Sample-Single Family'!$A:$R,AF$1,0),2)</f>
        <v>3.51</v>
      </c>
      <c r="AG76" s="3" t="str">
        <f>FIXED(VLOOKUP($A76,'Full Sample-Single Family'!$A:$R,AG$1,0),2)</f>
        <v>0.02</v>
      </c>
      <c r="AH76" s="3" t="str">
        <f>FIXED(VLOOKUP($A76,'Full Sample-Single Family'!$A:$R,AH$1,0),2)</f>
        <v>128.92</v>
      </c>
      <c r="AI76" s="3" t="str">
        <f>FIXED(VLOOKUP($A76,'Full Sample-Single Family'!$A:$R,AI$1,0),2)</f>
        <v>0.92</v>
      </c>
      <c r="AJ76" s="3" t="str">
        <f>FIXED(VLOOKUP($A76,'Full Sample-Single Family'!$A:$R,AJ$1,0),2)</f>
        <v>3.66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40" x14ac:dyDescent="0.25">
      <c r="A77" t="s">
        <v>36</v>
      </c>
      <c r="B77" t="s">
        <v>120</v>
      </c>
      <c r="C77" s="3" t="str">
        <f>FIXED(VLOOKUP($A77,'Full Sample-No Sub'!$A:$R,C$1,0),2)</f>
        <v>301.62</v>
      </c>
      <c r="D77" s="3" t="str">
        <f>FIXED(VLOOKUP($A77,'Full Sample-No Sub'!$A:$R,D$1,0),2)</f>
        <v>558.78</v>
      </c>
      <c r="E77" s="3" t="str">
        <f>FIXED(VLOOKUP($A77,'Full Sample-No Sub'!$A:$R,E$1,0),2)</f>
        <v>0.00</v>
      </c>
      <c r="F77" s="3" t="str">
        <f>FIXED(VLOOKUP($A77,'Full Sample-No Sub'!$A:$R,F$1,0),2)</f>
        <v>4,021.00</v>
      </c>
      <c r="G77" s="3" t="str">
        <f>FIXED(VLOOKUP($A77,'Full Sample-No Sub'!$A:$R,G$1,0),2)</f>
        <v>0.00</v>
      </c>
      <c r="H77" s="3" t="str">
        <f>FIXED(VLOOKUP($A77,'Full Sample-No Sub'!$A:$R,H$1,0),2)</f>
        <v>0.00</v>
      </c>
      <c r="I77" s="3" t="str">
        <f>FIXED(VLOOKUP($A77,'Full Sample-No Sub'!$A:$R,I$1,0),2)</f>
        <v>0.00</v>
      </c>
      <c r="J77" s="3" t="str">
        <f>FIXED(VLOOKUP($A77,'Full Sample-No Sub'!$A:$R,J$1,0),2)</f>
        <v>0.00</v>
      </c>
      <c r="K77" s="3" t="str">
        <f>FIXED(VLOOKUP($A77,'Full Sample-No Sub'!$A:$R,K$1,0),2)</f>
        <v>301.62</v>
      </c>
      <c r="L77" s="3" t="str">
        <f>FIXED(VLOOKUP($A77,'Full Sample-No Sub'!$A:$R,L$1,0),2)</f>
        <v>558.78</v>
      </c>
      <c r="M77" s="3" t="str">
        <f>FIXED(VLOOKUP($A77,'Full Sample-No Sub'!$A:$R,M$1,0),2)</f>
        <v>0.00</v>
      </c>
      <c r="N77" s="3" t="str">
        <f>FIXED(VLOOKUP($A77,'Full Sample-No Sub'!$A:$R,N$1,0),2)</f>
        <v>4,021.00</v>
      </c>
      <c r="O77" s="3" t="str">
        <f>FIXED(VLOOKUP($A77,'Full Sample-Townhouse'!$A:$R,O$1,0),2)</f>
        <v>311.57</v>
      </c>
      <c r="P77" s="3" t="str">
        <f>FIXED(VLOOKUP($A77,'Full Sample-Townhouse'!$A:$R,P$1,0),2)</f>
        <v>571.60</v>
      </c>
      <c r="Q77" s="3" t="str">
        <f>FIXED(VLOOKUP($A77,'Full Sample-Townhouse'!$A:$R,Q$1,0),2)</f>
        <v>0.00</v>
      </c>
      <c r="R77" s="3" t="str">
        <f>FIXED(VLOOKUP($A77,'Full Sample-Townhouse'!$A:$R,R$1,0),2)</f>
        <v>4,021.00</v>
      </c>
      <c r="S77" s="3" t="str">
        <f>FIXED(VLOOKUP($A77,'Full Sample-Townhouse'!$A:$R,S$1,0),2)</f>
        <v>0.00</v>
      </c>
      <c r="T77" s="3" t="str">
        <f>FIXED(VLOOKUP($A77,'Full Sample-Townhouse'!$A:$R,T$1,0),2)</f>
        <v>0.00</v>
      </c>
      <c r="U77" s="3" t="str">
        <f>FIXED(VLOOKUP($A77,'Full Sample-Townhouse'!$A:$R,U$1,0),2)</f>
        <v>0.00</v>
      </c>
      <c r="V77" s="3" t="str">
        <f>FIXED(VLOOKUP($A77,'Full Sample-Townhouse'!$A:$R,V$1,0),2)</f>
        <v>0.00</v>
      </c>
      <c r="W77" s="3" t="str">
        <f>FIXED(VLOOKUP($A77,'Full Sample-Townhouse'!$A:$R,W$1,0),2)</f>
        <v>311.57</v>
      </c>
      <c r="X77" s="3" t="str">
        <f>FIXED(VLOOKUP($A77,'Full Sample-Townhouse'!$A:$R,X$1,0),2)</f>
        <v>571.60</v>
      </c>
      <c r="Y77" s="3" t="str">
        <f>FIXED(VLOOKUP($A77,'Full Sample-Townhouse'!$A:$R,Y$1,0),2)</f>
        <v>0.00</v>
      </c>
      <c r="Z77" s="3" t="str">
        <f>FIXED(VLOOKUP($A77,'Full Sample-Townhouse'!$A:$R,Z$1,0),2)</f>
        <v>4,021.00</v>
      </c>
      <c r="AA77" s="3" t="str">
        <f>FIXED(VLOOKUP($A77,'Full Sample-Single Family'!$A:$R,AA$1,0),2)</f>
        <v>289.67</v>
      </c>
      <c r="AB77" s="3" t="str">
        <f>FIXED(VLOOKUP($A77,'Full Sample-Single Family'!$A:$R,AB$1,0),2)</f>
        <v>542.78</v>
      </c>
      <c r="AC77" s="3" t="str">
        <f>FIXED(VLOOKUP($A77,'Full Sample-Single Family'!$A:$R,AC$1,0),2)</f>
        <v>0.00</v>
      </c>
      <c r="AD77" s="3" t="str">
        <f>FIXED(VLOOKUP($A77,'Full Sample-Single Family'!$A:$R,AD$1,0),2)</f>
        <v>4,021.00</v>
      </c>
      <c r="AE77" s="3" t="str">
        <f>FIXED(VLOOKUP($A77,'Full Sample-Single Family'!$A:$R,AE$1,0),2)</f>
        <v>0.00</v>
      </c>
      <c r="AF77" s="3" t="str">
        <f>FIXED(VLOOKUP($A77,'Full Sample-Single Family'!$A:$R,AF$1,0),2)</f>
        <v>0.00</v>
      </c>
      <c r="AG77" s="3" t="str">
        <f>FIXED(VLOOKUP($A77,'Full Sample-Single Family'!$A:$R,AG$1,0),2)</f>
        <v>0.00</v>
      </c>
      <c r="AH77" s="3" t="str">
        <f>FIXED(VLOOKUP($A77,'Full Sample-Single Family'!$A:$R,AH$1,0),2)</f>
        <v>0.00</v>
      </c>
      <c r="AI77" s="3" t="str">
        <f>FIXED(VLOOKUP($A77,'Full Sample-Single Family'!$A:$R,AI$1,0),2)</f>
        <v>289.67</v>
      </c>
      <c r="AJ77" s="3" t="str">
        <f>FIXED(VLOOKUP($A77,'Full Sample-Single Family'!$A:$R,AJ$1,0),2)</f>
        <v>542.78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40" x14ac:dyDescent="0.25">
      <c r="A78" t="s">
        <v>55</v>
      </c>
      <c r="B78" s="4" t="s">
        <v>133</v>
      </c>
      <c r="C78" s="3" t="e">
        <f>FIXED(VLOOKUP($A78,'Full Sample-No Sub'!$A:$R,C$1,0),2)</f>
        <v>#N/A</v>
      </c>
      <c r="D78" s="3" t="e">
        <f>FIXED(VLOOKUP($A78,'Full Sample-No Sub'!$A:$R,D$1,0),2)</f>
        <v>#N/A</v>
      </c>
      <c r="E78" s="3" t="e">
        <f>FIXED(VLOOKUP($A78,'Full Sample-No Sub'!$A:$R,E$1,0),2)</f>
        <v>#N/A</v>
      </c>
      <c r="F78" s="3" t="e">
        <f>FIXED(VLOOKUP($A78,'Full Sample-No Sub'!$A:$R,F$1,0),2)</f>
        <v>#N/A</v>
      </c>
      <c r="G78" s="3" t="e">
        <f>FIXED(VLOOKUP($A78,'Full Sample-No Sub'!$A:$R,G$1,0),2)</f>
        <v>#N/A</v>
      </c>
      <c r="H78" s="3" t="e">
        <f>FIXED(VLOOKUP($A78,'Full Sample-No Sub'!$A:$R,H$1,0),2)</f>
        <v>#N/A</v>
      </c>
      <c r="I78" s="3" t="e">
        <f>FIXED(VLOOKUP($A78,'Full Sample-No Sub'!$A:$R,I$1,0),2)</f>
        <v>#N/A</v>
      </c>
      <c r="J78" s="3" t="e">
        <f>FIXED(VLOOKUP($A78,'Full Sample-No Sub'!$A:$R,J$1,0),2)</f>
        <v>#N/A</v>
      </c>
      <c r="K78" s="3" t="e">
        <f>FIXED(VLOOKUP($A78,'Full Sample-No Sub'!$A:$R,K$1,0),2)</f>
        <v>#N/A</v>
      </c>
      <c r="L78" s="3" t="e">
        <f>FIXED(VLOOKUP($A78,'Full Sample-No Sub'!$A:$R,L$1,0),2)</f>
        <v>#N/A</v>
      </c>
      <c r="M78" s="3" t="e">
        <f>FIXED(VLOOKUP($A78,'Full Sample-No Sub'!$A:$R,M$1,0),2)</f>
        <v>#N/A</v>
      </c>
      <c r="N78" s="3" t="e">
        <f>FIXED(VLOOKUP($A78,'Full Sample-No Sub'!$A:$R,N$1,0),2)</f>
        <v>#N/A</v>
      </c>
      <c r="O78" s="3" t="e">
        <f>FIXED(VLOOKUP($A78,'Full Sample-Townhouse'!$A:$R,O$1,0),2)</f>
        <v>#N/A</v>
      </c>
      <c r="P78" s="3" t="e">
        <f>FIXED(VLOOKUP($A78,'Full Sample-Townhouse'!$A:$R,P$1,0),2)</f>
        <v>#N/A</v>
      </c>
      <c r="Q78" s="3" t="e">
        <f>FIXED(VLOOKUP($A78,'Full Sample-Townhouse'!$A:$R,Q$1,0),2)</f>
        <v>#N/A</v>
      </c>
      <c r="R78" s="3" t="e">
        <f>FIXED(VLOOKUP($A78,'Full Sample-Townhouse'!$A:$R,R$1,0),2)</f>
        <v>#N/A</v>
      </c>
      <c r="S78" s="3" t="e">
        <f>FIXED(VLOOKUP($A78,'Full Sample-Townhouse'!$A:$R,S$1,0),2)</f>
        <v>#N/A</v>
      </c>
      <c r="T78" s="3" t="e">
        <f>FIXED(VLOOKUP($A78,'Full Sample-Townhouse'!$A:$R,T$1,0),2)</f>
        <v>#N/A</v>
      </c>
      <c r="U78" s="3" t="e">
        <f>FIXED(VLOOKUP($A78,'Full Sample-Townhouse'!$A:$R,U$1,0),2)</f>
        <v>#N/A</v>
      </c>
      <c r="V78" s="3" t="e">
        <f>FIXED(VLOOKUP($A78,'Full Sample-Townhouse'!$A:$R,V$1,0),2)</f>
        <v>#N/A</v>
      </c>
      <c r="W78" s="3" t="e">
        <f>FIXED(VLOOKUP($A78,'Full Sample-Townhouse'!$A:$R,W$1,0),2)</f>
        <v>#N/A</v>
      </c>
      <c r="X78" s="3" t="e">
        <f>FIXED(VLOOKUP($A78,'Full Sample-Townhouse'!$A:$R,X$1,0),2)</f>
        <v>#N/A</v>
      </c>
      <c r="Y78" s="3" t="e">
        <f>FIXED(VLOOKUP($A78,'Full Sample-Townhouse'!$A:$R,Y$1,0),2)</f>
        <v>#N/A</v>
      </c>
      <c r="Z78" s="3" t="e">
        <f>FIXED(VLOOKUP($A78,'Full Sample-Townhouse'!$A:$R,Z$1,0),2)</f>
        <v>#N/A</v>
      </c>
      <c r="AA78" s="3" t="e">
        <f>FIXED(VLOOKUP($A78,'Full Sample-Single Family'!$A:$R,AA$1,0),2)</f>
        <v>#N/A</v>
      </c>
      <c r="AB78" s="3" t="e">
        <f>FIXED(VLOOKUP($A78,'Full Sample-Single Family'!$A:$R,AB$1,0),2)</f>
        <v>#N/A</v>
      </c>
      <c r="AC78" s="3" t="e">
        <f>FIXED(VLOOKUP($A78,'Full Sample-Single Family'!$A:$R,AC$1,0),2)</f>
        <v>#N/A</v>
      </c>
      <c r="AD78" s="3" t="e">
        <f>FIXED(VLOOKUP($A78,'Full Sample-Single Family'!$A:$R,AD$1,0),2)</f>
        <v>#N/A</v>
      </c>
      <c r="AE78" s="3" t="e">
        <f>FIXED(VLOOKUP($A78,'Full Sample-Single Family'!$A:$R,AE$1,0),2)</f>
        <v>#N/A</v>
      </c>
      <c r="AF78" s="3" t="e">
        <f>FIXED(VLOOKUP($A78,'Full Sample-Single Family'!$A:$R,AF$1,0),2)</f>
        <v>#N/A</v>
      </c>
      <c r="AG78" s="3" t="e">
        <f>FIXED(VLOOKUP($A78,'Full Sample-Single Family'!$A:$R,AG$1,0),2)</f>
        <v>#N/A</v>
      </c>
      <c r="AH78" s="3" t="e">
        <f>FIXED(VLOOKUP($A78,'Full Sample-Single Family'!$A:$R,AH$1,0),2)</f>
        <v>#N/A</v>
      </c>
      <c r="AI78" s="3" t="e">
        <f>FIXED(VLOOKUP($A78,'Full Sample-Single Family'!$A:$R,AI$1,0),2)</f>
        <v>#N/A</v>
      </c>
      <c r="AJ78" s="3" t="e">
        <f>FIXED(VLOOKUP($A78,'Full Sample-Single Family'!$A:$R,AJ$1,0),2)</f>
        <v>#N/A</v>
      </c>
      <c r="AK78" s="3" t="e">
        <f>FIXED(VLOOKUP($A78,'Full Sample-Townhouse'!$A:$R,AK$1,0),2)</f>
        <v>#N/A</v>
      </c>
      <c r="AL78" s="3" t="e">
        <f>FIXED(VLOOKUP($A78,'Full Sample-Townhouse'!$A:$R,AL$1,0),2)</f>
        <v>#N/A</v>
      </c>
    </row>
    <row r="79" spans="1:40" x14ac:dyDescent="0.25">
      <c r="A79" t="s">
        <v>56</v>
      </c>
      <c r="B79" t="s">
        <v>125</v>
      </c>
      <c r="C79" s="3" t="str">
        <f>FIXED(VLOOKUP($A79,'Full Sample-No Sub'!$A:$R,C$1,0),2)</f>
        <v>0.54</v>
      </c>
      <c r="D79" s="3" t="str">
        <f>FIXED(VLOOKUP($A79,'Full Sample-No Sub'!$A:$R,D$1,0),2)</f>
        <v>0.50</v>
      </c>
      <c r="E79" s="3" t="str">
        <f>FIXED(VLOOKUP($A79,'Full Sample-No Sub'!$A:$R,E$1,0),2)</f>
        <v>0.00</v>
      </c>
      <c r="F79" s="3" t="str">
        <f>FIXED(VLOOKUP($A79,'Full Sample-No Sub'!$A:$R,F$1,0),2)</f>
        <v>1.00</v>
      </c>
      <c r="G79" s="3" t="str">
        <f>FIXED(VLOOKUP($A79,'Full Sample-No Sub'!$A:$R,G$1,0),2)</f>
        <v>0.54</v>
      </c>
      <c r="H79" s="3" t="str">
        <f>FIXED(VLOOKUP($A79,'Full Sample-No Sub'!$A:$R,H$1,0),2)</f>
        <v>0.50</v>
      </c>
      <c r="I79" s="3" t="str">
        <f>FIXED(VLOOKUP($A79,'Full Sample-No Sub'!$A:$R,I$1,0),2)</f>
        <v>0.00</v>
      </c>
      <c r="J79" s="3" t="str">
        <f>FIXED(VLOOKUP($A79,'Full Sample-No Sub'!$A:$R,J$1,0),2)</f>
        <v>1.00</v>
      </c>
      <c r="K79" s="3" t="str">
        <f>FIXED(VLOOKUP($A79,'Full Sample-No Sub'!$A:$R,K$1,0),2)</f>
        <v>0.55</v>
      </c>
      <c r="L79" s="3" t="str">
        <f>FIXED(VLOOKUP($A79,'Full Sample-No Sub'!$A:$R,L$1,0),2)</f>
        <v>0.50</v>
      </c>
      <c r="M79" s="3" t="str">
        <f>FIXED(VLOOKUP($A79,'Full Sample-No Sub'!$A:$R,M$1,0),2)</f>
        <v>0.00</v>
      </c>
      <c r="N79" s="3" t="str">
        <f>FIXED(VLOOKUP($A79,'Full Sample-No Sub'!$A:$R,N$1,0),2)</f>
        <v>1.00</v>
      </c>
      <c r="O79" s="3" t="str">
        <f>FIXED(VLOOKUP($A79,'Full Sample-Townhouse'!$A:$R,O$1,0),2)</f>
        <v>1.00</v>
      </c>
      <c r="P79" s="3" t="str">
        <f>FIXED(VLOOKUP($A79,'Full Sample-Townhouse'!$A:$R,P$1,0),2)</f>
        <v>0.00</v>
      </c>
      <c r="Q79" s="3" t="str">
        <f>FIXED(VLOOKUP($A79,'Full Sample-Townhouse'!$A:$R,Q$1,0),2)</f>
        <v>1.00</v>
      </c>
      <c r="R79" s="3" t="str">
        <f>FIXED(VLOOKUP($A79,'Full Sample-Townhouse'!$A:$R,R$1,0),2)</f>
        <v>1.00</v>
      </c>
      <c r="S79" s="3" t="str">
        <f>FIXED(VLOOKUP($A79,'Full Sample-Townhouse'!$A:$R,S$1,0),2)</f>
        <v>1.00</v>
      </c>
      <c r="T79" s="3" t="str">
        <f>FIXED(VLOOKUP($A79,'Full Sample-Townhouse'!$A:$R,T$1,0),2)</f>
        <v>0.00</v>
      </c>
      <c r="U79" s="3" t="str">
        <f>FIXED(VLOOKUP($A79,'Full Sample-Townhouse'!$A:$R,U$1,0),2)</f>
        <v>1.00</v>
      </c>
      <c r="V79" s="3" t="str">
        <f>FIXED(VLOOKUP($A79,'Full Sample-Townhouse'!$A:$R,V$1,0),2)</f>
        <v>1.00</v>
      </c>
      <c r="W79" s="3" t="str">
        <f>FIXED(VLOOKUP($A79,'Full Sample-Townhouse'!$A:$R,W$1,0),2)</f>
        <v>1.00</v>
      </c>
      <c r="X79" s="3" t="str">
        <f>FIXED(VLOOKUP($A79,'Full Sample-Townhouse'!$A:$R,X$1,0),2)</f>
        <v>0.00</v>
      </c>
      <c r="Y79" s="3" t="str">
        <f>FIXED(VLOOKUP($A79,'Full Sample-Townhouse'!$A:$R,Y$1,0),2)</f>
        <v>1.00</v>
      </c>
      <c r="Z79" s="3" t="str">
        <f>FIXED(VLOOKUP($A79,'Full Sample-Townhouse'!$A:$R,Z$1,0),2)</f>
        <v>1.00</v>
      </c>
      <c r="AA79" s="3" t="str">
        <f>FIXED(VLOOKUP($A79,'Full Sample-Single Family'!$A:$R,AA$1,0),2)</f>
        <v>0.00</v>
      </c>
      <c r="AB79" s="3" t="str">
        <f>FIXED(VLOOKUP($A79,'Full Sample-Single Family'!$A:$R,AB$1,0),2)</f>
        <v>0.00</v>
      </c>
      <c r="AC79" s="3" t="str">
        <f>FIXED(VLOOKUP($A79,'Full Sample-Single Family'!$A:$R,AC$1,0),2)</f>
        <v>0.00</v>
      </c>
      <c r="AD79" s="3" t="str">
        <f>FIXED(VLOOKUP($A79,'Full Sample-Single Family'!$A:$R,AD$1,0),2)</f>
        <v>0.00</v>
      </c>
      <c r="AE79" s="3" t="str">
        <f>FIXED(VLOOKUP($A79,'Full Sample-Single Family'!$A:$R,AE$1,0),2)</f>
        <v>0.00</v>
      </c>
      <c r="AF79" s="3" t="str">
        <f>FIXED(VLOOKUP($A79,'Full Sample-Single Family'!$A:$R,AF$1,0),2)</f>
        <v>0.00</v>
      </c>
      <c r="AG79" s="3" t="str">
        <f>FIXED(VLOOKUP($A79,'Full Sample-Single Family'!$A:$R,AG$1,0),2)</f>
        <v>0.00</v>
      </c>
      <c r="AH79" s="3" t="str">
        <f>FIXED(VLOOKUP($A79,'Full Sample-Single Family'!$A:$R,AH$1,0),2)</f>
        <v>0.00</v>
      </c>
      <c r="AI79" s="3" t="str">
        <f>FIXED(VLOOKUP($A79,'Full Sample-Single Family'!$A:$R,AI$1,0),2)</f>
        <v>0.00</v>
      </c>
      <c r="AJ79" s="3" t="str">
        <f>FIXED(VLOOKUP($A79,'Full Sample-Single Family'!$A:$R,AJ$1,0),2)</f>
        <v>0.00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40" x14ac:dyDescent="0.25">
      <c r="A80" t="s">
        <v>57</v>
      </c>
      <c r="B80" s="4" t="s">
        <v>134</v>
      </c>
      <c r="C80" s="3" t="str">
        <f>FIXED(VLOOKUP($A80,'Full Sample-No Sub'!$A:$R,C$1,0),2)</f>
        <v>0.46</v>
      </c>
      <c r="D80" s="3" t="str">
        <f>FIXED(VLOOKUP($A80,'Full Sample-No Sub'!$A:$R,D$1,0),2)</f>
        <v>0.50</v>
      </c>
      <c r="E80" s="3" t="str">
        <f>FIXED(VLOOKUP($A80,'Full Sample-No Sub'!$A:$R,E$1,0),2)</f>
        <v>0.00</v>
      </c>
      <c r="F80" s="3" t="str">
        <f>FIXED(VLOOKUP($A80,'Full Sample-No Sub'!$A:$R,F$1,0),2)</f>
        <v>1.00</v>
      </c>
      <c r="G80" s="3" t="str">
        <f>FIXED(VLOOKUP($A80,'Full Sample-No Sub'!$A:$R,G$1,0),2)</f>
        <v>0.46</v>
      </c>
      <c r="H80" s="3" t="str">
        <f>FIXED(VLOOKUP($A80,'Full Sample-No Sub'!$A:$R,H$1,0),2)</f>
        <v>0.50</v>
      </c>
      <c r="I80" s="3" t="str">
        <f>FIXED(VLOOKUP($A80,'Full Sample-No Sub'!$A:$R,I$1,0),2)</f>
        <v>0.00</v>
      </c>
      <c r="J80" s="3" t="str">
        <f>FIXED(VLOOKUP($A80,'Full Sample-No Sub'!$A:$R,J$1,0),2)</f>
        <v>1.00</v>
      </c>
      <c r="K80" s="3" t="str">
        <f>FIXED(VLOOKUP($A80,'Full Sample-No Sub'!$A:$R,K$1,0),2)</f>
        <v>0.45</v>
      </c>
      <c r="L80" s="3" t="str">
        <f>FIXED(VLOOKUP($A80,'Full Sample-No Sub'!$A:$R,L$1,0),2)</f>
        <v>0.50</v>
      </c>
      <c r="M80" s="3" t="str">
        <f>FIXED(VLOOKUP($A80,'Full Sample-No Sub'!$A:$R,M$1,0),2)</f>
        <v>0.00</v>
      </c>
      <c r="N80" s="3" t="str">
        <f>FIXED(VLOOKUP($A80,'Full Sample-No Sub'!$A:$R,N$1,0),2)</f>
        <v>1.00</v>
      </c>
      <c r="O80" s="3" t="str">
        <f>FIXED(VLOOKUP($A80,'Full Sample-Townhouse'!$A:$R,O$1,0),2)</f>
        <v>0.00</v>
      </c>
      <c r="P80" s="3" t="str">
        <f>FIXED(VLOOKUP($A80,'Full Sample-Townhouse'!$A:$R,P$1,0),2)</f>
        <v>0.00</v>
      </c>
      <c r="Q80" s="3" t="str">
        <f>FIXED(VLOOKUP($A80,'Full Sample-Townhouse'!$A:$R,Q$1,0),2)</f>
        <v>0.00</v>
      </c>
      <c r="R80" s="3" t="str">
        <f>FIXED(VLOOKUP($A80,'Full Sample-Townhouse'!$A:$R,R$1,0),2)</f>
        <v>0.00</v>
      </c>
      <c r="S80" s="3" t="str">
        <f>FIXED(VLOOKUP($A80,'Full Sample-Townhouse'!$A:$R,S$1,0),2)</f>
        <v>0.00</v>
      </c>
      <c r="T80" s="3" t="str">
        <f>FIXED(VLOOKUP($A80,'Full Sample-Townhouse'!$A:$R,T$1,0),2)</f>
        <v>0.00</v>
      </c>
      <c r="U80" s="3" t="str">
        <f>FIXED(VLOOKUP($A80,'Full Sample-Townhouse'!$A:$R,U$1,0),2)</f>
        <v>0.00</v>
      </c>
      <c r="V80" s="3" t="str">
        <f>FIXED(VLOOKUP($A80,'Full Sample-Townhouse'!$A:$R,V$1,0),2)</f>
        <v>0.00</v>
      </c>
      <c r="W80" s="3" t="str">
        <f>FIXED(VLOOKUP($A80,'Full Sample-Townhouse'!$A:$R,W$1,0),2)</f>
        <v>0.00</v>
      </c>
      <c r="X80" s="3" t="str">
        <f>FIXED(VLOOKUP($A80,'Full Sample-Townhouse'!$A:$R,X$1,0),2)</f>
        <v>0.00</v>
      </c>
      <c r="Y80" s="3" t="str">
        <f>FIXED(VLOOKUP($A80,'Full Sample-Townhouse'!$A:$R,Y$1,0),2)</f>
        <v>0.00</v>
      </c>
      <c r="Z80" s="3" t="str">
        <f>FIXED(VLOOKUP($A80,'Full Sample-Townhouse'!$A:$R,Z$1,0),2)</f>
        <v>0.00</v>
      </c>
      <c r="AA80" s="3" t="str">
        <f>FIXED(VLOOKUP($A80,'Full Sample-Single Family'!$A:$R,AA$1,0),2)</f>
        <v>1.00</v>
      </c>
      <c r="AB80" s="3" t="str">
        <f>FIXED(VLOOKUP($A80,'Full Sample-Single Family'!$A:$R,AB$1,0),2)</f>
        <v>0.00</v>
      </c>
      <c r="AC80" s="3" t="str">
        <f>FIXED(VLOOKUP($A80,'Full Sample-Single Family'!$A:$R,AC$1,0),2)</f>
        <v>1.00</v>
      </c>
      <c r="AD80" s="3" t="str">
        <f>FIXED(VLOOKUP($A80,'Full Sample-Single Family'!$A:$R,AD$1,0),2)</f>
        <v>1.00</v>
      </c>
      <c r="AE80" s="3" t="str">
        <f>FIXED(VLOOKUP($A80,'Full Sample-Single Family'!$A:$R,AE$1,0),2)</f>
        <v>1.00</v>
      </c>
      <c r="AF80" s="3" t="str">
        <f>FIXED(VLOOKUP($A80,'Full Sample-Single Family'!$A:$R,AF$1,0),2)</f>
        <v>0.00</v>
      </c>
      <c r="AG80" s="3" t="str">
        <f>FIXED(VLOOKUP($A80,'Full Sample-Single Family'!$A:$R,AG$1,0),2)</f>
        <v>1.00</v>
      </c>
      <c r="AH80" s="3" t="str">
        <f>FIXED(VLOOKUP($A80,'Full Sample-Single Family'!$A:$R,AH$1,0),2)</f>
        <v>1.00</v>
      </c>
      <c r="AI80" s="3" t="str">
        <f>FIXED(VLOOKUP($A80,'Full Sample-Single Family'!$A:$R,AI$1,0),2)</f>
        <v>1.00</v>
      </c>
      <c r="AJ80" s="3" t="str">
        <f>FIXED(VLOOKUP($A80,'Full Sample-Single Family'!$A:$R,AJ$1,0),2)</f>
        <v>0.00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53</v>
      </c>
      <c r="B81" t="s">
        <v>183</v>
      </c>
      <c r="C81" s="9" t="str">
        <f>FIXED(VLOOKUP($A81,'Full Sample-No Sub'!$A:$R,C$1,0),2)</f>
        <v>2,361,455.00</v>
      </c>
      <c r="D81" s="3" t="str">
        <f>FIXED(VLOOKUP($A81,'Full Sample-No Sub'!$A:$R,D$1,0),2)</f>
        <v>7,600.50</v>
      </c>
      <c r="E81" s="3" t="str">
        <f>FIXED(VLOOKUP($A81,'Full Sample-No Sub'!$A:$R,E$1,0),2)</f>
        <v>2,350,907.00</v>
      </c>
      <c r="F81" s="3" t="str">
        <f>FIXED(VLOOKUP($A81,'Full Sample-No Sub'!$A:$R,F$1,0),2)</f>
        <v>2,400,056.00</v>
      </c>
      <c r="G81" s="9" t="str">
        <f>FIXED(VLOOKUP($A81,'Full Sample-No Sub'!$A:$R,G$1,0),2)</f>
        <v>2,361,497.00</v>
      </c>
      <c r="H81" s="3" t="str">
        <f>FIXED(VLOOKUP($A81,'Full Sample-No Sub'!$A:$R,H$1,0),2)</f>
        <v>7,545.82</v>
      </c>
      <c r="I81" s="3" t="str">
        <f>FIXED(VLOOKUP($A81,'Full Sample-No Sub'!$A:$R,I$1,0),2)</f>
        <v>2,350,907.00</v>
      </c>
      <c r="J81" s="13" t="str">
        <f>FIXED(VLOOKUP($A81,'Full Sample-No Sub'!$A:$R,J$1,0),2)</f>
        <v>2,400,056.00</v>
      </c>
      <c r="K81" s="9" t="str">
        <f>FIXED(VLOOKUP($A81,'Full Sample-No Sub'!$A:$R,K$1,0),2)</f>
        <v>2,361,397.00</v>
      </c>
      <c r="L81" s="3" t="str">
        <f>FIXED(VLOOKUP($A81,'Full Sample-No Sub'!$A:$R,L$1,0),2)</f>
        <v>7,674.06</v>
      </c>
      <c r="M81" s="3" t="str">
        <f>FIXED(VLOOKUP($A81,'Full Sample-No Sub'!$A:$R,M$1,0),2)</f>
        <v>2,350,907.00</v>
      </c>
      <c r="N81" s="13" t="str">
        <f>FIXED(VLOOKUP($A81,'Full Sample-No Sub'!$A:$R,N$1,0),2)</f>
        <v>2,400,056.00</v>
      </c>
      <c r="O81" s="9" t="str">
        <f>FIXED(VLOOKUP($A81,'Full Sample-Townhouse'!$A:$R,O$1,0),2)</f>
        <v>2,359,771.00</v>
      </c>
      <c r="P81" s="3" t="str">
        <f>FIXED(VLOOKUP($A81,'Full Sample-Townhouse'!$A:$R,P$1,0),2)</f>
        <v>6,929.86</v>
      </c>
      <c r="Q81" s="3" t="str">
        <f>FIXED(VLOOKUP($A81,'Full Sample-Townhouse'!$A:$R,Q$1,0),2)</f>
        <v>2,351,041.00</v>
      </c>
      <c r="R81" s="3" t="str">
        <f>FIXED(VLOOKUP($A81,'Full Sample-Townhouse'!$A:$R,R$1,0),2)</f>
        <v>2,400,056.00</v>
      </c>
      <c r="S81" s="9" t="str">
        <f>FIXED(VLOOKUP($A81,'Full Sample-Townhouse'!$A:$R,S$1,0),2)</f>
        <v>2,359,851.00</v>
      </c>
      <c r="T81" s="3" t="str">
        <f>FIXED(VLOOKUP($A81,'Full Sample-Townhouse'!$A:$R,T$1,0),2)</f>
        <v>6,988.94</v>
      </c>
      <c r="U81" s="3" t="str">
        <f>FIXED(VLOOKUP($A81,'Full Sample-Townhouse'!$A:$R,U$1,0),2)</f>
        <v>2,351,041.00</v>
      </c>
      <c r="V81" s="13" t="str">
        <f>FIXED(VLOOKUP($A81,'Full Sample-Townhouse'!$A:$R,V$1,0),2)</f>
        <v>2,400,056.00</v>
      </c>
      <c r="W81" s="9" t="str">
        <f>FIXED(VLOOKUP($A81,'Full Sample-Townhouse'!$A:$R,W$1,0),2)</f>
        <v>2,359,663.00</v>
      </c>
      <c r="X81" s="3" t="str">
        <f>FIXED(VLOOKUP($A81,'Full Sample-Townhouse'!$A:$R,X$1,0),2)</f>
        <v>6,847.80</v>
      </c>
      <c r="Y81" s="3" t="str">
        <f>FIXED(VLOOKUP($A81,'Full Sample-Townhouse'!$A:$R,Y$1,0),2)</f>
        <v>2,351,041.00</v>
      </c>
      <c r="Z81" s="3" t="str">
        <f>FIXED(VLOOKUP($A81,'Full Sample-Townhouse'!$A:$R,Z$1,0),2)</f>
        <v>2,400,056.00</v>
      </c>
      <c r="AA81" s="9" t="str">
        <f>FIXED(VLOOKUP($A81,'Full Sample-Single Family'!$A:$R,AA$1,0),2)</f>
        <v>2,363,465.00</v>
      </c>
      <c r="AB81" s="3" t="str">
        <f>FIXED(VLOOKUP($A81,'Full Sample-Single Family'!$A:$R,AB$1,0),2)</f>
        <v>7,872.91</v>
      </c>
      <c r="AC81" s="3" t="str">
        <f>FIXED(VLOOKUP($A81,'Full Sample-Single Family'!$A:$R,AC$1,0),2)</f>
        <v>2,350,907.00</v>
      </c>
      <c r="AD81" s="3" t="str">
        <f>FIXED(VLOOKUP($A81,'Full Sample-Single Family'!$A:$R,AD$1,0),2)</f>
        <v>2,399,920.00</v>
      </c>
      <c r="AE81" s="9" t="str">
        <f>FIXED(VLOOKUP($A81,'Full Sample-Single Family'!$A:$R,AE$1,0),2)</f>
        <v>2,363,456.00</v>
      </c>
      <c r="AF81" s="3" t="str">
        <f>FIXED(VLOOKUP($A81,'Full Sample-Single Family'!$A:$R,AF$1,0),2)</f>
        <v>7,714.65</v>
      </c>
      <c r="AG81" s="3" t="str">
        <f>FIXED(VLOOKUP($A81,'Full Sample-Single Family'!$A:$R,AG$1,0),2)</f>
        <v>2,350,907.00</v>
      </c>
      <c r="AH81" s="13" t="str">
        <f>FIXED(VLOOKUP($A81,'Full Sample-Single Family'!$A:$R,AH$1,0),2)</f>
        <v>2,399,920.00</v>
      </c>
      <c r="AI81" s="9" t="str">
        <f>FIXED(VLOOKUP($A81,'Full Sample-Single Family'!$A:$R,AI$1,0),2)</f>
        <v>2,363,478.00</v>
      </c>
      <c r="AJ81" s="3" t="str">
        <f>FIXED(VLOOKUP($A81,'Full Sample-Single Family'!$A:$R,AJ$1,0),2)</f>
        <v>8,084.63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54</v>
      </c>
      <c r="B82" t="s">
        <v>184</v>
      </c>
      <c r="C82" s="9" t="str">
        <f>FIXED(VLOOKUP($A82,'Full Sample-No Sub'!$A:$R,C$1,0),2)</f>
        <v>612,703.60</v>
      </c>
      <c r="D82" s="3" t="str">
        <f>FIXED(VLOOKUP($A82,'Full Sample-No Sub'!$A:$R,D$1,0),2)</f>
        <v>13,314.19</v>
      </c>
      <c r="E82" s="3" t="str">
        <f>FIXED(VLOOKUP($A82,'Full Sample-No Sub'!$A:$R,E$1,0),2)</f>
        <v>579,824.20</v>
      </c>
      <c r="F82" s="3" t="str">
        <f>FIXED(VLOOKUP($A82,'Full Sample-No Sub'!$A:$R,F$1,0),2)</f>
        <v>638,667.70</v>
      </c>
      <c r="G82" s="9" t="str">
        <f>FIXED(VLOOKUP($A82,'Full Sample-No Sub'!$A:$R,G$1,0),2)</f>
        <v>612,486.30</v>
      </c>
      <c r="H82" s="3" t="str">
        <f>FIXED(VLOOKUP($A82,'Full Sample-No Sub'!$A:$R,H$1,0),2)</f>
        <v>13,220.43</v>
      </c>
      <c r="I82" s="3" t="str">
        <f>FIXED(VLOOKUP($A82,'Full Sample-No Sub'!$A:$R,I$1,0),2)</f>
        <v>579,824.20</v>
      </c>
      <c r="J82" s="13" t="str">
        <f>FIXED(VLOOKUP($A82,'Full Sample-No Sub'!$A:$R,J$1,0),2)</f>
        <v>638,667.70</v>
      </c>
      <c r="K82" s="9" t="str">
        <f>FIXED(VLOOKUP($A82,'Full Sample-No Sub'!$A:$R,K$1,0),2)</f>
        <v>612,999.20</v>
      </c>
      <c r="L82" s="3" t="str">
        <f>FIXED(VLOOKUP($A82,'Full Sample-No Sub'!$A:$R,L$1,0),2)</f>
        <v>13,435.37</v>
      </c>
      <c r="M82" s="3" t="str">
        <f>FIXED(VLOOKUP($A82,'Full Sample-No Sub'!$A:$R,M$1,0),2)</f>
        <v>579,905.60</v>
      </c>
      <c r="N82" s="13" t="str">
        <f>FIXED(VLOOKUP($A82,'Full Sample-No Sub'!$A:$R,N$1,0),2)</f>
        <v>638,597.20</v>
      </c>
      <c r="O82" s="9" t="str">
        <f>FIXED(VLOOKUP($A82,'Full Sample-Townhouse'!$A:$R,O$1,0),2)</f>
        <v>614,141.90</v>
      </c>
      <c r="P82" s="3" t="str">
        <f>FIXED(VLOOKUP($A82,'Full Sample-Townhouse'!$A:$R,P$1,0),2)</f>
        <v>11,656.90</v>
      </c>
      <c r="Q82" s="3" t="str">
        <f>FIXED(VLOOKUP($A82,'Full Sample-Townhouse'!$A:$R,Q$1,0),2)</f>
        <v>580,446.10</v>
      </c>
      <c r="R82" s="3" t="str">
        <f>FIXED(VLOOKUP($A82,'Full Sample-Townhouse'!$A:$R,R$1,0),2)</f>
        <v>637,819.70</v>
      </c>
      <c r="S82" s="9" t="str">
        <f>FIXED(VLOOKUP($A82,'Full Sample-Townhouse'!$A:$R,S$1,0),2)</f>
        <v>614,083.20</v>
      </c>
      <c r="T82" s="3" t="str">
        <f>FIXED(VLOOKUP($A82,'Full Sample-Townhouse'!$A:$R,T$1,0),2)</f>
        <v>11,551.72</v>
      </c>
      <c r="U82" s="3" t="str">
        <f>FIXED(VLOOKUP($A82,'Full Sample-Townhouse'!$A:$R,U$1,0),2)</f>
        <v>580,446.10</v>
      </c>
      <c r="V82" s="13" t="str">
        <f>FIXED(VLOOKUP($A82,'Full Sample-Townhouse'!$A:$R,V$1,0),2)</f>
        <v>637,819.70</v>
      </c>
      <c r="W82" s="9" t="str">
        <f>FIXED(VLOOKUP($A82,'Full Sample-Townhouse'!$A:$R,W$1,0),2)</f>
        <v>614,221.40</v>
      </c>
      <c r="X82" s="3" t="str">
        <f>FIXED(VLOOKUP($A82,'Full Sample-Townhouse'!$A:$R,X$1,0),2)</f>
        <v>11,797.98</v>
      </c>
      <c r="Y82" s="3" t="str">
        <f>FIXED(VLOOKUP($A82,'Full Sample-Townhouse'!$A:$R,Y$1,0),2)</f>
        <v>580,446.10</v>
      </c>
      <c r="Z82" s="3" t="str">
        <f>FIXED(VLOOKUP($A82,'Full Sample-Townhouse'!$A:$R,Z$1,0),2)</f>
        <v>637,819.70</v>
      </c>
      <c r="AA82" s="9" t="str">
        <f>FIXED(VLOOKUP($A82,'Full Sample-Single Family'!$A:$R,AA$1,0),2)</f>
        <v>610,985.70</v>
      </c>
      <c r="AB82" s="3" t="str">
        <f>FIXED(VLOOKUP($A82,'Full Sample-Single Family'!$A:$R,AB$1,0),2)</f>
        <v>14,875.55</v>
      </c>
      <c r="AC82" s="3" t="str">
        <f>FIXED(VLOOKUP($A82,'Full Sample-Single Family'!$A:$R,AC$1,0),2)</f>
        <v>579,824.20</v>
      </c>
      <c r="AD82" s="3" t="str">
        <f>FIXED(VLOOKUP($A82,'Full Sample-Single Family'!$A:$R,AD$1,0),2)</f>
        <v>638,667.70</v>
      </c>
      <c r="AE82" s="9" t="str">
        <f>FIXED(VLOOKUP($A82,'Full Sample-Single Family'!$A:$R,AE$1,0),2)</f>
        <v>610,585.90</v>
      </c>
      <c r="AF82" s="3" t="str">
        <f>FIXED(VLOOKUP($A82,'Full Sample-Single Family'!$A:$R,AF$1,0),2)</f>
        <v>14,742.42</v>
      </c>
      <c r="AG82" s="3" t="str">
        <f>FIXED(VLOOKUP($A82,'Full Sample-Single Family'!$A:$R,AG$1,0),2)</f>
        <v>579,824.20</v>
      </c>
      <c r="AH82" s="13" t="str">
        <f>FIXED(VLOOKUP($A82,'Full Sample-Single Family'!$A:$R,AH$1,0),2)</f>
        <v>638,667.70</v>
      </c>
      <c r="AI82" s="9" t="str">
        <f>FIXED(VLOOKUP($A82,'Full Sample-Single Family'!$A:$R,AI$1,0),2)</f>
        <v>611,532.20</v>
      </c>
      <c r="AJ82" s="3" t="str">
        <f>FIXED(VLOOKUP($A82,'Full Sample-Single Family'!$A:$R,AJ$1,0),2)</f>
        <v>15,039.22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61</v>
      </c>
      <c r="B83" t="s">
        <v>312</v>
      </c>
      <c r="C83" s="9" t="str">
        <f>FIXED(VLOOKUP($A83,'Full Sample-No Sub'!$A:$R,C$1,0),2)</f>
        <v>2,019.05</v>
      </c>
      <c r="D83" s="3" t="str">
        <f>FIXED(VLOOKUP($A83,'Full Sample-No Sub'!$A:$R,D$1,0),2)</f>
        <v>2.01</v>
      </c>
      <c r="E83" s="3" t="str">
        <f>FIXED(VLOOKUP($A83,'Full Sample-No Sub'!$A:$R,E$1,0),2)</f>
        <v>2,016.00</v>
      </c>
      <c r="F83" s="3" t="str">
        <f>FIXED(VLOOKUP($A83,'Full Sample-No Sub'!$A:$R,F$1,0),2)</f>
        <v>2,023.00</v>
      </c>
      <c r="G83" s="9" t="str">
        <f>FIXED(VLOOKUP($A83,'Full Sample-No Sub'!$A:$R,G$1,0),2)</f>
        <v>2,017.57</v>
      </c>
      <c r="H83" s="3" t="str">
        <f>FIXED(VLOOKUP($A83,'Full Sample-No Sub'!$A:$R,H$1,0),2)</f>
        <v>1.17</v>
      </c>
      <c r="I83" s="3" t="str">
        <f>FIXED(VLOOKUP($A83,'Full Sample-No Sub'!$A:$R,I$1,0),2)</f>
        <v>2,016.00</v>
      </c>
      <c r="J83" s="13" t="str">
        <f>FIXED(VLOOKUP($A83,'Full Sample-No Sub'!$A:$R,J$1,0),2)</f>
        <v>2,020.00</v>
      </c>
      <c r="K83" s="9" t="str">
        <f>FIXED(VLOOKUP($A83,'Full Sample-No Sub'!$A:$R,K$1,0),2)</f>
        <v>2,021.06</v>
      </c>
      <c r="L83" s="3" t="str">
        <f>FIXED(VLOOKUP($A83,'Full Sample-No Sub'!$A:$R,L$1,0),2)</f>
        <v>0.79</v>
      </c>
      <c r="M83" s="3" t="str">
        <f>FIXED(VLOOKUP($A83,'Full Sample-No Sub'!$A:$R,M$1,0),2)</f>
        <v>2,020.00</v>
      </c>
      <c r="N83" s="13" t="str">
        <f>FIXED(VLOOKUP($A83,'Full Sample-No Sub'!$A:$R,N$1,0),2)</f>
        <v>2,023.00</v>
      </c>
      <c r="O83" s="9" t="str">
        <f>FIXED(VLOOKUP($A83,'Full Sample-Townhouse'!$A:$R,O$1,0),2)</f>
        <v>2,019.06</v>
      </c>
      <c r="P83" s="3" t="str">
        <f>FIXED(VLOOKUP($A83,'Full Sample-Townhouse'!$A:$R,P$1,0),2)</f>
        <v>2.01</v>
      </c>
      <c r="Q83" s="3" t="str">
        <f>FIXED(VLOOKUP($A83,'Full Sample-Townhouse'!$A:$R,Q$1,0),2)</f>
        <v>2,016.00</v>
      </c>
      <c r="R83" s="3" t="str">
        <f>FIXED(VLOOKUP($A83,'Full Sample-Townhouse'!$A:$R,R$1,0),2)</f>
        <v>2,023.00</v>
      </c>
      <c r="S83" s="9" t="str">
        <f>FIXED(VLOOKUP($A83,'Full Sample-Townhouse'!$A:$R,S$1,0),2)</f>
        <v>2,017.57</v>
      </c>
      <c r="T83" s="3" t="str">
        <f>FIXED(VLOOKUP($A83,'Full Sample-Townhouse'!$A:$R,T$1,0),2)</f>
        <v>1.17</v>
      </c>
      <c r="U83" s="3" t="str">
        <f>FIXED(VLOOKUP($A83,'Full Sample-Townhouse'!$A:$R,U$1,0),2)</f>
        <v>2,016.00</v>
      </c>
      <c r="V83" s="13" t="str">
        <f>FIXED(VLOOKUP($A83,'Full Sample-Townhouse'!$A:$R,V$1,0),2)</f>
        <v>2,020.00</v>
      </c>
      <c r="W83" s="9" t="str">
        <f>FIXED(VLOOKUP($A83,'Full Sample-Townhouse'!$A:$R,W$1,0),2)</f>
        <v>2,021.08</v>
      </c>
      <c r="X83" s="3" t="str">
        <f>FIXED(VLOOKUP($A83,'Full Sample-Townhouse'!$A:$R,X$1,0),2)</f>
        <v>0.76</v>
      </c>
      <c r="Y83" s="3" t="str">
        <f>FIXED(VLOOKUP($A83,'Full Sample-Townhouse'!$A:$R,Y$1,0),2)</f>
        <v>2,020.00</v>
      </c>
      <c r="Z83" s="3" t="str">
        <f>FIXED(VLOOKUP($A83,'Full Sample-Townhouse'!$A:$R,Z$1,0),2)</f>
        <v>2,023.00</v>
      </c>
      <c r="AA83" s="9" t="str">
        <f>FIXED(VLOOKUP($A83,'Full Sample-Single Family'!$A:$R,AA$1,0),2)</f>
        <v>2,019.04</v>
      </c>
      <c r="AB83" s="3" t="str">
        <f>FIXED(VLOOKUP($A83,'Full Sample-Single Family'!$A:$R,AB$1,0),2)</f>
        <v>2.01</v>
      </c>
      <c r="AC83" s="3" t="str">
        <f>FIXED(VLOOKUP($A83,'Full Sample-Single Family'!$A:$R,AC$1,0),2)</f>
        <v>2,016.00</v>
      </c>
      <c r="AD83" s="3" t="str">
        <f>FIXED(VLOOKUP($A83,'Full Sample-Single Family'!$A:$R,AD$1,0),2)</f>
        <v>2,023.00</v>
      </c>
      <c r="AE83" s="9" t="str">
        <f>FIXED(VLOOKUP($A83,'Full Sample-Single Family'!$A:$R,AE$1,0),2)</f>
        <v>2,017.57</v>
      </c>
      <c r="AF83" s="3" t="str">
        <f>FIXED(VLOOKUP($A83,'Full Sample-Single Family'!$A:$R,AF$1,0),2)</f>
        <v>1.18</v>
      </c>
      <c r="AG83" s="3" t="str">
        <f>FIXED(VLOOKUP($A83,'Full Sample-Single Family'!$A:$R,AG$1,0),2)</f>
        <v>2,016.00</v>
      </c>
      <c r="AH83" s="13" t="str">
        <f>FIXED(VLOOKUP($A83,'Full Sample-Single Family'!$A:$R,AH$1,0),2)</f>
        <v>2,020.00</v>
      </c>
      <c r="AI83" s="9" t="str">
        <f>FIXED(VLOOKUP($A83,'Full Sample-Single Family'!$A:$R,AI$1,0),2)</f>
        <v>2,021.04</v>
      </c>
      <c r="AJ83" s="3" t="str">
        <f>FIXED(VLOOKUP($A83,'Full Sample-Single Family'!$A:$R,AJ$1,0),2)</f>
        <v>0.83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190</v>
      </c>
      <c r="B84" t="s">
        <v>191</v>
      </c>
      <c r="C84" s="9" t="str">
        <f>FIXED(VLOOKUP($A84,'Full Sample-No Sub'!$A:$R,C$1,0),2)</f>
        <v>8,958.18</v>
      </c>
      <c r="D84" s="3" t="str">
        <f>FIXED(VLOOKUP($A84,'Full Sample-No Sub'!$A:$R,D$1,0),2)</f>
        <v>89,034.99</v>
      </c>
      <c r="E84" s="3" t="str">
        <f>FIXED(VLOOKUP($A84,'Full Sample-No Sub'!$A:$R,E$1,0),2)</f>
        <v>-2,010,000.00</v>
      </c>
      <c r="F84" s="3" t="str">
        <f>FIXED(VLOOKUP($A84,'Full Sample-No Sub'!$A:$R,F$1,0),2)</f>
        <v>6,900,000.00</v>
      </c>
      <c r="G84" s="9" t="str">
        <f>FIXED(VLOOKUP($A84,'Full Sample-No Sub'!$A:$R,G$1,0),2)</f>
        <v>14,555.15</v>
      </c>
      <c r="H84" s="3" t="str">
        <f>FIXED(VLOOKUP($A84,'Full Sample-No Sub'!$A:$R,H$1,0),2)</f>
        <v>68,460.86</v>
      </c>
      <c r="I84" s="3" t="str">
        <f>FIXED(VLOOKUP($A84,'Full Sample-No Sub'!$A:$R,I$1,0),2)</f>
        <v>-1,850,000.00</v>
      </c>
      <c r="J84" s="13" t="str">
        <f>FIXED(VLOOKUP($A84,'Full Sample-No Sub'!$A:$R,J$1,0),2)</f>
        <v>2,950,000.00</v>
      </c>
      <c r="K84" s="9" t="str">
        <f>FIXED(VLOOKUP($A84,'Full Sample-No Sub'!$A:$R,K$1,0),2)</f>
        <v>1,342.97</v>
      </c>
      <c r="L84" s="3" t="str">
        <f>FIXED(VLOOKUP($A84,'Full Sample-No Sub'!$A:$R,L$1,0),2)</f>
        <v>110,615.70</v>
      </c>
      <c r="M84" s="3" t="str">
        <f>FIXED(VLOOKUP($A84,'Full Sample-No Sub'!$A:$R,M$1,0),2)</f>
        <v>-2,010,000.00</v>
      </c>
      <c r="N84" s="13" t="str">
        <f>FIXED(VLOOKUP($A84,'Full Sample-No Sub'!$A:$R,N$1,0),2)</f>
        <v>6,900,000.00</v>
      </c>
      <c r="O84" s="9" t="str">
        <f>FIXED(VLOOKUP($A84,'Full Sample-Townhouse'!$A:$R,O$1,0),2)</f>
        <v>7,325.00</v>
      </c>
      <c r="P84" s="3" t="str">
        <f>FIXED(VLOOKUP($A84,'Full Sample-Townhouse'!$A:$R,P$1,0),2)</f>
        <v>47,457.29</v>
      </c>
      <c r="Q84" s="3" t="str">
        <f>FIXED(VLOOKUP($A84,'Full Sample-Townhouse'!$A:$R,Q$1,0),2)</f>
        <v>-300,000.00</v>
      </c>
      <c r="R84" s="3" t="str">
        <f>FIXED(VLOOKUP($A84,'Full Sample-Townhouse'!$A:$R,R$1,0),2)</f>
        <v>4,750,000.00</v>
      </c>
      <c r="S84" s="9" t="str">
        <f>FIXED(VLOOKUP($A84,'Full Sample-Townhouse'!$A:$R,S$1,0),2)</f>
        <v>9,597.21</v>
      </c>
      <c r="T84" s="3" t="str">
        <f>FIXED(VLOOKUP($A84,'Full Sample-Townhouse'!$A:$R,T$1,0),2)</f>
        <v>32,027.74</v>
      </c>
      <c r="U84" s="3" t="str">
        <f>FIXED(VLOOKUP($A84,'Full Sample-Townhouse'!$A:$R,U$1,0),2)</f>
        <v>-152,000.00</v>
      </c>
      <c r="V84" s="13" t="str">
        <f>FIXED(VLOOKUP($A84,'Full Sample-Townhouse'!$A:$R,V$1,0),2)</f>
        <v>750,000.00</v>
      </c>
      <c r="W84" s="9" t="str">
        <f>FIXED(VLOOKUP($A84,'Full Sample-Townhouse'!$A:$R,W$1,0),2)</f>
        <v>4,245.62</v>
      </c>
      <c r="X84" s="3" t="str">
        <f>FIXED(VLOOKUP($A84,'Full Sample-Townhouse'!$A:$R,X$1,0),2)</f>
        <v>62,434.13</v>
      </c>
      <c r="Y84" s="3"/>
      <c r="Z84" s="3"/>
      <c r="AA84" s="9" t="str">
        <f>FIXED(VLOOKUP($A84,'Full Sample-Single Family'!$A:$R,AA$1,0),2)</f>
        <v>10,908.83</v>
      </c>
      <c r="AB84" s="3" t="str">
        <f>FIXED(VLOOKUP($A84,'Full Sample-Single Family'!$A:$R,AB$1,0),2)</f>
        <v>121,238.60</v>
      </c>
      <c r="AC84" s="3" t="str">
        <f>FIXED(VLOOKUP($A84,'Full Sample-Single Family'!$A:$R,AC$1,0),2)</f>
        <v>-2,010,000.00</v>
      </c>
      <c r="AD84" s="3" t="str">
        <f>FIXED(VLOOKUP($A84,'Full Sample-Single Family'!$A:$R,AD$1,0),2)</f>
        <v>6,900,000.00</v>
      </c>
      <c r="AE84" s="9" t="str">
        <f>FIXED(VLOOKUP($A84,'Full Sample-Single Family'!$A:$R,AE$1,0),2)</f>
        <v>20,455.11</v>
      </c>
      <c r="AF84" s="3" t="str">
        <f>FIXED(VLOOKUP($A84,'Full Sample-Single Family'!$A:$R,AF$1,0),2)</f>
        <v>94,762.67</v>
      </c>
      <c r="AG84" s="3" t="str">
        <f>FIXED(VLOOKUP($A84,'Full Sample-Single Family'!$A:$R,AG$1,0),2)</f>
        <v>-1,850,000.00</v>
      </c>
      <c r="AH84" s="13" t="str">
        <f>FIXED(VLOOKUP($A84,'Full Sample-Single Family'!$A:$R,AH$1,0),2)</f>
        <v>2,950,000.00</v>
      </c>
      <c r="AI84" s="9" t="str">
        <f>FIXED(VLOOKUP($A84,'Full Sample-Single Family'!$A:$R,AI$1,0),2)</f>
        <v>-2,141.30</v>
      </c>
      <c r="AJ84" s="3" t="str">
        <f>FIXED(VLOOKUP($A84,'Full Sample-Single Family'!$A:$R,AJ$1,0),2)</f>
        <v>149,075.40</v>
      </c>
      <c r="AK84" s="3"/>
      <c r="AL84" s="3"/>
    </row>
    <row r="85" spans="1:40" x14ac:dyDescent="0.25">
      <c r="A85" t="s">
        <v>19</v>
      </c>
      <c r="B85" t="s">
        <v>314</v>
      </c>
      <c r="C85" s="9" t="str">
        <f>FIXED(VLOOKUP($A85,'Full Sample-No Sub'!$A:$R,C$1,0)/100000,2)</f>
        <v>9.39</v>
      </c>
      <c r="D85" s="3" t="str">
        <f>FIXED(VLOOKUP($A85,'Full Sample-No Sub'!$A:$R,D$1,0),2)</f>
        <v>877,102.10</v>
      </c>
      <c r="E85" s="3" t="str">
        <f>FIXED(VLOOKUP($A85,'Full Sample-No Sub'!$A:$R,E$1,0),2)</f>
        <v>85,418.51</v>
      </c>
      <c r="F85" s="3" t="str">
        <f>FIXED(VLOOKUP($A85,'Full Sample-No Sub'!$A:$R,F$1,0),2)</f>
        <v>28,197,546.00</v>
      </c>
      <c r="G85" s="9" t="str">
        <f>FIXED(VLOOKUP($A85,'Full Sample-No Sub'!$A:$R,G$1,0),2)</f>
        <v>904,945.40</v>
      </c>
      <c r="H85" s="3" t="str">
        <f>FIXED(VLOOKUP($A85,'Full Sample-No Sub'!$A:$R,H$1,0),2)</f>
        <v>841,178.20</v>
      </c>
      <c r="I85" s="3" t="str">
        <f>FIXED(VLOOKUP($A85,'Full Sample-No Sub'!$A:$R,I$1,0),2)</f>
        <v>99,684.44</v>
      </c>
      <c r="J85" s="13" t="str">
        <f>FIXED(VLOOKUP($A85,'Full Sample-No Sub'!$A:$R,J$1,0),2)</f>
        <v>28,197,546.00</v>
      </c>
      <c r="K85" s="9" t="str">
        <f>FIXED(VLOOKUP($A85,'Full Sample-No Sub'!$A:$R,K$1,0),2)</f>
        <v>986,038.90</v>
      </c>
      <c r="L85" s="3" t="str">
        <f>FIXED(VLOOKUP($A85,'Full Sample-No Sub'!$A:$R,L$1,0),2)</f>
        <v>921,705.30</v>
      </c>
      <c r="M85" s="3" t="str">
        <f>FIXED(VLOOKUP($A85,'Full Sample-No Sub'!$A:$R,M$1,0),2)</f>
        <v>85,418.51</v>
      </c>
      <c r="N85" s="13" t="str">
        <f>FIXED(VLOOKUP($A85,'Full Sample-No Sub'!$A:$R,N$1,0),2)</f>
        <v>22,166,108.00</v>
      </c>
      <c r="O85" s="9" t="str">
        <f>FIXED(VLOOKUP($A85,'Full Sample-Townhouse'!$A:$R,O$1,0),2)</f>
        <v>665,537.00</v>
      </c>
      <c r="P85" s="3" t="str">
        <f>FIXED(VLOOKUP($A85,'Full Sample-Townhouse'!$A:$R,P$1,0),2)</f>
        <v>598,576.90</v>
      </c>
      <c r="Q85" s="3" t="str">
        <f>FIXED(VLOOKUP($A85,'Full Sample-Townhouse'!$A:$R,Q$1,0),2)</f>
        <v>85,418.51</v>
      </c>
      <c r="R85" s="3" t="str">
        <f>FIXED(VLOOKUP($A85,'Full Sample-Townhouse'!$A:$R,R$1,0),2)</f>
        <v>28,197,546.00</v>
      </c>
      <c r="S85" s="9" t="str">
        <f>FIXED(VLOOKUP($A85,'Full Sample-Townhouse'!$A:$R,S$1,0),2)</f>
        <v>665,932.40</v>
      </c>
      <c r="T85" s="3" t="str">
        <f>FIXED(VLOOKUP($A85,'Full Sample-Townhouse'!$A:$R,T$1,0),2)</f>
        <v>611,997.90</v>
      </c>
      <c r="U85" s="3" t="str">
        <f>FIXED(VLOOKUP($A85,'Full Sample-Townhouse'!$A:$R,U$1,0),2)</f>
        <v>99,684.44</v>
      </c>
      <c r="V85" s="13" t="str">
        <f>FIXED(VLOOKUP($A85,'Full Sample-Townhouse'!$A:$R,V$1,0),2)</f>
        <v>28,197,546.00</v>
      </c>
      <c r="W85" s="9" t="str">
        <f>FIXED(VLOOKUP($A85,'Full Sample-Townhouse'!$A:$R,W$1,0),2)</f>
        <v>665,001.10</v>
      </c>
      <c r="X85" s="3" t="str">
        <f>FIXED(VLOOKUP($A85,'Full Sample-Townhouse'!$A:$R,X$1,0),2)</f>
        <v>579,918.50</v>
      </c>
      <c r="Y85" s="3" t="str">
        <f>FIXED(VLOOKUP($A85,'Full Sample-Townhouse'!$A:$R,Y$1,0),2)</f>
        <v>85,418.51</v>
      </c>
      <c r="Z85" s="3" t="str">
        <f>FIXED(VLOOKUP($A85,'Full Sample-Townhouse'!$A:$R,Z$1,0),2)</f>
        <v>17,256,276.00</v>
      </c>
      <c r="AA85" s="9" t="str">
        <f>FIXED(VLOOKUP($A85,'Full Sample-Single Family'!$A:$R,AA$1,0),2)</f>
        <v>1,266,274.00</v>
      </c>
      <c r="AB85" s="3" t="str">
        <f>FIXED(VLOOKUP($A85,'Full Sample-Single Family'!$A:$R,AB$1,0),2)</f>
        <v>1,031,415.00</v>
      </c>
      <c r="AC85" s="3" t="str">
        <f>FIXED(VLOOKUP($A85,'Full Sample-Single Family'!$A:$R,AC$1,0),2)</f>
        <v>168,375.10</v>
      </c>
      <c r="AD85" s="3" t="str">
        <f>FIXED(VLOOKUP($A85,'Full Sample-Single Family'!$A:$R,AD$1,0),2)</f>
        <v>23,293,838.00</v>
      </c>
      <c r="AE85" s="9" t="str">
        <f>FIXED(VLOOKUP($A85,'Full Sample-Single Family'!$A:$R,AE$1,0),2)</f>
        <v>1,189,371.00</v>
      </c>
      <c r="AF85" s="3" t="str">
        <f>FIXED(VLOOKUP($A85,'Full Sample-Single Family'!$A:$R,AF$1,0),2)</f>
        <v>977,274.50</v>
      </c>
      <c r="AG85" s="3" t="str">
        <f>FIXED(VLOOKUP($A85,'Full Sample-Single Family'!$A:$R,AG$1,0),2)</f>
        <v>168,375.10</v>
      </c>
      <c r="AH85" s="13" t="str">
        <f>FIXED(VLOOKUP($A85,'Full Sample-Single Family'!$A:$R,AH$1,0),2)</f>
        <v>23,293,838.00</v>
      </c>
      <c r="AI85" s="9" t="str">
        <f>FIXED(VLOOKUP($A85,'Full Sample-Single Family'!$A:$R,AI$1,0),2)</f>
        <v>1,371,403.00</v>
      </c>
      <c r="AJ85" s="3" t="str">
        <f>FIXED(VLOOKUP($A85,'Full Sample-Single Family'!$A:$R,AJ$1,0),2)</f>
        <v>1,092,456.00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  <c r="AN85" s="9" t="s">
        <v>302</v>
      </c>
    </row>
    <row r="86" spans="1:40" x14ac:dyDescent="0.25">
      <c r="A86" t="s">
        <v>79</v>
      </c>
      <c r="B86" s="4" t="s">
        <v>155</v>
      </c>
      <c r="C86" s="9" t="str">
        <f>FIXED(VLOOKUP($A86,'Full Sample-No Sub'!$A:$R,C$1,0),2)</f>
        <v>0.12</v>
      </c>
      <c r="D86" s="3" t="str">
        <f>FIXED(VLOOKUP($A86,'Full Sample-No Sub'!$A:$R,D$1,0),2)</f>
        <v>0.33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9" t="str">
        <f>FIXED(VLOOKUP($A86,'Full Sample-No Sub'!$A:$R,G$1,0),2)</f>
        <v>0.12</v>
      </c>
      <c r="H86" s="3" t="str">
        <f>FIXED(VLOOKUP($A86,'Full Sample-No Sub'!$A:$R,H$1,0),2)</f>
        <v>0.33</v>
      </c>
      <c r="I86" s="3" t="str">
        <f>FIXED(VLOOKUP($A86,'Full Sample-No Sub'!$A:$R,I$1,0),2)</f>
        <v>0.00</v>
      </c>
      <c r="J86" s="13" t="str">
        <f>FIXED(VLOOKUP($A86,'Full Sample-No Sub'!$A:$R,J$1,0),2)</f>
        <v>1.00</v>
      </c>
      <c r="K86" s="9" t="str">
        <f>FIXED(VLOOKUP($A86,'Full Sample-No Sub'!$A:$R,K$1,0),2)</f>
        <v>0.12</v>
      </c>
      <c r="L86" s="3" t="str">
        <f>FIXED(VLOOKUP($A86,'Full Sample-No Sub'!$A:$R,L$1,0),2)</f>
        <v>0.33</v>
      </c>
      <c r="M86" s="3" t="str">
        <f>FIXED(VLOOKUP($A86,'Full Sample-No Sub'!$A:$R,M$1,0),2)</f>
        <v>0.00</v>
      </c>
      <c r="N86" s="13" t="str">
        <f>FIXED(VLOOKUP($A86,'Full Sample-No Sub'!$A:$R,N$1,0),2)</f>
        <v>1.00</v>
      </c>
      <c r="O86" s="9" t="str">
        <f>FIXED(VLOOKUP($A86,'Full Sample-Townhouse'!$A:$R,O$1,0),2)</f>
        <v>0.20</v>
      </c>
      <c r="P86" s="3" t="str">
        <f>FIXED(VLOOKUP($A86,'Full Sample-Townhouse'!$A:$R,P$1,0),2)</f>
        <v>0.40</v>
      </c>
      <c r="Q86" s="3" t="str">
        <f>FIXED(VLOOKUP($A86,'Full Sample-Townhouse'!$A:$R,Q$1,0),2)</f>
        <v>0.00</v>
      </c>
      <c r="R86" s="3" t="str">
        <f>FIXED(VLOOKUP($A86,'Full Sample-Townhouse'!$A:$R,R$1,0),2)</f>
        <v>1.00</v>
      </c>
      <c r="S86" s="9" t="str">
        <f>FIXED(VLOOKUP($A86,'Full Sample-Townhouse'!$A:$R,S$1,0),2)</f>
        <v>0.20</v>
      </c>
      <c r="T86" s="3" t="str">
        <f>FIXED(VLOOKUP($A86,'Full Sample-Townhouse'!$A:$R,T$1,0),2)</f>
        <v>0.40</v>
      </c>
      <c r="U86" s="3" t="str">
        <f>FIXED(VLOOKUP($A86,'Full Sample-Townhouse'!$A:$R,U$1,0),2)</f>
        <v>0.00</v>
      </c>
      <c r="V86" s="13" t="str">
        <f>FIXED(VLOOKUP($A86,'Full Sample-Townhouse'!$A:$R,V$1,0),2)</f>
        <v>1.00</v>
      </c>
      <c r="W86" s="9" t="str">
        <f>FIXED(VLOOKUP($A86,'Full Sample-Townhouse'!$A:$R,W$1,0),2)</f>
        <v>0.20</v>
      </c>
      <c r="X86" s="3" t="str">
        <f>FIXED(VLOOKUP($A86,'Full Sample-Townhouse'!$A:$R,X$1,0),2)</f>
        <v>0.40</v>
      </c>
      <c r="Y86" s="3" t="str">
        <f>FIXED(VLOOKUP($A86,'Full Sample-Townhouse'!$A:$R,Y$1,0),2)</f>
        <v>0.00</v>
      </c>
      <c r="Z86" s="3" t="str">
        <f>FIXED(VLOOKUP($A86,'Full Sample-Townhouse'!$A:$R,Z$1,0),2)</f>
        <v>1.00</v>
      </c>
      <c r="AA86" s="9" t="str">
        <f>FIXED(VLOOKUP($A86,'Full Sample-Single Family'!$A:$R,AA$1,0),2)</f>
        <v>0.03</v>
      </c>
      <c r="AB86" s="3" t="str">
        <f>FIXED(VLOOKUP($A86,'Full Sample-Single Family'!$A:$R,AB$1,0),2)</f>
        <v>0.18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1.00</v>
      </c>
      <c r="AE86" s="9" t="str">
        <f>FIXED(VLOOKUP($A86,'Full Sample-Single Family'!$A:$R,AE$1,0),2)</f>
        <v>0.03</v>
      </c>
      <c r="AF86" s="3" t="str">
        <f>FIXED(VLOOKUP($A86,'Full Sample-Single Family'!$A:$R,AF$1,0),2)</f>
        <v>0.17</v>
      </c>
      <c r="AG86" s="3" t="str">
        <f>FIXED(VLOOKUP($A86,'Full Sample-Single Family'!$A:$R,AG$1,0),2)</f>
        <v>0.00</v>
      </c>
      <c r="AH86" s="13" t="str">
        <f>FIXED(VLOOKUP($A86,'Full Sample-Single Family'!$A:$R,AH$1,0),2)</f>
        <v>1.00</v>
      </c>
      <c r="AI86" s="9" t="str">
        <f>FIXED(VLOOKUP($A86,'Full Sample-Single Family'!$A:$R,AI$1,0),2)</f>
        <v>0.04</v>
      </c>
      <c r="AJ86" s="3" t="str">
        <f>FIXED(VLOOKUP($A86,'Full Sample-Single Family'!$A:$R,AJ$1,0),2)</f>
        <v>0.19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80</v>
      </c>
      <c r="B87" s="4" t="s">
        <v>156</v>
      </c>
      <c r="C87" s="9" t="str">
        <f>FIXED(VLOOKUP($A87,'Full Sample-No Sub'!$A:$R,C$1,0),2)</f>
        <v>0.01</v>
      </c>
      <c r="D87" s="3" t="str">
        <f>FIXED(VLOOKUP($A87,'Full Sample-No Sub'!$A:$R,D$1,0),2)</f>
        <v>0.08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9" t="str">
        <f>FIXED(VLOOKUP($A87,'Full Sample-No Sub'!$A:$R,G$1,0),2)</f>
        <v>0.01</v>
      </c>
      <c r="H87" s="3" t="str">
        <f>FIXED(VLOOKUP($A87,'Full Sample-No Sub'!$A:$R,H$1,0),2)</f>
        <v>0.07</v>
      </c>
      <c r="I87" s="3" t="str">
        <f>FIXED(VLOOKUP($A87,'Full Sample-No Sub'!$A:$R,I$1,0),2)</f>
        <v>0.00</v>
      </c>
      <c r="J87" s="13" t="str">
        <f>FIXED(VLOOKUP($A87,'Full Sample-No Sub'!$A:$R,J$1,0),2)</f>
        <v>1.00</v>
      </c>
      <c r="K87" s="9" t="str">
        <f>FIXED(VLOOKUP($A87,'Full Sample-No Sub'!$A:$R,K$1,0),2)</f>
        <v>0.01</v>
      </c>
      <c r="L87" s="3" t="str">
        <f>FIXED(VLOOKUP($A87,'Full Sample-No Sub'!$A:$R,L$1,0),2)</f>
        <v>0.08</v>
      </c>
      <c r="M87" s="3" t="str">
        <f>FIXED(VLOOKUP($A87,'Full Sample-No Sub'!$A:$R,M$1,0),2)</f>
        <v>0.00</v>
      </c>
      <c r="N87" s="13" t="str">
        <f>FIXED(VLOOKUP($A87,'Full Sample-No Sub'!$A:$R,N$1,0),2)</f>
        <v>1.00</v>
      </c>
      <c r="O87" s="9" t="str">
        <f>FIXED(VLOOKUP($A87,'Full Sample-Townhouse'!$A:$R,O$1,0),2)</f>
        <v>0.01</v>
      </c>
      <c r="P87" s="3" t="str">
        <f>FIXED(VLOOKUP($A87,'Full Sample-Townhouse'!$A:$R,P$1,0),2)</f>
        <v>0.10</v>
      </c>
      <c r="Q87" s="3" t="str">
        <f>FIXED(VLOOKUP($A87,'Full Sample-Townhouse'!$A:$R,Q$1,0),2)</f>
        <v>0.00</v>
      </c>
      <c r="R87" s="3" t="str">
        <f>FIXED(VLOOKUP($A87,'Full Sample-Townhouse'!$A:$R,R$1,0),2)</f>
        <v>1.00</v>
      </c>
      <c r="S87" s="9" t="str">
        <f>FIXED(VLOOKUP($A87,'Full Sample-Townhouse'!$A:$R,S$1,0),2)</f>
        <v>0.01</v>
      </c>
      <c r="T87" s="3" t="str">
        <f>FIXED(VLOOKUP($A87,'Full Sample-Townhouse'!$A:$R,T$1,0),2)</f>
        <v>0.10</v>
      </c>
      <c r="U87" s="3" t="str">
        <f>FIXED(VLOOKUP($A87,'Full Sample-Townhouse'!$A:$R,U$1,0),2)</f>
        <v>0.00</v>
      </c>
      <c r="V87" s="13" t="str">
        <f>FIXED(VLOOKUP($A87,'Full Sample-Townhouse'!$A:$R,V$1,0),2)</f>
        <v>1.00</v>
      </c>
      <c r="W87" s="9" t="str">
        <f>FIXED(VLOOKUP($A87,'Full Sample-Townhouse'!$A:$R,W$1,0),2)</f>
        <v>0.01</v>
      </c>
      <c r="X87" s="3" t="str">
        <f>FIXED(VLOOKUP($A87,'Full Sample-Townhouse'!$A:$R,X$1,0),2)</f>
        <v>0.11</v>
      </c>
      <c r="Y87" s="3" t="str">
        <f>FIXED(VLOOKUP($A87,'Full Sample-Townhouse'!$A:$R,Y$1,0),2)</f>
        <v>0.00</v>
      </c>
      <c r="Z87" s="3" t="str">
        <f>FIXED(VLOOKUP($A87,'Full Sample-Townhouse'!$A:$R,Z$1,0),2)</f>
        <v>1.00</v>
      </c>
      <c r="AA87" s="9" t="str">
        <f>FIXED(VLOOKUP($A87,'Full Sample-Single Family'!$A:$R,AA$1,0),2)</f>
        <v>0.00</v>
      </c>
      <c r="AB87" s="3" t="str">
        <f>FIXED(VLOOKUP($A87,'Full Sample-Single Family'!$A:$R,AB$1,0),2)</f>
        <v>0.02</v>
      </c>
      <c r="AC87" s="3" t="str">
        <f>FIXED(VLOOKUP($A87,'Full Sample-Single Family'!$A:$R,AC$1,0),2)</f>
        <v>0.00</v>
      </c>
      <c r="AD87" s="3" t="str">
        <f>FIXED(VLOOKUP($A87,'Full Sample-Single Family'!$A:$R,AD$1,0),2)</f>
        <v>1.00</v>
      </c>
      <c r="AE87" s="9" t="str">
        <f>FIXED(VLOOKUP($A87,'Full Sample-Single Family'!$A:$R,AE$1,0),2)</f>
        <v>0.00</v>
      </c>
      <c r="AF87" s="3" t="str">
        <f>FIXED(VLOOKUP($A87,'Full Sample-Single Family'!$A:$R,AF$1,0),2)</f>
        <v>0.02</v>
      </c>
      <c r="AG87" s="3" t="str">
        <f>FIXED(VLOOKUP($A87,'Full Sample-Single Family'!$A:$R,AG$1,0),2)</f>
        <v>0.00</v>
      </c>
      <c r="AH87" s="13" t="str">
        <f>FIXED(VLOOKUP($A87,'Full Sample-Single Family'!$A:$R,AH$1,0),2)</f>
        <v>1.00</v>
      </c>
      <c r="AI87" s="9" t="str">
        <f>FIXED(VLOOKUP($A87,'Full Sample-Single Family'!$A:$R,AI$1,0),2)</f>
        <v>0.00</v>
      </c>
      <c r="AJ87" s="3" t="str">
        <f>FIXED(VLOOKUP($A87,'Full Sample-Single Family'!$A:$R,AJ$1,0),2)</f>
        <v>0.01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81</v>
      </c>
      <c r="B88" s="4" t="s">
        <v>157</v>
      </c>
      <c r="C88" s="9" t="str">
        <f>FIXED(VLOOKUP($A88,'Full Sample-No Sub'!$A:$R,C$1,0),2)</f>
        <v>0.00</v>
      </c>
      <c r="D88" s="3" t="str">
        <f>FIXED(VLOOKUP($A88,'Full Sample-No Sub'!$A:$R,D$1,0),2)</f>
        <v>0.04</v>
      </c>
      <c r="E88" s="3" t="str">
        <f>FIXED(VLOOKUP($A88,'Full Sample-No Sub'!$A:$R,E$1,0),2)</f>
        <v>0.00</v>
      </c>
      <c r="F88" s="3" t="str">
        <f>FIXED(VLOOKUP($A88,'Full Sample-No Sub'!$A:$R,F$1,0),2)</f>
        <v>1.00</v>
      </c>
      <c r="G88" s="9" t="str">
        <f>FIXED(VLOOKUP($A88,'Full Sample-No Sub'!$A:$R,G$1,0),2)</f>
        <v>0.00</v>
      </c>
      <c r="H88" s="3" t="str">
        <f>FIXED(VLOOKUP($A88,'Full Sample-No Sub'!$A:$R,H$1,0),2)</f>
        <v>0.04</v>
      </c>
      <c r="I88" s="3" t="str">
        <f>FIXED(VLOOKUP($A88,'Full Sample-No Sub'!$A:$R,I$1,0),2)</f>
        <v>0.00</v>
      </c>
      <c r="J88" s="13" t="str">
        <f>FIXED(VLOOKUP($A88,'Full Sample-No Sub'!$A:$R,J$1,0),2)</f>
        <v>1.00</v>
      </c>
      <c r="K88" s="9" t="str">
        <f>FIXED(VLOOKUP($A88,'Full Sample-No Sub'!$A:$R,K$1,0),2)</f>
        <v>0.00</v>
      </c>
      <c r="L88" s="3" t="str">
        <f>FIXED(VLOOKUP($A88,'Full Sample-No Sub'!$A:$R,L$1,0),2)</f>
        <v>0.04</v>
      </c>
      <c r="M88" s="3" t="str">
        <f>FIXED(VLOOKUP($A88,'Full Sample-No Sub'!$A:$R,M$1,0),2)</f>
        <v>0.00</v>
      </c>
      <c r="N88" s="13" t="str">
        <f>FIXED(VLOOKUP($A88,'Full Sample-No Sub'!$A:$R,N$1,0),2)</f>
        <v>1.00</v>
      </c>
      <c r="O88" s="9" t="str">
        <f>FIXED(VLOOKUP($A88,'Full Sample-Townhouse'!$A:$R,O$1,0),2)</f>
        <v>0.00</v>
      </c>
      <c r="P88" s="3" t="str">
        <f>FIXED(VLOOKUP($A88,'Full Sample-Townhouse'!$A:$R,P$1,0),2)</f>
        <v>0.02</v>
      </c>
      <c r="Q88" s="3" t="str">
        <f>FIXED(VLOOKUP($A88,'Full Sample-Townhouse'!$A:$R,Q$1,0),2)</f>
        <v>0.00</v>
      </c>
      <c r="R88" s="3" t="str">
        <f>FIXED(VLOOKUP($A88,'Full Sample-Townhouse'!$A:$R,R$1,0),2)</f>
        <v>1.00</v>
      </c>
      <c r="S88" s="9" t="str">
        <f>FIXED(VLOOKUP($A88,'Full Sample-Townhouse'!$A:$R,S$1,0),2)</f>
        <v>0.00</v>
      </c>
      <c r="T88" s="3" t="str">
        <f>FIXED(VLOOKUP($A88,'Full Sample-Townhouse'!$A:$R,T$1,0),2)</f>
        <v>0.03</v>
      </c>
      <c r="U88" s="3" t="str">
        <f>FIXED(VLOOKUP($A88,'Full Sample-Townhouse'!$A:$R,U$1,0),2)</f>
        <v>0.00</v>
      </c>
      <c r="V88" s="13" t="str">
        <f>FIXED(VLOOKUP($A88,'Full Sample-Townhouse'!$A:$R,V$1,0),2)</f>
        <v>1.00</v>
      </c>
      <c r="W88" s="9" t="str">
        <f>FIXED(VLOOKUP($A88,'Full Sample-Townhouse'!$A:$R,W$1,0),2)</f>
        <v>0.00</v>
      </c>
      <c r="X88" s="3" t="str">
        <f>FIXED(VLOOKUP($A88,'Full Sample-Townhouse'!$A:$R,X$1,0),2)</f>
        <v>0.02</v>
      </c>
      <c r="Y88" s="3" t="str">
        <f>FIXED(VLOOKUP($A88,'Full Sample-Townhouse'!$A:$R,Y$1,0),2)</f>
        <v>0.00</v>
      </c>
      <c r="Z88" s="3" t="str">
        <f>FIXED(VLOOKUP($A88,'Full Sample-Townhouse'!$A:$R,Z$1,0),2)</f>
        <v>1.00</v>
      </c>
      <c r="AA88" s="9" t="str">
        <f>FIXED(VLOOKUP($A88,'Full Sample-Single Family'!$A:$R,AA$1,0),2)</f>
        <v>0.00</v>
      </c>
      <c r="AB88" s="3" t="str">
        <f>FIXED(VLOOKUP($A88,'Full Sample-Single Family'!$A:$R,AB$1,0),2)</f>
        <v>0.06</v>
      </c>
      <c r="AC88" s="3" t="str">
        <f>FIXED(VLOOKUP($A88,'Full Sample-Single Family'!$A:$R,AC$1,0),2)</f>
        <v>0.00</v>
      </c>
      <c r="AD88" s="3" t="str">
        <f>FIXED(VLOOKUP($A88,'Full Sample-Single Family'!$A:$R,AD$1,0),2)</f>
        <v>1.00</v>
      </c>
      <c r="AE88" s="9" t="str">
        <f>FIXED(VLOOKUP($A88,'Full Sample-Single Family'!$A:$R,AE$1,0),2)</f>
        <v>0.00</v>
      </c>
      <c r="AF88" s="3" t="str">
        <f>FIXED(VLOOKUP($A88,'Full Sample-Single Family'!$A:$R,AF$1,0),2)</f>
        <v>0.06</v>
      </c>
      <c r="AG88" s="3" t="str">
        <f>FIXED(VLOOKUP($A88,'Full Sample-Single Family'!$A:$R,AG$1,0),2)</f>
        <v>0.00</v>
      </c>
      <c r="AH88" s="13" t="str">
        <f>FIXED(VLOOKUP($A88,'Full Sample-Single Family'!$A:$R,AH$1,0),2)</f>
        <v>1.00</v>
      </c>
      <c r="AI88" s="9" t="str">
        <f>FIXED(VLOOKUP($A88,'Full Sample-Single Family'!$A:$R,AI$1,0),2)</f>
        <v>0.00</v>
      </c>
      <c r="AJ88" s="3" t="str">
        <f>FIXED(VLOOKUP($A88,'Full Sample-Single Family'!$A:$R,AJ$1,0),2)</f>
        <v>0.06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82</v>
      </c>
      <c r="B89" s="4" t="s">
        <v>158</v>
      </c>
      <c r="C89" s="9" t="str">
        <f>FIXED(VLOOKUP($A89,'Full Sample-No Sub'!$A:$R,C$1,0),2)</f>
        <v>0.04</v>
      </c>
      <c r="D89" s="3" t="str">
        <f>FIXED(VLOOKUP($A89,'Full Sample-No Sub'!$A:$R,D$1,0),2)</f>
        <v>0.20</v>
      </c>
      <c r="E89" s="3" t="str">
        <f>FIXED(VLOOKUP($A89,'Full Sample-No Sub'!$A:$R,E$1,0),2)</f>
        <v>0.00</v>
      </c>
      <c r="F89" s="3" t="str">
        <f>FIXED(VLOOKUP($A89,'Full Sample-No Sub'!$A:$R,F$1,0),2)</f>
        <v>1.00</v>
      </c>
      <c r="G89" s="9" t="str">
        <f>FIXED(VLOOKUP($A89,'Full Sample-No Sub'!$A:$R,G$1,0),2)</f>
        <v>0.04</v>
      </c>
      <c r="H89" s="3" t="str">
        <f>FIXED(VLOOKUP($A89,'Full Sample-No Sub'!$A:$R,H$1,0),2)</f>
        <v>0.20</v>
      </c>
      <c r="I89" s="3" t="str">
        <f>FIXED(VLOOKUP($A89,'Full Sample-No Sub'!$A:$R,I$1,0),2)</f>
        <v>0.00</v>
      </c>
      <c r="J89" s="13" t="str">
        <f>FIXED(VLOOKUP($A89,'Full Sample-No Sub'!$A:$R,J$1,0),2)</f>
        <v>1.00</v>
      </c>
      <c r="K89" s="9" t="str">
        <f>FIXED(VLOOKUP($A89,'Full Sample-No Sub'!$A:$R,K$1,0),2)</f>
        <v>0.04</v>
      </c>
      <c r="L89" s="3" t="str">
        <f>FIXED(VLOOKUP($A89,'Full Sample-No Sub'!$A:$R,L$1,0),2)</f>
        <v>0.20</v>
      </c>
      <c r="M89" s="3" t="str">
        <f>FIXED(VLOOKUP($A89,'Full Sample-No Sub'!$A:$R,M$1,0),2)</f>
        <v>0.00</v>
      </c>
      <c r="N89" s="13" t="str">
        <f>FIXED(VLOOKUP($A89,'Full Sample-No Sub'!$A:$R,N$1,0),2)</f>
        <v>1.00</v>
      </c>
      <c r="O89" s="9" t="str">
        <f>FIXED(VLOOKUP($A89,'Full Sample-Townhouse'!$A:$R,O$1,0),2)</f>
        <v>0.07</v>
      </c>
      <c r="P89" s="3" t="str">
        <f>FIXED(VLOOKUP($A89,'Full Sample-Townhouse'!$A:$R,P$1,0),2)</f>
        <v>0.26</v>
      </c>
      <c r="Q89" s="3" t="str">
        <f>FIXED(VLOOKUP($A89,'Full Sample-Townhouse'!$A:$R,Q$1,0),2)</f>
        <v>0.00</v>
      </c>
      <c r="R89" s="3" t="str">
        <f>FIXED(VLOOKUP($A89,'Full Sample-Townhouse'!$A:$R,R$1,0),2)</f>
        <v>1.00</v>
      </c>
      <c r="S89" s="9" t="str">
        <f>FIXED(VLOOKUP($A89,'Full Sample-Townhouse'!$A:$R,S$1,0),2)</f>
        <v>0.07</v>
      </c>
      <c r="T89" s="3" t="str">
        <f>FIXED(VLOOKUP($A89,'Full Sample-Townhouse'!$A:$R,T$1,0),2)</f>
        <v>0.26</v>
      </c>
      <c r="U89" s="3" t="str">
        <f>FIXED(VLOOKUP($A89,'Full Sample-Townhouse'!$A:$R,U$1,0),2)</f>
        <v>0.00</v>
      </c>
      <c r="V89" s="13" t="str">
        <f>FIXED(VLOOKUP($A89,'Full Sample-Townhouse'!$A:$R,V$1,0),2)</f>
        <v>1.00</v>
      </c>
      <c r="W89" s="9" t="str">
        <f>FIXED(VLOOKUP($A89,'Full Sample-Townhouse'!$A:$R,W$1,0),2)</f>
        <v>0.08</v>
      </c>
      <c r="X89" s="3" t="str">
        <f>FIXED(VLOOKUP($A89,'Full Sample-Townhouse'!$A:$R,X$1,0),2)</f>
        <v>0.26</v>
      </c>
      <c r="Y89" s="3" t="str">
        <f>FIXED(VLOOKUP($A89,'Full Sample-Townhouse'!$A:$R,Y$1,0),2)</f>
        <v>0.00</v>
      </c>
      <c r="Z89" s="3" t="str">
        <f>FIXED(VLOOKUP($A89,'Full Sample-Townhouse'!$A:$R,Z$1,0),2)</f>
        <v>1.00</v>
      </c>
      <c r="AA89" s="9" t="str">
        <f>FIXED(VLOOKUP($A89,'Full Sample-Single Family'!$A:$R,AA$1,0),2)</f>
        <v>0.00</v>
      </c>
      <c r="AB89" s="3" t="str">
        <f>FIXED(VLOOKUP($A89,'Full Sample-Single Family'!$A:$R,AB$1,0),2)</f>
        <v>0.06</v>
      </c>
      <c r="AC89" s="3" t="str">
        <f>FIXED(VLOOKUP($A89,'Full Sample-Single Family'!$A:$R,AC$1,0),2)</f>
        <v>0.00</v>
      </c>
      <c r="AD89" s="3" t="str">
        <f>FIXED(VLOOKUP($A89,'Full Sample-Single Family'!$A:$R,AD$1,0),2)</f>
        <v>1.00</v>
      </c>
      <c r="AE89" s="9" t="str">
        <f>FIXED(VLOOKUP($A89,'Full Sample-Single Family'!$A:$R,AE$1,0),2)</f>
        <v>0.00</v>
      </c>
      <c r="AF89" s="3" t="str">
        <f>FIXED(VLOOKUP($A89,'Full Sample-Single Family'!$A:$R,AF$1,0),2)</f>
        <v>0.06</v>
      </c>
      <c r="AG89" s="3" t="str">
        <f>FIXED(VLOOKUP($A89,'Full Sample-Single Family'!$A:$R,AG$1,0),2)</f>
        <v>0.00</v>
      </c>
      <c r="AH89" s="13" t="str">
        <f>FIXED(VLOOKUP($A89,'Full Sample-Single Family'!$A:$R,AH$1,0),2)</f>
        <v>1.00</v>
      </c>
      <c r="AI89" s="9" t="str">
        <f>FIXED(VLOOKUP($A89,'Full Sample-Single Family'!$A:$R,AI$1,0),2)</f>
        <v>0.00</v>
      </c>
      <c r="AJ89" s="3" t="str">
        <f>FIXED(VLOOKUP($A89,'Full Sample-Single Family'!$A:$R,AJ$1,0),2)</f>
        <v>0.06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83</v>
      </c>
      <c r="B90" s="4" t="s">
        <v>159</v>
      </c>
      <c r="C90" s="9" t="str">
        <f>FIXED(VLOOKUP($A90,'Full Sample-No Sub'!$A:$R,C$1,0),2)</f>
        <v>0.42</v>
      </c>
      <c r="D90" s="3" t="str">
        <f>FIXED(VLOOKUP($A90,'Full Sample-No Sub'!$A:$R,D$1,0),2)</f>
        <v>0.49</v>
      </c>
      <c r="E90" s="3" t="str">
        <f>FIXED(VLOOKUP($A90,'Full Sample-No Sub'!$A:$R,E$1,0),2)</f>
        <v>0.00</v>
      </c>
      <c r="F90" s="3" t="str">
        <f>FIXED(VLOOKUP($A90,'Full Sample-No Sub'!$A:$R,F$1,0),2)</f>
        <v>1.00</v>
      </c>
      <c r="G90" s="9" t="str">
        <f>FIXED(VLOOKUP($A90,'Full Sample-No Sub'!$A:$R,G$1,0),2)</f>
        <v>0.43</v>
      </c>
      <c r="H90" s="3" t="str">
        <f>FIXED(VLOOKUP($A90,'Full Sample-No Sub'!$A:$R,H$1,0),2)</f>
        <v>0.50</v>
      </c>
      <c r="I90" s="3" t="str">
        <f>FIXED(VLOOKUP($A90,'Full Sample-No Sub'!$A:$R,I$1,0),2)</f>
        <v>0.00</v>
      </c>
      <c r="J90" s="13" t="str">
        <f>FIXED(VLOOKUP($A90,'Full Sample-No Sub'!$A:$R,J$1,0),2)</f>
        <v>1.00</v>
      </c>
      <c r="K90" s="9" t="str">
        <f>FIXED(VLOOKUP($A90,'Full Sample-No Sub'!$A:$R,K$1,0),2)</f>
        <v>0.41</v>
      </c>
      <c r="L90" s="3" t="str">
        <f>FIXED(VLOOKUP($A90,'Full Sample-No Sub'!$A:$R,L$1,0),2)</f>
        <v>0.49</v>
      </c>
      <c r="M90" s="3" t="str">
        <f>FIXED(VLOOKUP($A90,'Full Sample-No Sub'!$A:$R,M$1,0),2)</f>
        <v>0.00</v>
      </c>
      <c r="N90" s="13" t="str">
        <f>FIXED(VLOOKUP($A90,'Full Sample-No Sub'!$A:$R,N$1,0),2)</f>
        <v>1.00</v>
      </c>
      <c r="O90" s="9" t="str">
        <f>FIXED(VLOOKUP($A90,'Full Sample-Townhouse'!$A:$R,O$1,0),2)</f>
        <v>0.31</v>
      </c>
      <c r="P90" s="3" t="str">
        <f>FIXED(VLOOKUP($A90,'Full Sample-Townhouse'!$A:$R,P$1,0),2)</f>
        <v>0.46</v>
      </c>
      <c r="Q90" s="3" t="str">
        <f>FIXED(VLOOKUP($A90,'Full Sample-Townhouse'!$A:$R,Q$1,0),2)</f>
        <v>0.00</v>
      </c>
      <c r="R90" s="3" t="str">
        <f>FIXED(VLOOKUP($A90,'Full Sample-Townhouse'!$A:$R,R$1,0),2)</f>
        <v>1.00</v>
      </c>
      <c r="S90" s="9" t="str">
        <f>FIXED(VLOOKUP($A90,'Full Sample-Townhouse'!$A:$R,S$1,0),2)</f>
        <v>0.31</v>
      </c>
      <c r="T90" s="3" t="str">
        <f>FIXED(VLOOKUP($A90,'Full Sample-Townhouse'!$A:$R,T$1,0),2)</f>
        <v>0.46</v>
      </c>
      <c r="U90" s="3" t="str">
        <f>FIXED(VLOOKUP($A90,'Full Sample-Townhouse'!$A:$R,U$1,0),2)</f>
        <v>0.00</v>
      </c>
      <c r="V90" s="13" t="str">
        <f>FIXED(VLOOKUP($A90,'Full Sample-Townhouse'!$A:$R,V$1,0),2)</f>
        <v>1.00</v>
      </c>
      <c r="W90" s="9" t="str">
        <f>FIXED(VLOOKUP($A90,'Full Sample-Townhouse'!$A:$R,W$1,0),2)</f>
        <v>0.31</v>
      </c>
      <c r="X90" s="3" t="str">
        <f>FIXED(VLOOKUP($A90,'Full Sample-Townhouse'!$A:$R,X$1,0),2)</f>
        <v>0.46</v>
      </c>
      <c r="Y90" s="3" t="str">
        <f>FIXED(VLOOKUP($A90,'Full Sample-Townhouse'!$A:$R,Y$1,0),2)</f>
        <v>0.00</v>
      </c>
      <c r="Z90" s="3" t="str">
        <f>FIXED(VLOOKUP($A90,'Full Sample-Townhouse'!$A:$R,Z$1,0),2)</f>
        <v>1.00</v>
      </c>
      <c r="AA90" s="9" t="str">
        <f>FIXED(VLOOKUP($A90,'Full Sample-Single Family'!$A:$R,AA$1,0),2)</f>
        <v>0.55</v>
      </c>
      <c r="AB90" s="3" t="str">
        <f>FIXED(VLOOKUP($A90,'Full Sample-Single Family'!$A:$R,AB$1,0),2)</f>
        <v>0.50</v>
      </c>
      <c r="AC90" s="3" t="str">
        <f>FIXED(VLOOKUP($A90,'Full Sample-Single Family'!$A:$R,AC$1,0),2)</f>
        <v>0.00</v>
      </c>
      <c r="AD90" s="3" t="str">
        <f>FIXED(VLOOKUP($A90,'Full Sample-Single Family'!$A:$R,AD$1,0),2)</f>
        <v>1.00</v>
      </c>
      <c r="AE90" s="9" t="str">
        <f>FIXED(VLOOKUP($A90,'Full Sample-Single Family'!$A:$R,AE$1,0),2)</f>
        <v>0.56</v>
      </c>
      <c r="AF90" s="3" t="str">
        <f>FIXED(VLOOKUP($A90,'Full Sample-Single Family'!$A:$R,AF$1,0),2)</f>
        <v>0.50</v>
      </c>
      <c r="AG90" s="3" t="str">
        <f>FIXED(VLOOKUP($A90,'Full Sample-Single Family'!$A:$R,AG$1,0),2)</f>
        <v>0.00</v>
      </c>
      <c r="AH90" s="13" t="str">
        <f>FIXED(VLOOKUP($A90,'Full Sample-Single Family'!$A:$R,AH$1,0),2)</f>
        <v>1.00</v>
      </c>
      <c r="AI90" s="9" t="str">
        <f>FIXED(VLOOKUP($A90,'Full Sample-Single Family'!$A:$R,AI$1,0),2)</f>
        <v>0.53</v>
      </c>
      <c r="AJ90" s="3" t="str">
        <f>FIXED(VLOOKUP($A90,'Full Sample-Single Family'!$A:$R,AJ$1,0),2)</f>
        <v>0.50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84</v>
      </c>
      <c r="B91" s="4" t="s">
        <v>160</v>
      </c>
      <c r="C91" s="9" t="str">
        <f>FIXED(VLOOKUP($A91,'Full Sample-No Sub'!$A:$R,C$1,0),2)</f>
        <v>0.01</v>
      </c>
      <c r="D91" s="3" t="str">
        <f>FIXED(VLOOKUP($A91,'Full Sample-No Sub'!$A:$R,D$1,0),2)</f>
        <v>0.09</v>
      </c>
      <c r="E91" s="3" t="str">
        <f>FIXED(VLOOKUP($A91,'Full Sample-No Sub'!$A:$R,E$1,0),2)</f>
        <v>0.00</v>
      </c>
      <c r="F91" s="3" t="str">
        <f>FIXED(VLOOKUP($A91,'Full Sample-No Sub'!$A:$R,F$1,0),2)</f>
        <v>1.00</v>
      </c>
      <c r="G91" s="9" t="str">
        <f>FIXED(VLOOKUP($A91,'Full Sample-No Sub'!$A:$R,G$1,0),2)</f>
        <v>0.01</v>
      </c>
      <c r="H91" s="3" t="str">
        <f>FIXED(VLOOKUP($A91,'Full Sample-No Sub'!$A:$R,H$1,0),2)</f>
        <v>0.08</v>
      </c>
      <c r="I91" s="3" t="str">
        <f>FIXED(VLOOKUP($A91,'Full Sample-No Sub'!$A:$R,I$1,0),2)</f>
        <v>0.00</v>
      </c>
      <c r="J91" s="13" t="str">
        <f>FIXED(VLOOKUP($A91,'Full Sample-No Sub'!$A:$R,J$1,0),2)</f>
        <v>1.00</v>
      </c>
      <c r="K91" s="9" t="str">
        <f>FIXED(VLOOKUP($A91,'Full Sample-No Sub'!$A:$R,K$1,0),2)</f>
        <v>0.01</v>
      </c>
      <c r="L91" s="3" t="str">
        <f>FIXED(VLOOKUP($A91,'Full Sample-No Sub'!$A:$R,L$1,0),2)</f>
        <v>0.09</v>
      </c>
      <c r="M91" s="3" t="str">
        <f>FIXED(VLOOKUP($A91,'Full Sample-No Sub'!$A:$R,M$1,0),2)</f>
        <v>0.00</v>
      </c>
      <c r="N91" s="13" t="str">
        <f>FIXED(VLOOKUP($A91,'Full Sample-No Sub'!$A:$R,N$1,0),2)</f>
        <v>1.00</v>
      </c>
      <c r="O91" s="9" t="str">
        <f>FIXED(VLOOKUP($A91,'Full Sample-Townhouse'!$A:$R,O$1,0),2)</f>
        <v>0.01</v>
      </c>
      <c r="P91" s="3" t="str">
        <f>FIXED(VLOOKUP($A91,'Full Sample-Townhouse'!$A:$R,P$1,0),2)</f>
        <v>0.09</v>
      </c>
      <c r="Q91" s="3" t="str">
        <f>FIXED(VLOOKUP($A91,'Full Sample-Townhouse'!$A:$R,Q$1,0),2)</f>
        <v>0.00</v>
      </c>
      <c r="R91" s="3" t="str">
        <f>FIXED(VLOOKUP($A91,'Full Sample-Townhouse'!$A:$R,R$1,0),2)</f>
        <v>1.00</v>
      </c>
      <c r="S91" s="9" t="str">
        <f>FIXED(VLOOKUP($A91,'Full Sample-Townhouse'!$A:$R,S$1,0),2)</f>
        <v>0.01</v>
      </c>
      <c r="T91" s="3" t="str">
        <f>FIXED(VLOOKUP($A91,'Full Sample-Townhouse'!$A:$R,T$1,0),2)</f>
        <v>0.08</v>
      </c>
      <c r="U91" s="3" t="str">
        <f>FIXED(VLOOKUP($A91,'Full Sample-Townhouse'!$A:$R,U$1,0),2)</f>
        <v>0.00</v>
      </c>
      <c r="V91" s="13" t="str">
        <f>FIXED(VLOOKUP($A91,'Full Sample-Townhouse'!$A:$R,V$1,0),2)</f>
        <v>1.00</v>
      </c>
      <c r="W91" s="9" t="str">
        <f>FIXED(VLOOKUP($A91,'Full Sample-Townhouse'!$A:$R,W$1,0),2)</f>
        <v>0.01</v>
      </c>
      <c r="X91" s="3" t="str">
        <f>FIXED(VLOOKUP($A91,'Full Sample-Townhouse'!$A:$R,X$1,0),2)</f>
        <v>0.09</v>
      </c>
      <c r="Y91" s="3" t="str">
        <f>FIXED(VLOOKUP($A91,'Full Sample-Townhouse'!$A:$R,Y$1,0),2)</f>
        <v>0.00</v>
      </c>
      <c r="Z91" s="3" t="str">
        <f>FIXED(VLOOKUP($A91,'Full Sample-Townhouse'!$A:$R,Z$1,0),2)</f>
        <v>1.00</v>
      </c>
      <c r="AA91" s="9" t="str">
        <f>FIXED(VLOOKUP($A91,'Full Sample-Single Family'!$A:$R,AA$1,0),2)</f>
        <v>0.01</v>
      </c>
      <c r="AB91" s="3" t="str">
        <f>FIXED(VLOOKUP($A91,'Full Sample-Single Family'!$A:$R,AB$1,0),2)</f>
        <v>0.09</v>
      </c>
      <c r="AC91" s="3" t="str">
        <f>FIXED(VLOOKUP($A91,'Full Sample-Single Family'!$A:$R,AC$1,0),2)</f>
        <v>0.00</v>
      </c>
      <c r="AD91" s="3" t="str">
        <f>FIXED(VLOOKUP($A91,'Full Sample-Single Family'!$A:$R,AD$1,0),2)</f>
        <v>1.00</v>
      </c>
      <c r="AE91" s="9" t="str">
        <f>FIXED(VLOOKUP($A91,'Full Sample-Single Family'!$A:$R,AE$1,0),2)</f>
        <v>0.01</v>
      </c>
      <c r="AF91" s="3" t="str">
        <f>FIXED(VLOOKUP($A91,'Full Sample-Single Family'!$A:$R,AF$1,0),2)</f>
        <v>0.08</v>
      </c>
      <c r="AG91" s="3" t="str">
        <f>FIXED(VLOOKUP($A91,'Full Sample-Single Family'!$A:$R,AG$1,0),2)</f>
        <v>0.00</v>
      </c>
      <c r="AH91" s="13" t="str">
        <f>FIXED(VLOOKUP($A91,'Full Sample-Single Family'!$A:$R,AH$1,0),2)</f>
        <v>1.00</v>
      </c>
      <c r="AI91" s="9" t="str">
        <f>FIXED(VLOOKUP($A91,'Full Sample-Single Family'!$A:$R,AI$1,0),2)</f>
        <v>0.01</v>
      </c>
      <c r="AJ91" s="3" t="str">
        <f>FIXED(VLOOKUP($A91,'Full Sample-Single Family'!$A:$R,AJ$1,0),2)</f>
        <v>0.10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40" x14ac:dyDescent="0.25">
      <c r="A92" t="s">
        <v>85</v>
      </c>
      <c r="B92" s="4" t="s">
        <v>161</v>
      </c>
      <c r="C92" s="9" t="str">
        <f>FIXED(VLOOKUP($A92,'Full Sample-No Sub'!$A:$R,C$1,0),2)</f>
        <v>0.40</v>
      </c>
      <c r="D92" s="3" t="str">
        <f>FIXED(VLOOKUP($A92,'Full Sample-No Sub'!$A:$R,D$1,0),2)</f>
        <v>0.49</v>
      </c>
      <c r="E92" s="3" t="str">
        <f>FIXED(VLOOKUP($A92,'Full Sample-No Sub'!$A:$R,E$1,0),2)</f>
        <v>0.00</v>
      </c>
      <c r="F92" s="3" t="str">
        <f>FIXED(VLOOKUP($A92,'Full Sample-No Sub'!$A:$R,F$1,0),2)</f>
        <v>1.00</v>
      </c>
      <c r="G92" s="9" t="str">
        <f>FIXED(VLOOKUP($A92,'Full Sample-No Sub'!$A:$R,G$1,0),2)</f>
        <v>0.39</v>
      </c>
      <c r="H92" s="3" t="str">
        <f>FIXED(VLOOKUP($A92,'Full Sample-No Sub'!$A:$R,H$1,0),2)</f>
        <v>0.49</v>
      </c>
      <c r="I92" s="3" t="str">
        <f>FIXED(VLOOKUP($A92,'Full Sample-No Sub'!$A:$R,I$1,0),2)</f>
        <v>0.00</v>
      </c>
      <c r="J92" s="13" t="str">
        <f>FIXED(VLOOKUP($A92,'Full Sample-No Sub'!$A:$R,J$1,0),2)</f>
        <v>1.00</v>
      </c>
      <c r="K92" s="9" t="str">
        <f>FIXED(VLOOKUP($A92,'Full Sample-No Sub'!$A:$R,K$1,0),2)</f>
        <v>0.41</v>
      </c>
      <c r="L92" s="3" t="str">
        <f>FIXED(VLOOKUP($A92,'Full Sample-No Sub'!$A:$R,L$1,0),2)</f>
        <v>0.49</v>
      </c>
      <c r="M92" s="3" t="str">
        <f>FIXED(VLOOKUP($A92,'Full Sample-No Sub'!$A:$R,M$1,0),2)</f>
        <v>0.00</v>
      </c>
      <c r="N92" s="13" t="str">
        <f>FIXED(VLOOKUP($A92,'Full Sample-No Sub'!$A:$R,N$1,0),2)</f>
        <v>1.00</v>
      </c>
      <c r="O92" s="9" t="str">
        <f>FIXED(VLOOKUP($A92,'Full Sample-Townhouse'!$A:$R,O$1,0),2)</f>
        <v>0.40</v>
      </c>
      <c r="P92" s="3" t="str">
        <f>FIXED(VLOOKUP($A92,'Full Sample-Townhouse'!$A:$R,P$1,0),2)</f>
        <v>0.49</v>
      </c>
      <c r="Q92" s="3" t="str">
        <f>FIXED(VLOOKUP($A92,'Full Sample-Townhouse'!$A:$R,Q$1,0),2)</f>
        <v>0.00</v>
      </c>
      <c r="R92" s="3" t="str">
        <f>FIXED(VLOOKUP($A92,'Full Sample-Townhouse'!$A:$R,R$1,0),2)</f>
        <v>1.00</v>
      </c>
      <c r="S92" s="9" t="str">
        <f>FIXED(VLOOKUP($A92,'Full Sample-Townhouse'!$A:$R,S$1,0),2)</f>
        <v>0.39</v>
      </c>
      <c r="T92" s="3" t="str">
        <f>FIXED(VLOOKUP($A92,'Full Sample-Townhouse'!$A:$R,T$1,0),2)</f>
        <v>0.49</v>
      </c>
      <c r="U92" s="3" t="str">
        <f>FIXED(VLOOKUP($A92,'Full Sample-Townhouse'!$A:$R,U$1,0),2)</f>
        <v>0.00</v>
      </c>
      <c r="V92" s="13" t="str">
        <f>FIXED(VLOOKUP($A92,'Full Sample-Townhouse'!$A:$R,V$1,0),2)</f>
        <v>1.00</v>
      </c>
      <c r="W92" s="9" t="str">
        <f>FIXED(VLOOKUP($A92,'Full Sample-Townhouse'!$A:$R,W$1,0),2)</f>
        <v>0.40</v>
      </c>
      <c r="X92" s="3" t="str">
        <f>FIXED(VLOOKUP($A92,'Full Sample-Townhouse'!$A:$R,X$1,0),2)</f>
        <v>0.49</v>
      </c>
      <c r="Y92" s="3" t="str">
        <f>FIXED(VLOOKUP($A92,'Full Sample-Townhouse'!$A:$R,Y$1,0),2)</f>
        <v>0.00</v>
      </c>
      <c r="Z92" s="3" t="str">
        <f>FIXED(VLOOKUP($A92,'Full Sample-Townhouse'!$A:$R,Z$1,0),2)</f>
        <v>1.00</v>
      </c>
      <c r="AA92" s="9" t="str">
        <f>FIXED(VLOOKUP($A92,'Full Sample-Single Family'!$A:$R,AA$1,0),2)</f>
        <v>0.40</v>
      </c>
      <c r="AB92" s="3" t="str">
        <f>FIXED(VLOOKUP($A92,'Full Sample-Single Family'!$A:$R,AB$1,0),2)</f>
        <v>0.49</v>
      </c>
      <c r="AC92" s="3" t="str">
        <f>FIXED(VLOOKUP($A92,'Full Sample-Single Family'!$A:$R,AC$1,0),2)</f>
        <v>0.00</v>
      </c>
      <c r="AD92" s="3" t="str">
        <f>FIXED(VLOOKUP($A92,'Full Sample-Single Family'!$A:$R,AD$1,0),2)</f>
        <v>1.00</v>
      </c>
      <c r="AE92" s="9" t="str">
        <f>FIXED(VLOOKUP($A92,'Full Sample-Single Family'!$A:$R,AE$1,0),2)</f>
        <v>0.39</v>
      </c>
      <c r="AF92" s="3" t="str">
        <f>FIXED(VLOOKUP($A92,'Full Sample-Single Family'!$A:$R,AF$1,0),2)</f>
        <v>0.49</v>
      </c>
      <c r="AG92" s="3" t="str">
        <f>FIXED(VLOOKUP($A92,'Full Sample-Single Family'!$A:$R,AG$1,0),2)</f>
        <v>0.00</v>
      </c>
      <c r="AH92" s="13" t="str">
        <f>FIXED(VLOOKUP($A92,'Full Sample-Single Family'!$A:$R,AH$1,0),2)</f>
        <v>1.00</v>
      </c>
      <c r="AI92" s="9" t="str">
        <f>FIXED(VLOOKUP($A92,'Full Sample-Single Family'!$A:$R,AI$1,0),2)</f>
        <v>0.42</v>
      </c>
      <c r="AJ92" s="3" t="str">
        <f>FIXED(VLOOKUP($A92,'Full Sample-Single Family'!$A:$R,AJ$1,0),2)</f>
        <v>0.49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69:F69"/>
    <mergeCell ref="G69:J69"/>
    <mergeCell ref="K69:N69"/>
    <mergeCell ref="O69:R69"/>
    <mergeCell ref="S69:V69"/>
    <mergeCell ref="AA69:AD69"/>
    <mergeCell ref="AE69:AH69"/>
    <mergeCell ref="AI69:AL69"/>
    <mergeCell ref="W5:Z5"/>
    <mergeCell ref="AA5:AD5"/>
    <mergeCell ref="AE5:AH5"/>
    <mergeCell ref="AI5:AL5"/>
    <mergeCell ref="W69:Z69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F5C-7827-4427-BB17-8153613F5832}">
  <sheetPr codeName="Sheet25">
    <pageSetUpPr fitToPage="1"/>
  </sheetPr>
  <dimension ref="A1:AN92"/>
  <sheetViews>
    <sheetView topLeftCell="B1" workbookViewId="0">
      <selection activeCell="AA1" sqref="AA1:AJ104857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11.7109375" style="3" bestFit="1" customWidth="1"/>
    <col min="4" max="4" width="10.140625" style="3" bestFit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6" width="11.7109375" bestFit="1" customWidth="1"/>
    <col min="17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28" t="s">
        <v>188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</row>
    <row r="3" spans="1:40" ht="23.25" x14ac:dyDescent="0.35">
      <c r="A3" s="28" t="s">
        <v>189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301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300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ht="30.75" customHeight="1" x14ac:dyDescent="0.25">
      <c r="A5" s="5"/>
      <c r="B5" s="5"/>
      <c r="C5" s="41" t="s">
        <v>92</v>
      </c>
      <c r="D5" s="42"/>
      <c r="E5" s="42"/>
      <c r="F5" s="42"/>
      <c r="G5" s="43" t="s">
        <v>94</v>
      </c>
      <c r="H5" s="44"/>
      <c r="I5" s="44"/>
      <c r="J5" s="45"/>
      <c r="K5" s="41" t="s">
        <v>93</v>
      </c>
      <c r="L5" s="42"/>
      <c r="M5" s="42"/>
      <c r="N5" s="46"/>
      <c r="O5" s="41" t="s">
        <v>92</v>
      </c>
      <c r="P5" s="42"/>
      <c r="Q5" s="42"/>
      <c r="R5" s="42"/>
      <c r="S5" s="43" t="s">
        <v>94</v>
      </c>
      <c r="T5" s="44"/>
      <c r="U5" s="44"/>
      <c r="V5" s="45"/>
      <c r="W5" s="41" t="s">
        <v>93</v>
      </c>
      <c r="X5" s="42"/>
      <c r="Y5" s="42"/>
      <c r="Z5" s="42"/>
      <c r="AA5" s="41" t="s">
        <v>92</v>
      </c>
      <c r="AB5" s="42"/>
      <c r="AC5" s="42"/>
      <c r="AD5" s="42"/>
      <c r="AE5" s="43" t="s">
        <v>94</v>
      </c>
      <c r="AF5" s="44"/>
      <c r="AG5" s="44"/>
      <c r="AH5" s="45"/>
      <c r="AI5" s="41" t="s">
        <v>93</v>
      </c>
      <c r="AJ5" s="42"/>
      <c r="AK5" s="42"/>
      <c r="AL5" s="42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Sample-Townhouse'!$A:$R,C$1,0),2)</f>
        <v>665,537.00</v>
      </c>
      <c r="D7" s="3" t="str">
        <f>FIXED(VLOOKUP($A7,'Full Sample-Townhouse'!$A:$R,D$1,0),2)</f>
        <v>598,576.90</v>
      </c>
      <c r="E7" s="3" t="str">
        <f>FIXED(VLOOKUP($A7,'Full Sample-Townhouse'!$A:$R,E$1,0),2)</f>
        <v>85,418.51</v>
      </c>
      <c r="F7" s="3" t="str">
        <f>FIXED(VLOOKUP($A7,'Full Sample-Townhouse'!$A:$R,F$1,0),2)</f>
        <v>28,197,546.00</v>
      </c>
      <c r="G7" s="9" t="str">
        <f>FIXED(VLOOKUP($A7,'Full Sample-Townhouse'!$A:$R,G$1,0),2)</f>
        <v>665,932.40</v>
      </c>
      <c r="H7" s="3" t="str">
        <f>FIXED(VLOOKUP($A7,'Full Sample-Townhouse'!$A:$R,H$1,0),2)</f>
        <v>611,997.90</v>
      </c>
      <c r="I7" s="3" t="str">
        <f>FIXED(VLOOKUP($A7,'Full Sample-Townhouse'!$A:$R,I$1,0),2)</f>
        <v>99,684.44</v>
      </c>
      <c r="J7" s="13" t="str">
        <f>FIXED(VLOOKUP($A7,'Full Sample-Townhouse'!$A:$R,J$1,0),2)</f>
        <v>28,197,546.00</v>
      </c>
      <c r="K7" s="9" t="str">
        <f>FIXED(VLOOKUP($A7,'Full Sample-Townhouse'!$A:$R,K$1,0),2)</f>
        <v>665,001.10</v>
      </c>
      <c r="L7" s="3" t="str">
        <f>FIXED(VLOOKUP($A7,'Full Sample-Townhouse'!$A:$R,L$1,0),2)</f>
        <v>579,918.50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1-Townhouse'!$A:$R,O$1,0),2)</f>
        <v>674,393.10</v>
      </c>
      <c r="P7" s="3" t="str">
        <f>FIXED(VLOOKUP($A7,'Small Sample 1-Townhouse'!$A:$R,P$1,0),2)</f>
        <v>623,390.20</v>
      </c>
      <c r="Q7" s="3" t="str">
        <f>FIXED(VLOOKUP($A7,'Small Sample 1-Townhouse'!$A:$R,Q$1,0),2)</f>
        <v>85,418.51</v>
      </c>
      <c r="R7" s="3" t="str">
        <f>FIXED(VLOOKUP($A7,'Small Sample 1-Townhouse'!$A:$R,R$1,0),2)</f>
        <v>28,197,546.00</v>
      </c>
      <c r="S7" s="9" t="str">
        <f>FIXED(VLOOKUP($A7,'Small Sample 1-Townhouse'!$A:$R,S$1,0),2)</f>
        <v>667,860.70</v>
      </c>
      <c r="T7" s="3" t="str">
        <f>FIXED(VLOOKUP($A7,'Small Sample 1-Townhouse'!$A:$R,T$1,0),2)</f>
        <v>632,852.10</v>
      </c>
      <c r="U7" s="3" t="str">
        <f>FIXED(VLOOKUP($A7,'Small Sample 1-Townhouse'!$A:$R,U$1,0),2)</f>
        <v>118,448.60</v>
      </c>
      <c r="V7" s="13" t="str">
        <f>FIXED(VLOOKUP($A7,'Small Sample 1-Townhouse'!$A:$R,V$1,0),2)</f>
        <v>28,197,546.00</v>
      </c>
      <c r="W7" s="9" t="str">
        <f>FIXED(VLOOKUP($A7,'Small Sample 1-Townhouse'!$A:$R,W$1,0),2)</f>
        <v>667,918.20</v>
      </c>
      <c r="X7" s="3" t="str">
        <f>FIXED(VLOOKUP($A7,'Small Sample 1-Townhouse'!$A:$R,X$1,0),2)</f>
        <v>587,524.80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2-Townhouse'!$A:$R,AA$1,0),2)</f>
        <v>669,221.10</v>
      </c>
      <c r="AB7" s="3" t="str">
        <f>FIXED(VLOOKUP($A7,'Small Sample 2-Townhouse'!$A:$R,AB$1,0),2)</f>
        <v>623,487.70</v>
      </c>
      <c r="AC7" s="3" t="str">
        <f>FIXED(VLOOKUP($A7,'Small Sample 2-Townhouse'!$A:$R,AC$1,0),2)</f>
        <v>85,418.51</v>
      </c>
      <c r="AD7" s="3" t="str">
        <f>FIXED(VLOOKUP($A7,'Small Sample 2-Townhouse'!$A:$R,AD$1,0),2)</f>
        <v>28,197,546.00</v>
      </c>
      <c r="AE7" s="9" t="str">
        <f>FIXED(VLOOKUP($A7,'Small Sample 2-Townhouse'!$A:$R,AE$1,0),2)</f>
        <v>657,174.90</v>
      </c>
      <c r="AF7" s="3" t="str">
        <f>FIXED(VLOOKUP($A7,'Small Sample 2-Townhouse'!$A:$R,AF$1,0),2)</f>
        <v>604,880.80</v>
      </c>
      <c r="AG7" s="3" t="str">
        <f>FIXED(VLOOKUP($A7,'Small Sample 2-Townhouse'!$A:$R,AG$1,0),2)</f>
        <v>118,448.60</v>
      </c>
      <c r="AH7" s="13" t="str">
        <f>FIXED(VLOOKUP($A7,'Small Sample 2-Townhouse'!$A:$R,AH$1,0),2)</f>
        <v>28,197,546.00</v>
      </c>
      <c r="AI7" s="9" t="str">
        <f>FIXED(VLOOKUP($A7,'Small Sample 2-Townhouse'!$A:$R,AI$1,0),2)</f>
        <v>669,358.90</v>
      </c>
      <c r="AJ7" s="3" t="str">
        <f>FIXED(VLOOKUP($A7,'Small Sample 2-Townhouse'!$A:$R,AJ$1,0),2)</f>
        <v>617,654.80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302</v>
      </c>
    </row>
    <row r="8" spans="1:40" x14ac:dyDescent="0.25">
      <c r="A8" t="s">
        <v>20</v>
      </c>
      <c r="B8" t="s">
        <v>104</v>
      </c>
      <c r="C8" s="9" t="str">
        <f>FIXED(VLOOKUP($A8,'Full Sample-Townhouse'!$A:$R,C$1,0),2)</f>
        <v>656,731.00</v>
      </c>
      <c r="D8" s="3" t="str">
        <f>FIXED(VLOOKUP($A8,'Full Sample-Townhouse'!$A:$R,D$1,0),2)</f>
        <v>571,733.80</v>
      </c>
      <c r="E8" s="3" t="str">
        <f>FIXED(VLOOKUP($A8,'Full Sample-Townhouse'!$A:$R,E$1,0),2)</f>
        <v>85,418.51</v>
      </c>
      <c r="F8" s="3" t="str">
        <f>FIXED(VLOOKUP($A8,'Full Sample-Townhouse'!$A:$R,F$1,0),2)</f>
        <v>28,197,546.00</v>
      </c>
      <c r="G8" s="9" t="str">
        <f>FIXED(VLOOKUP($A8,'Full Sample-Townhouse'!$A:$R,G$1,0),2)</f>
        <v>654,251.10</v>
      </c>
      <c r="H8" s="3" t="str">
        <f>FIXED(VLOOKUP($A8,'Full Sample-Townhouse'!$A:$R,H$1,0),2)</f>
        <v>590,406.80</v>
      </c>
      <c r="I8" s="3" t="str">
        <f>FIXED(VLOOKUP($A8,'Full Sample-Townhouse'!$A:$R,I$1,0),2)</f>
        <v>118,448.60</v>
      </c>
      <c r="J8" s="13" t="str">
        <f>FIXED(VLOOKUP($A8,'Full Sample-Townhouse'!$A:$R,J$1,0),2)</f>
        <v>28,197,546.00</v>
      </c>
      <c r="K8" s="9" t="str">
        <f>FIXED(VLOOKUP($A8,'Full Sample-Townhouse'!$A:$R,K$1,0),2)</f>
        <v>660,091.90</v>
      </c>
      <c r="L8" s="3" t="str">
        <f>FIXED(VLOOKUP($A8,'Full Sample-Townhouse'!$A:$R,L$1,0),2)</f>
        <v>545,415.30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1-Townhouse'!$A:$R,O$1,0),2)</f>
        <v>665,556.90</v>
      </c>
      <c r="P8" s="3" t="str">
        <f>FIXED(VLOOKUP($A8,'Small Sample 1-Townhouse'!$A:$R,P$1,0),2)</f>
        <v>595,364.40</v>
      </c>
      <c r="Q8" s="3" t="str">
        <f>FIXED(VLOOKUP($A8,'Small Sample 1-Townhouse'!$A:$R,Q$1,0),2)</f>
        <v>85,418.51</v>
      </c>
      <c r="R8" s="3" t="str">
        <f>FIXED(VLOOKUP($A8,'Small Sample 1-Townhouse'!$A:$R,R$1,0),2)</f>
        <v>28,197,546.00</v>
      </c>
      <c r="S8" s="9" t="str">
        <f>FIXED(VLOOKUP($A8,'Small Sample 1-Townhouse'!$A:$R,S$1,0),2)</f>
        <v>10,340.99</v>
      </c>
      <c r="T8" s="3" t="str">
        <f>FIXED(VLOOKUP($A8,'Small Sample 1-Townhouse'!$A:$R,T$1,0),2)</f>
        <v>33,493.23</v>
      </c>
      <c r="U8" s="3" t="str">
        <f>FIXED(VLOOKUP($A8,'Small Sample 1-Townhouse'!$A:$R,U$1,0),2)</f>
        <v>-152,000.00</v>
      </c>
      <c r="V8" s="13" t="str">
        <f>FIXED(VLOOKUP($A8,'Small Sample 1-Townhouse'!$A:$R,V$1,0),2)</f>
        <v>750,000.00</v>
      </c>
      <c r="W8" s="9" t="str">
        <f>FIXED(VLOOKUP($A8,'Small Sample 1-Townhouse'!$A:$R,W$1,0),2)</f>
        <v>663,085.60</v>
      </c>
      <c r="X8" s="3" t="str">
        <f>FIXED(VLOOKUP($A8,'Small Sample 1-Townhouse'!$A:$R,X$1,0),2)</f>
        <v>552,348.70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2-Townhouse'!$A:$R,AA$1,0),2)</f>
        <v>659,039.20</v>
      </c>
      <c r="AB8" s="3" t="str">
        <f>FIXED(VLOOKUP($A8,'Small Sample 2-Townhouse'!$A:$R,AB$1,0),2)</f>
        <v>595,675.40</v>
      </c>
      <c r="AC8" s="3" t="str">
        <f>FIXED(VLOOKUP($A8,'Small Sample 2-Townhouse'!$A:$R,AC$1,0),2)</f>
        <v>85,418.51</v>
      </c>
      <c r="AD8" s="3" t="str">
        <f>FIXED(VLOOKUP($A8,'Small Sample 2-Townhouse'!$A:$R,AD$1,0),2)</f>
        <v>28,197,546.00</v>
      </c>
      <c r="AE8" s="9" t="str">
        <f>FIXED(VLOOKUP($A8,'Small Sample 2-Townhouse'!$A:$R,AE$1,0),2)</f>
        <v>9,820.38</v>
      </c>
      <c r="AF8" s="3" t="str">
        <f>FIXED(VLOOKUP($A8,'Small Sample 2-Townhouse'!$A:$R,AF$1,0),2)</f>
        <v>32,766.63</v>
      </c>
      <c r="AG8" s="3" t="str">
        <f>FIXED(VLOOKUP($A8,'Small Sample 2-Townhouse'!$A:$R,AG$1,0),2)</f>
        <v>-152,000.00</v>
      </c>
      <c r="AH8" s="13" t="str">
        <f>FIXED(VLOOKUP($A8,'Small Sample 2-Townhouse'!$A:$R,AH$1,0),2)</f>
        <v>750,000.00</v>
      </c>
      <c r="AI8" s="9" t="str">
        <f>FIXED(VLOOKUP($A8,'Small Sample 2-Townhouse'!$A:$R,AI$1,0),2)</f>
        <v>662,200.60</v>
      </c>
      <c r="AJ8" s="3" t="str">
        <f>FIXED(VLOOKUP($A8,'Small Sample 2-Townhouse'!$A:$R,AJ$1,0),2)</f>
        <v>579,751.80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Sample-Townhouse'!$A:$R,C$1,0),2)</f>
        <v>7,325.00</v>
      </c>
      <c r="D9" s="3" t="str">
        <f>FIXED(VLOOKUP($A9,'Full Sample-Townhouse'!$A:$R,D$1,0),2)</f>
        <v>47,457.29</v>
      </c>
      <c r="E9" s="3" t="str">
        <f>FIXED(VLOOKUP($A9,'Full Sample-Townhouse'!$A:$R,E$1,0),2)</f>
        <v>-300,000.00</v>
      </c>
      <c r="F9" s="3" t="str">
        <f>FIXED(VLOOKUP($A9,'Full Sample-Townhouse'!$A:$R,F$1,0),2)</f>
        <v>4,750,000.00</v>
      </c>
      <c r="G9" s="9" t="str">
        <f>FIXED(VLOOKUP($A9,'Full Sample-Townhouse'!$A:$R,G$1,0),2)</f>
        <v>9,597.21</v>
      </c>
      <c r="H9" s="3" t="str">
        <f>FIXED(VLOOKUP($A9,'Full Sample-Townhouse'!$A:$R,H$1,0),2)</f>
        <v>32,027.74</v>
      </c>
      <c r="I9" s="3" t="str">
        <f>FIXED(VLOOKUP($A9,'Full Sample-Townhouse'!$A:$R,I$1,0),2)</f>
        <v>-152,000.00</v>
      </c>
      <c r="J9" s="13" t="str">
        <f>FIXED(VLOOKUP($A9,'Full Sample-Townhouse'!$A:$R,J$1,0),2)</f>
        <v>750,000.00</v>
      </c>
      <c r="K9" s="9" t="str">
        <f>FIXED(VLOOKUP($A9,'Full Sample-Townhouse'!$A:$R,K$1,0),2)</f>
        <v>4,245.62</v>
      </c>
      <c r="L9" s="3" t="str">
        <f>FIXED(VLOOKUP($A9,'Full Sample-Townhouse'!$A:$R,L$1,0),2)</f>
        <v>62,434.13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1-Townhouse'!$A:$R,O$1,0),2)</f>
        <v>7,370.19</v>
      </c>
      <c r="P9" s="3" t="str">
        <f>FIXED(VLOOKUP($A9,'Small Sample 1-Townhouse'!$A:$R,P$1,0),2)</f>
        <v>50,199.87</v>
      </c>
      <c r="Q9" s="3" t="str">
        <f>FIXED(VLOOKUP($A9,'Small Sample 1-Townhouse'!$A:$R,Q$1,0),2)</f>
        <v>-300,000.00</v>
      </c>
      <c r="R9" s="3" t="str">
        <f>FIXED(VLOOKUP($A9,'Small Sample 1-Townhouse'!$A:$R,R$1,0),2)</f>
        <v>4,750,000.00</v>
      </c>
      <c r="S9" s="9" t="str">
        <f>FIXED(VLOOKUP($A9,'Small Sample 1-Townhouse'!$A:$R,S$1,0),2)</f>
        <v>0.00</v>
      </c>
      <c r="T9" s="3" t="str">
        <f>FIXED(VLOOKUP($A9,'Small Sample 1-Townhouse'!$A:$R,T$1,0),2)</f>
        <v>0.03</v>
      </c>
      <c r="U9" s="3" t="str">
        <f>FIXED(VLOOKUP($A9,'Small Sample 1-Townhouse'!$A:$R,U$1,0),2)</f>
        <v>0.00</v>
      </c>
      <c r="V9" s="13" t="str">
        <f>FIXED(VLOOKUP($A9,'Small Sample 1-Townhouse'!$A:$R,V$1,0),2)</f>
        <v>1.00</v>
      </c>
      <c r="W9" s="9" t="str">
        <f>FIXED(VLOOKUP($A9,'Small Sample 1-Townhouse'!$A:$R,W$1,0),2)</f>
        <v>4,183.50</v>
      </c>
      <c r="X9" s="3" t="str">
        <f>FIXED(VLOOKUP($A9,'Small Sample 1-Townhouse'!$A:$R,X$1,0),2)</f>
        <v>63,249.33</v>
      </c>
      <c r="Y9" s="3"/>
      <c r="Z9" s="3"/>
      <c r="AA9" s="9" t="str">
        <f>FIXED(VLOOKUP($A9,'Small Sample 2-Townhouse'!$A:$R,AA$1,0),2)</f>
        <v>8,501.46</v>
      </c>
      <c r="AB9" s="3" t="str">
        <f>FIXED(VLOOKUP($A9,'Small Sample 2-Townhouse'!$A:$R,AB$1,0),2)</f>
        <v>48,055.53</v>
      </c>
      <c r="AC9" s="3" t="str">
        <f>FIXED(VLOOKUP($A9,'Small Sample 2-Townhouse'!$A:$R,AC$1,0),2)</f>
        <v>-300,000.00</v>
      </c>
      <c r="AD9" s="3" t="str">
        <f>FIXED(VLOOKUP($A9,'Small Sample 2-Townhouse'!$A:$R,AD$1,0),2)</f>
        <v>4,750,000.00</v>
      </c>
      <c r="AE9" s="9" t="str">
        <f>FIXED(VLOOKUP($A9,'Small Sample 2-Townhouse'!$A:$R,AE$1,0),2)</f>
        <v>0.00</v>
      </c>
      <c r="AF9" s="3" t="str">
        <f>FIXED(VLOOKUP($A9,'Small Sample 2-Townhouse'!$A:$R,AF$1,0),2)</f>
        <v>0.03</v>
      </c>
      <c r="AG9" s="3" t="str">
        <f>FIXED(VLOOKUP($A9,'Small Sample 2-Townhouse'!$A:$R,AG$1,0),2)</f>
        <v>0.00</v>
      </c>
      <c r="AH9" s="13" t="str">
        <f>FIXED(VLOOKUP($A9,'Small Sample 2-Townhouse'!$A:$R,AH$1,0),2)</f>
        <v>1.00</v>
      </c>
      <c r="AI9" s="9" t="str">
        <f>FIXED(VLOOKUP($A9,'Small Sample 2-Townhouse'!$A:$R,AI$1,0),2)</f>
        <v>6,264.85</v>
      </c>
      <c r="AJ9" s="3" t="str">
        <f>FIXED(VLOOKUP($A9,'Small Sample 2-Townhouse'!$A:$R,AJ$1,0),2)</f>
        <v>66,311.38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Sample-Townhouse'!$A:$R,C$1,0),2)</f>
        <v>1.33</v>
      </c>
      <c r="D10" s="3" t="str">
        <f>FIXED(VLOOKUP($A10,'Full Sample-Townhouse'!$A:$R,D$1,0),2)</f>
        <v>0.56</v>
      </c>
      <c r="E10" s="3" t="str">
        <f>FIXED(VLOOKUP($A10,'Full Sample-Townhouse'!$A:$R,E$1,0),2)</f>
        <v>1.00</v>
      </c>
      <c r="F10" s="3" t="str">
        <f>FIXED(VLOOKUP($A10,'Full Sample-Townhouse'!$A:$R,F$1,0),2)</f>
        <v>5.00</v>
      </c>
      <c r="G10" s="9" t="str">
        <f>FIXED(VLOOKUP($A10,'Full Sample-Townhouse'!$A:$R,G$1,0),2)</f>
        <v>1.33</v>
      </c>
      <c r="H10" s="3" t="str">
        <f>FIXED(VLOOKUP($A10,'Full Sample-Townhouse'!$A:$R,H$1,0),2)</f>
        <v>0.56</v>
      </c>
      <c r="I10" s="3" t="str">
        <f>FIXED(VLOOKUP($A10,'Full Sample-Townhouse'!$A:$R,I$1,0),2)</f>
        <v>1.00</v>
      </c>
      <c r="J10" s="13" t="str">
        <f>FIXED(VLOOKUP($A10,'Full Sample-Townhouse'!$A:$R,J$1,0),2)</f>
        <v>5.00</v>
      </c>
      <c r="K10" s="9" t="str">
        <f>FIXED(VLOOKUP($A10,'Full Sample-Townhouse'!$A:$R,K$1,0),2)</f>
        <v>1.33</v>
      </c>
      <c r="L10" s="3" t="str">
        <f>FIXED(VLOOKUP($A10,'Full Sample-Townhouse'!$A:$R,L$1,0),2)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1-Townhouse'!$A:$R,O$1,0),2)</f>
        <v>1.18</v>
      </c>
      <c r="P10" s="3" t="str">
        <f>FIXED(VLOOKUP($A10,'Small Sample 1-Townhouse'!$A:$R,P$1,0),2)</f>
        <v>0.43</v>
      </c>
      <c r="Q10" s="3" t="str">
        <f>FIXED(VLOOKUP($A10,'Small Sample 1-Townhouse'!$A:$R,Q$1,0),2)</f>
        <v>1.00</v>
      </c>
      <c r="R10" s="3" t="str">
        <f>FIXED(VLOOKUP($A10,'Small Sample 1-Townhouse'!$A:$R,R$1,0),2)</f>
        <v>5.00</v>
      </c>
      <c r="S10" s="9" t="str">
        <f>FIXED(VLOOKUP($A10,'Small Sample 1-Townhouse'!$A:$R,S$1,0),2)</f>
        <v>1.07</v>
      </c>
      <c r="T10" s="3" t="str">
        <f>FIXED(VLOOKUP($A10,'Small Sample 1-Townhouse'!$A:$R,T$1,0),2)</f>
        <v>0.27</v>
      </c>
      <c r="U10" s="3" t="str">
        <f>FIXED(VLOOKUP($A10,'Small Sample 1-Townhouse'!$A:$R,U$1,0),2)</f>
        <v>1.00</v>
      </c>
      <c r="V10" s="13" t="str">
        <f>FIXED(VLOOKUP($A10,'Small Sample 1-Townhouse'!$A:$R,V$1,0),2)</f>
        <v>4.00</v>
      </c>
      <c r="W10" s="9" t="str">
        <f>FIXED(VLOOKUP($A10,'Small Sample 1-Townhouse'!$A:$R,W$1,0),2)</f>
        <v>1.29</v>
      </c>
      <c r="X10" s="3" t="str">
        <f>FIXED(VLOOKUP($A10,'Small Sample 1-Townhouse'!$A:$R,X$1,0),2)</f>
        <v>0.53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2-Townhouse'!$A:$R,AA$1,0),2)</f>
        <v>1.18</v>
      </c>
      <c r="AB10" s="3" t="str">
        <f>FIXED(VLOOKUP($A10,'Small Sample 2-Townhouse'!$A:$R,AB$1,0),2)</f>
        <v>0.43</v>
      </c>
      <c r="AC10" s="3" t="str">
        <f>FIXED(VLOOKUP($A10,'Small Sample 2-Townhouse'!$A:$R,AC$1,0),2)</f>
        <v>1.00</v>
      </c>
      <c r="AD10" s="3" t="str">
        <f>FIXED(VLOOKUP($A10,'Small Sample 2-Townhouse'!$A:$R,AD$1,0),2)</f>
        <v>5.00</v>
      </c>
      <c r="AE10" s="9" t="str">
        <f>FIXED(VLOOKUP($A10,'Small Sample 2-Townhouse'!$A:$R,AE$1,0),2)</f>
        <v>1.26</v>
      </c>
      <c r="AF10" s="3" t="str">
        <f>FIXED(VLOOKUP($A10,'Small Sample 2-Townhouse'!$A:$R,AF$1,0),2)</f>
        <v>0.50</v>
      </c>
      <c r="AG10" s="3" t="str">
        <f>FIXED(VLOOKUP($A10,'Small Sample 2-Townhouse'!$A:$R,AG$1,0),2)</f>
        <v>1.00</v>
      </c>
      <c r="AH10" s="13" t="str">
        <f>FIXED(VLOOKUP($A10,'Small Sample 2-Townhouse'!$A:$R,AH$1,0),2)</f>
        <v>5.00</v>
      </c>
      <c r="AI10" s="9" t="str">
        <f>FIXED(VLOOKUP($A10,'Small Sample 2-Townhouse'!$A:$R,AI$1,0),2)</f>
        <v>1.04</v>
      </c>
      <c r="AJ10" s="3" t="str">
        <f>FIXED(VLOOKUP($A10,'Small Sample 2-Townhouse'!$A:$R,AJ$1,0),2)</f>
        <v>0.20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Sample-Townhouse'!$A:$R,C$1,0),2)</f>
        <v>0.43</v>
      </c>
      <c r="D11" s="3" t="str">
        <f>FIXED(VLOOKUP($A11,'Full Sample-Townhouse'!$A:$R,D$1,0),2)</f>
        <v>0.49</v>
      </c>
      <c r="E11" s="3" t="str">
        <f>FIXED(VLOOKUP($A11,'Full Sample-Townhouse'!$A:$R,E$1,0),2)</f>
        <v>0.00</v>
      </c>
      <c r="F11" s="3" t="str">
        <f>FIXED(VLOOKUP($A11,'Full Sample-Townhouse'!$A:$R,F$1,0),2)</f>
        <v>1.00</v>
      </c>
      <c r="G11" s="9" t="str">
        <f>FIXED(VLOOKUP($A11,'Full Sample-Townhouse'!$A:$R,G$1,0),2)</f>
        <v>0.00</v>
      </c>
      <c r="H11" s="3" t="str">
        <f>FIXED(VLOOKUP($A11,'Full Sample-Townhouse'!$A:$R,H$1,0),2)</f>
        <v>0.00</v>
      </c>
      <c r="I11" s="3" t="str">
        <f>FIXED(VLOOKUP($A11,'Full Sample-Townhouse'!$A:$R,I$1,0),2)</f>
        <v>0.00</v>
      </c>
      <c r="J11" s="13" t="str">
        <f>FIXED(VLOOKUP($A11,'Full Sample-Townhouse'!$A:$R,J$1,0),2)</f>
        <v>0.00</v>
      </c>
      <c r="K11" s="9" t="str">
        <f>FIXED(VLOOKUP($A11,'Full Sample-Townhouse'!$A:$R,K$1,0),2)</f>
        <v>1.00</v>
      </c>
      <c r="L11" s="3" t="str">
        <f>FIXED(VLOOKUP($A11,'Full Sample-Townhouse'!$A:$R,L$1,0),2)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1-Townhouse'!$A:$R,O$1,0),2)</f>
        <v>0.48</v>
      </c>
      <c r="P11" s="3" t="str">
        <f>FIXED(VLOOKUP($A11,'Small Sample 1-Townhouse'!$A:$R,P$1,0),2)</f>
        <v>0.50</v>
      </c>
      <c r="Q11" s="3" t="str">
        <f>FIXED(VLOOKUP($A11,'Small Sample 1-Townhouse'!$A:$R,Q$1,0),2)</f>
        <v>0.00</v>
      </c>
      <c r="R11" s="3" t="str">
        <f>FIXED(VLOOKUP($A11,'Small Sample 1-Townhouse'!$A:$R,R$1,0),2)</f>
        <v>1.00</v>
      </c>
      <c r="S11" s="9" t="str">
        <f>FIXED(VLOOKUP($A11,'Small Sample 1-Townhouse'!$A:$R,S$1,0),2)</f>
        <v>0.00</v>
      </c>
      <c r="T11" s="3" t="str">
        <f>FIXED(VLOOKUP($A11,'Small Sample 1-Townhouse'!$A:$R,T$1,0),2)</f>
        <v>0.00</v>
      </c>
      <c r="U11" s="3" t="str">
        <f>FIXED(VLOOKUP($A11,'Small Sample 1-Townhouse'!$A:$R,U$1,0),2)</f>
        <v>0.00</v>
      </c>
      <c r="V11" s="13" t="str">
        <f>FIXED(VLOOKUP($A11,'Small Sample 1-Townhouse'!$A:$R,V$1,0),2)</f>
        <v>0.00</v>
      </c>
      <c r="W11" s="9" t="str">
        <f>FIXED(VLOOKUP($A11,'Small Sample 1-Townhouse'!$A:$R,W$1,0),2)</f>
        <v>1.00</v>
      </c>
      <c r="X11" s="3" t="str">
        <f>FIXED(VLOOKUP($A11,'Small Sample 1-Townhouse'!$A:$R,X$1,0),2)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2-Townhouse'!$A:$R,AA$1,0),2)</f>
        <v>0.37</v>
      </c>
      <c r="AB11" s="3" t="str">
        <f>FIXED(VLOOKUP($A11,'Small Sample 2-Townhouse'!$A:$R,AB$1,0),2)</f>
        <v>0.48</v>
      </c>
      <c r="AC11" s="3" t="str">
        <f>FIXED(VLOOKUP($A11,'Small Sample 2-Townhouse'!$A:$R,AC$1,0),2)</f>
        <v>0.00</v>
      </c>
      <c r="AD11" s="3" t="str">
        <f>FIXED(VLOOKUP($A11,'Small Sample 2-Townhouse'!$A:$R,AD$1,0),2)</f>
        <v>1.00</v>
      </c>
      <c r="AE11" s="9" t="str">
        <f>FIXED(VLOOKUP($A11,'Small Sample 2-Townhouse'!$A:$R,AE$1,0),2)</f>
        <v>0.00</v>
      </c>
      <c r="AF11" s="3" t="str">
        <f>FIXED(VLOOKUP($A11,'Small Sample 2-Townhouse'!$A:$R,AF$1,0),2)</f>
        <v>0.00</v>
      </c>
      <c r="AG11" s="3" t="str">
        <f>FIXED(VLOOKUP($A11,'Small Sample 2-Townhouse'!$A:$R,AG$1,0),2)</f>
        <v>0.00</v>
      </c>
      <c r="AH11" s="13" t="str">
        <f>FIXED(VLOOKUP($A11,'Small Sample 2-Townhouse'!$A:$R,AH$1,0),2)</f>
        <v>0.00</v>
      </c>
      <c r="AI11" s="9" t="str">
        <f>FIXED(VLOOKUP($A11,'Small Sample 2-Townhouse'!$A:$R,AI$1,0),2)</f>
        <v>1.00</v>
      </c>
      <c r="AJ11" s="3" t="str">
        <f>FIXED(VLOOKUP($A11,'Small Sample 2-Townhouse'!$A:$R,AJ$1,0),2)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Sample-Townhouse'!$A:$R,C$1,0),2)</f>
        <v>0.38</v>
      </c>
      <c r="D12" s="3" t="str">
        <f>FIXED(VLOOKUP($A12,'Full Sample-Townhouse'!$A:$R,D$1,0),2)</f>
        <v>0.49</v>
      </c>
      <c r="E12" s="3" t="str">
        <f>FIXED(VLOOKUP($A12,'Full Sample-Townhouse'!$A:$R,E$1,0),2)</f>
        <v>0.00</v>
      </c>
      <c r="F12" s="3" t="str">
        <f>FIXED(VLOOKUP($A12,'Full Sample-Townhouse'!$A:$R,F$1,0),2)</f>
        <v>1.00</v>
      </c>
      <c r="G12" s="9" t="str">
        <f>FIXED(VLOOKUP($A12,'Full Sample-Townhouse'!$A:$R,G$1,0),2)</f>
        <v>0.00</v>
      </c>
      <c r="H12" s="3" t="str">
        <f>FIXED(VLOOKUP($A12,'Full Sample-Townhouse'!$A:$R,H$1,0),2)</f>
        <v>0.04</v>
      </c>
      <c r="I12" s="3" t="str">
        <f>FIXED(VLOOKUP($A12,'Full Sample-Townhouse'!$A:$R,I$1,0),2)</f>
        <v>0.00</v>
      </c>
      <c r="J12" s="13" t="str">
        <f>FIXED(VLOOKUP($A12,'Full Sample-Townhouse'!$A:$R,J$1,0),2)</f>
        <v>1.00</v>
      </c>
      <c r="K12" s="9" t="str">
        <f>FIXED(VLOOKUP($A12,'Full Sample-Townhouse'!$A:$R,K$1,0),2)</f>
        <v>0.90</v>
      </c>
      <c r="L12" s="3" t="str">
        <f>FIXED(VLOOKUP($A12,'Full Sample-Townhouse'!$A:$R,L$1,0),2)</f>
        <v>0.30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1-Townhouse'!$A:$R,O$1,0),2)</f>
        <v>0.43</v>
      </c>
      <c r="P12" s="3" t="str">
        <f>FIXED(VLOOKUP($A12,'Small Sample 1-Townhouse'!$A:$R,P$1,0),2)</f>
        <v>0.50</v>
      </c>
      <c r="Q12" s="3" t="str">
        <f>FIXED(VLOOKUP($A12,'Small Sample 1-Townhouse'!$A:$R,Q$1,0),2)</f>
        <v>0.00</v>
      </c>
      <c r="R12" s="3" t="str">
        <f>FIXED(VLOOKUP($A12,'Small Sample 1-Townhouse'!$A:$R,R$1,0),2)</f>
        <v>1.00</v>
      </c>
      <c r="S12" s="9" t="str">
        <f>FIXED(VLOOKUP($A12,'Small Sample 1-Townhouse'!$A:$R,S$1,0),2)</f>
        <v>0.00</v>
      </c>
      <c r="T12" s="3" t="str">
        <f>FIXED(VLOOKUP($A12,'Small Sample 1-Townhouse'!$A:$R,T$1,0),2)</f>
        <v>0.04</v>
      </c>
      <c r="U12" s="3" t="str">
        <f>FIXED(VLOOKUP($A12,'Small Sample 1-Townhouse'!$A:$R,U$1,0),2)</f>
        <v>0.00</v>
      </c>
      <c r="V12" s="13" t="str">
        <f>FIXED(VLOOKUP($A12,'Small Sample 1-Townhouse'!$A:$R,V$1,0),2)</f>
        <v>1.00</v>
      </c>
      <c r="W12" s="9" t="str">
        <f>FIXED(VLOOKUP($A12,'Small Sample 1-Townhouse'!$A:$R,W$1,0),2)</f>
        <v>0.90</v>
      </c>
      <c r="X12" s="3" t="str">
        <f>FIXED(VLOOKUP($A12,'Small Sample 1-Townhouse'!$A:$R,X$1,0),2)</f>
        <v>0.31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2-Townhouse'!$A:$R,AA$1,0),2)</f>
        <v>0.34</v>
      </c>
      <c r="AB12" s="3" t="str">
        <f>FIXED(VLOOKUP($A12,'Small Sample 2-Townhouse'!$A:$R,AB$1,0),2)</f>
        <v>0.47</v>
      </c>
      <c r="AC12" s="3" t="str">
        <f>FIXED(VLOOKUP($A12,'Small Sample 2-Townhouse'!$A:$R,AC$1,0),2)</f>
        <v>0.00</v>
      </c>
      <c r="AD12" s="3" t="str">
        <f>FIXED(VLOOKUP($A12,'Small Sample 2-Townhouse'!$A:$R,AD$1,0),2)</f>
        <v>1.00</v>
      </c>
      <c r="AE12" s="9" t="str">
        <f>FIXED(VLOOKUP($A12,'Small Sample 2-Townhouse'!$A:$R,AE$1,0),2)</f>
        <v>0.00</v>
      </c>
      <c r="AF12" s="3" t="str">
        <f>FIXED(VLOOKUP($A12,'Small Sample 2-Townhouse'!$A:$R,AF$1,0),2)</f>
        <v>0.04</v>
      </c>
      <c r="AG12" s="3" t="str">
        <f>FIXED(VLOOKUP($A12,'Small Sample 2-Townhouse'!$A:$R,AG$1,0),2)</f>
        <v>0.00</v>
      </c>
      <c r="AH12" s="13" t="str">
        <f>FIXED(VLOOKUP($A12,'Small Sample 2-Townhouse'!$A:$R,AH$1,0),2)</f>
        <v>1.00</v>
      </c>
      <c r="AI12" s="9" t="str">
        <f>FIXED(VLOOKUP($A12,'Small Sample 2-Townhouse'!$A:$R,AI$1,0),2)</f>
        <v>0.91</v>
      </c>
      <c r="AJ12" s="3" t="str">
        <f>FIXED(VLOOKUP($A12,'Small Sample 2-Townhouse'!$A:$R,AJ$1,0),2)</f>
        <v>0.29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Sample-Townhouse'!$A:$R,C$1,0),2)</f>
        <v>46.06</v>
      </c>
      <c r="D13" s="3" t="str">
        <f>FIXED(VLOOKUP($A13,'Full Sample-Townhouse'!$A:$R,D$1,0),2)</f>
        <v>60.62</v>
      </c>
      <c r="E13" s="3" t="str">
        <f>FIXED(VLOOKUP($A13,'Full Sample-Townhouse'!$A:$R,E$1,0),2)</f>
        <v>0.00</v>
      </c>
      <c r="F13" s="3" t="str">
        <f>FIXED(VLOOKUP($A13,'Full Sample-Townhouse'!$A:$R,F$1,0),2)</f>
        <v>946.00</v>
      </c>
      <c r="G13" s="9" t="str">
        <f>FIXED(VLOOKUP($A13,'Full Sample-Townhouse'!$A:$R,G$1,0),2)</f>
        <v>50.71</v>
      </c>
      <c r="H13" s="3" t="str">
        <f>FIXED(VLOOKUP($A13,'Full Sample-Townhouse'!$A:$R,H$1,0),2)</f>
        <v>58.34</v>
      </c>
      <c r="I13" s="3" t="str">
        <f>FIXED(VLOOKUP($A13,'Full Sample-Townhouse'!$A:$R,I$1,0),2)</f>
        <v>0.00</v>
      </c>
      <c r="J13" s="13" t="str">
        <f>FIXED(VLOOKUP($A13,'Full Sample-Townhouse'!$A:$R,J$1,0),2)</f>
        <v>785.00</v>
      </c>
      <c r="K13" s="9" t="str">
        <f>FIXED(VLOOKUP($A13,'Full Sample-Townhouse'!$A:$R,K$1,0),2)</f>
        <v>39.77</v>
      </c>
      <c r="L13" s="3" t="str">
        <f>FIXED(VLOOKUP($A13,'Full Sample-Townhouse'!$A:$R,L$1,0),2)</f>
        <v>63.04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1-Townhouse'!$A:$R,O$1,0),2)</f>
        <v>45.36</v>
      </c>
      <c r="P13" s="3" t="str">
        <f>FIXED(VLOOKUP($A13,'Small Sample 1-Townhouse'!$A:$R,P$1,0),2)</f>
        <v>61.37</v>
      </c>
      <c r="Q13" s="3" t="str">
        <f>FIXED(VLOOKUP($A13,'Small Sample 1-Townhouse'!$A:$R,Q$1,0),2)</f>
        <v>0.00</v>
      </c>
      <c r="R13" s="3" t="str">
        <f>FIXED(VLOOKUP($A13,'Small Sample 1-Townhouse'!$A:$R,R$1,0),2)</f>
        <v>946.00</v>
      </c>
      <c r="S13" s="9" t="str">
        <f>FIXED(VLOOKUP($A13,'Small Sample 1-Townhouse'!$A:$R,S$1,0),2)</f>
        <v>870.16</v>
      </c>
      <c r="T13" s="3" t="str">
        <f>FIXED(VLOOKUP($A13,'Small Sample 1-Townhouse'!$A:$R,T$1,0),2)</f>
        <v>384.01</v>
      </c>
      <c r="U13" s="3" t="str">
        <f>FIXED(VLOOKUP($A13,'Small Sample 1-Townhouse'!$A:$R,U$1,0),2)</f>
        <v>160.00</v>
      </c>
      <c r="V13" s="13" t="str">
        <f>FIXED(VLOOKUP($A13,'Small Sample 1-Townhouse'!$A:$R,V$1,0),2)</f>
        <v>6,273.00</v>
      </c>
      <c r="W13" s="9" t="str">
        <f>FIXED(VLOOKUP($A13,'Small Sample 1-Townhouse'!$A:$R,W$1,0),2)</f>
        <v>39.63</v>
      </c>
      <c r="X13" s="3" t="str">
        <f>FIXED(VLOOKUP($A13,'Small Sample 1-Townhouse'!$A:$R,X$1,0),2)</f>
        <v>63.09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2-Townhouse'!$A:$R,AA$1,0),2)</f>
        <v>48.40</v>
      </c>
      <c r="AB13" s="3" t="str">
        <f>FIXED(VLOOKUP($A13,'Small Sample 2-Townhouse'!$A:$R,AB$1,0),2)</f>
        <v>62.38</v>
      </c>
      <c r="AC13" s="3" t="str">
        <f>FIXED(VLOOKUP($A13,'Small Sample 2-Townhouse'!$A:$R,AC$1,0),2)</f>
        <v>0.00</v>
      </c>
      <c r="AD13" s="3" t="str">
        <f>FIXED(VLOOKUP($A13,'Small Sample 2-Townhouse'!$A:$R,AD$1,0),2)</f>
        <v>946.00</v>
      </c>
      <c r="AE13" s="9" t="str">
        <f>FIXED(VLOOKUP($A13,'Small Sample 2-Townhouse'!$A:$R,AE$1,0),2)</f>
        <v>880.94</v>
      </c>
      <c r="AF13" s="3" t="str">
        <f>FIXED(VLOOKUP($A13,'Small Sample 2-Townhouse'!$A:$R,AF$1,0),2)</f>
        <v>383.18</v>
      </c>
      <c r="AG13" s="3" t="str">
        <f>FIXED(VLOOKUP($A13,'Small Sample 2-Townhouse'!$A:$R,AG$1,0),2)</f>
        <v>160.00</v>
      </c>
      <c r="AH13" s="13" t="str">
        <f>FIXED(VLOOKUP($A13,'Small Sample 2-Townhouse'!$A:$R,AH$1,0),2)</f>
        <v>6,273.00</v>
      </c>
      <c r="AI13" s="9" t="str">
        <f>FIXED(VLOOKUP($A13,'Small Sample 2-Townhouse'!$A:$R,AI$1,0),2)</f>
        <v>42.74</v>
      </c>
      <c r="AJ13" s="3" t="str">
        <f>FIXED(VLOOKUP($A13,'Small Sample 2-Townhouse'!$A:$R,AJ$1,0),2)</f>
        <v>67.05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312</v>
      </c>
      <c r="C14" s="9" t="str">
        <f>FIXED(VLOOKUP($A14,'Full Sample-Townhouse'!$A:$R,C$1,0),2)</f>
        <v>2,019.06</v>
      </c>
      <c r="D14" s="3" t="str">
        <f>FIXED(VLOOKUP($A14,'Full Sample-Townhouse'!$A:$R,D$1,0),2)</f>
        <v>2.01</v>
      </c>
      <c r="E14" s="3" t="str">
        <f>FIXED(VLOOKUP($A14,'Full Sample-Townhouse'!$A:$R,E$1,0),2)</f>
        <v>2,016.00</v>
      </c>
      <c r="F14" s="3" t="str">
        <f>FIXED(VLOOKUP($A14,'Full Sample-Townhouse'!$A:$R,F$1,0),2)</f>
        <v>2,023.00</v>
      </c>
      <c r="G14" s="9" t="str">
        <f>FIXED(VLOOKUP($A14,'Full Sample-Townhouse'!$A:$R,G$1,0),2)</f>
        <v>2,017.57</v>
      </c>
      <c r="H14" s="3" t="str">
        <f>FIXED(VLOOKUP($A14,'Full Sample-Townhouse'!$A:$R,H$1,0),2)</f>
        <v>1.17</v>
      </c>
      <c r="I14" s="3" t="str">
        <f>FIXED(VLOOKUP($A14,'Full Sample-Townhouse'!$A:$R,I$1,0),2)</f>
        <v>2,016.00</v>
      </c>
      <c r="J14" s="13" t="str">
        <f>FIXED(VLOOKUP($A14,'Full Sample-Townhouse'!$A:$R,J$1,0),2)</f>
        <v>2,020.00</v>
      </c>
      <c r="K14" s="9" t="str">
        <f>FIXED(VLOOKUP($A14,'Full Sample-Townhouse'!$A:$R,K$1,0),2)</f>
        <v>2,021.08</v>
      </c>
      <c r="L14" s="3" t="str">
        <f>FIXED(VLOOKUP($A14,'Full Sample-Townhouse'!$A:$R,L$1,0),2)</f>
        <v>0.76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1-Townhouse'!$A:$R,O$1,0),2)</f>
        <v>2,019.32</v>
      </c>
      <c r="P14" s="3" t="str">
        <f>FIXED(VLOOKUP($A14,'Small Sample 1-Townhouse'!$A:$R,P$1,0),2)</f>
        <v>1.98</v>
      </c>
      <c r="Q14" s="3" t="str">
        <f>FIXED(VLOOKUP($A14,'Small Sample 1-Townhouse'!$A:$R,Q$1,0),2)</f>
        <v>2,016.00</v>
      </c>
      <c r="R14" s="3" t="str">
        <f>FIXED(VLOOKUP($A14,'Small Sample 1-Townhouse'!$A:$R,R$1,0),2)</f>
        <v>2,023.00</v>
      </c>
      <c r="S14" s="9" t="str">
        <f>FIXED(VLOOKUP($A14,'Small Sample 1-Townhouse'!$A:$R,S$1,0),2)</f>
        <v>0.10</v>
      </c>
      <c r="T14" s="3" t="str">
        <f>FIXED(VLOOKUP($A14,'Small Sample 1-Townhouse'!$A:$R,T$1,0),2)</f>
        <v>0.30</v>
      </c>
      <c r="U14" s="3" t="str">
        <f>FIXED(VLOOKUP($A14,'Small Sample 1-Townhouse'!$A:$R,U$1,0),2)</f>
        <v>0.00</v>
      </c>
      <c r="V14" s="13" t="str">
        <f>FIXED(VLOOKUP($A14,'Small Sample 1-Townhouse'!$A:$R,V$1,0),2)</f>
        <v>1.00</v>
      </c>
      <c r="W14" s="9" t="str">
        <f>FIXED(VLOOKUP($A14,'Small Sample 1-Townhouse'!$A:$R,W$1,0),2)</f>
        <v>2,021.10</v>
      </c>
      <c r="X14" s="3" t="str">
        <f>FIXED(VLOOKUP($A14,'Small Sample 1-Townhouse'!$A:$R,X$1,0),2)</f>
        <v>0.75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2-Townhouse'!$A:$R,AA$1,0),2)</f>
        <v>2,018.82</v>
      </c>
      <c r="AB14" s="3" t="str">
        <f>FIXED(VLOOKUP($A14,'Small Sample 2-Townhouse'!$A:$R,AB$1,0),2)</f>
        <v>2.00</v>
      </c>
      <c r="AC14" s="3" t="str">
        <f>FIXED(VLOOKUP($A14,'Small Sample 2-Townhouse'!$A:$R,AC$1,0),2)</f>
        <v>2,016.00</v>
      </c>
      <c r="AD14" s="3" t="str">
        <f>FIXED(VLOOKUP($A14,'Small Sample 2-Townhouse'!$A:$R,AD$1,0),2)</f>
        <v>2,023.00</v>
      </c>
      <c r="AE14" s="9" t="str">
        <f>FIXED(VLOOKUP($A14,'Small Sample 2-Townhouse'!$A:$R,AE$1,0),2)</f>
        <v>0.11</v>
      </c>
      <c r="AF14" s="3" t="str">
        <f>FIXED(VLOOKUP($A14,'Small Sample 2-Townhouse'!$A:$R,AF$1,0),2)</f>
        <v>0.31</v>
      </c>
      <c r="AG14" s="3" t="str">
        <f>FIXED(VLOOKUP($A14,'Small Sample 2-Townhouse'!$A:$R,AG$1,0),2)</f>
        <v>0.00</v>
      </c>
      <c r="AH14" s="13" t="str">
        <f>FIXED(VLOOKUP($A14,'Small Sample 2-Townhouse'!$A:$R,AH$1,0),2)</f>
        <v>1.00</v>
      </c>
      <c r="AI14" s="9" t="str">
        <f>FIXED(VLOOKUP($A14,'Small Sample 2-Townhouse'!$A:$R,AI$1,0),2)</f>
        <v>2,021.05</v>
      </c>
      <c r="AJ14" s="3" t="str">
        <f>FIXED(VLOOKUP($A14,'Small Sample 2-Townhouse'!$A:$R,AJ$1,0),2)</f>
        <v>0.76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Sample-Townhouse'!$A:$R,C$1,0),2)</f>
        <v>1.50</v>
      </c>
      <c r="D15" s="3" t="str">
        <f>FIXED(VLOOKUP($A15,'Full Sample-Townhouse'!$A:$R,D$1,0),2)</f>
        <v>0.56</v>
      </c>
      <c r="E15" s="3" t="str">
        <f>FIXED(VLOOKUP($A15,'Full Sample-Townhouse'!$A:$R,E$1,0),2)</f>
        <v>0.00</v>
      </c>
      <c r="F15" s="3" t="str">
        <f>FIXED(VLOOKUP($A15,'Full Sample-Townhouse'!$A:$R,F$1,0),2)</f>
        <v>6.00</v>
      </c>
      <c r="G15" s="9" t="str">
        <f>FIXED(VLOOKUP($A15,'Full Sample-Townhouse'!$A:$R,G$1,0),2)</f>
        <v>1.51</v>
      </c>
      <c r="H15" s="3" t="str">
        <f>FIXED(VLOOKUP($A15,'Full Sample-Townhouse'!$A:$R,H$1,0),2)</f>
        <v>0.55</v>
      </c>
      <c r="I15" s="3" t="str">
        <f>FIXED(VLOOKUP($A15,'Full Sample-Townhouse'!$A:$R,I$1,0),2)</f>
        <v>0.00</v>
      </c>
      <c r="J15" s="13" t="str">
        <f>FIXED(VLOOKUP($A15,'Full Sample-Townhouse'!$A:$R,J$1,0),2)</f>
        <v>5.00</v>
      </c>
      <c r="K15" s="9" t="str">
        <f>FIXED(VLOOKUP($A15,'Full Sample-Townhouse'!$A:$R,K$1,0),2)</f>
        <v>1.50</v>
      </c>
      <c r="L15" s="3" t="str">
        <f>FIXED(VLOOKUP($A15,'Full Sample-Townhouse'!$A:$R,L$1,0),2)</f>
        <v>0.56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1-Townhouse'!$A:$R,O$1,0),2)</f>
        <v>1.49</v>
      </c>
      <c r="P15" s="3" t="str">
        <f>FIXED(VLOOKUP($A15,'Small Sample 1-Townhouse'!$A:$R,P$1,0),2)</f>
        <v>0.55</v>
      </c>
      <c r="Q15" s="3" t="str">
        <f>FIXED(VLOOKUP($A15,'Small Sample 1-Townhouse'!$A:$R,Q$1,0),2)</f>
        <v>0.00</v>
      </c>
      <c r="R15" s="3" t="str">
        <f>FIXED(VLOOKUP($A15,'Small Sample 1-Townhouse'!$A:$R,R$1,0),2)</f>
        <v>6.00</v>
      </c>
      <c r="S15" s="9" t="str">
        <f>FIXED(VLOOKUP($A15,'Small Sample 1-Townhouse'!$A:$R,S$1,0),2)</f>
        <v>0.16</v>
      </c>
      <c r="T15" s="3" t="str">
        <f>FIXED(VLOOKUP($A15,'Small Sample 1-Townhouse'!$A:$R,T$1,0),2)</f>
        <v>0.37</v>
      </c>
      <c r="U15" s="3" t="str">
        <f>FIXED(VLOOKUP($A15,'Small Sample 1-Townhouse'!$A:$R,U$1,0),2)</f>
        <v>0.00</v>
      </c>
      <c r="V15" s="13" t="str">
        <f>FIXED(VLOOKUP($A15,'Small Sample 1-Townhouse'!$A:$R,V$1,0),2)</f>
        <v>2.00</v>
      </c>
      <c r="W15" s="9" t="str">
        <f>FIXED(VLOOKUP($A15,'Small Sample 1-Townhouse'!$A:$R,W$1,0),2)</f>
        <v>1.50</v>
      </c>
      <c r="X15" s="3" t="str">
        <f>FIXED(VLOOKUP($A15,'Small Sample 1-Townhouse'!$A:$R,X$1,0),2)</f>
        <v>0.56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2-Townhouse'!$A:$R,AA$1,0),2)</f>
        <v>1.49</v>
      </c>
      <c r="AB15" s="3" t="str">
        <f>FIXED(VLOOKUP($A15,'Small Sample 2-Townhouse'!$A:$R,AB$1,0),2)</f>
        <v>0.55</v>
      </c>
      <c r="AC15" s="3" t="str">
        <f>FIXED(VLOOKUP($A15,'Small Sample 2-Townhouse'!$A:$R,AC$1,0),2)</f>
        <v>0.00</v>
      </c>
      <c r="AD15" s="3" t="str">
        <f>FIXED(VLOOKUP($A15,'Small Sample 2-Townhouse'!$A:$R,AD$1,0),2)</f>
        <v>6.00</v>
      </c>
      <c r="AE15" s="9" t="str">
        <f>FIXED(VLOOKUP($A15,'Small Sample 2-Townhouse'!$A:$R,AE$1,0),2)</f>
        <v>0.17</v>
      </c>
      <c r="AF15" s="3" t="str">
        <f>FIXED(VLOOKUP($A15,'Small Sample 2-Townhouse'!$A:$R,AF$1,0),2)</f>
        <v>0.39</v>
      </c>
      <c r="AG15" s="3" t="str">
        <f>FIXED(VLOOKUP($A15,'Small Sample 2-Townhouse'!$A:$R,AG$1,0),2)</f>
        <v>0.00</v>
      </c>
      <c r="AH15" s="13" t="str">
        <f>FIXED(VLOOKUP($A15,'Small Sample 2-Townhouse'!$A:$R,AH$1,0),2)</f>
        <v>5.00</v>
      </c>
      <c r="AI15" s="9" t="str">
        <f>FIXED(VLOOKUP($A15,'Small Sample 2-Townhouse'!$A:$R,AI$1,0),2)</f>
        <v>1.48</v>
      </c>
      <c r="AJ15" s="3" t="str">
        <f>FIXED(VLOOKUP($A15,'Small Sample 2-Townhouse'!$A:$R,AJ$1,0),2)</f>
        <v>0.55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Sample-Townhouse'!$A:$R,C$1,0),2)</f>
        <v>0.18</v>
      </c>
      <c r="D16" s="3" t="str">
        <f>FIXED(VLOOKUP($A16,'Full Sample-Townhouse'!$A:$R,D$1,0),2)</f>
        <v>0.39</v>
      </c>
      <c r="E16" s="3" t="str">
        <f>FIXED(VLOOKUP($A16,'Full Sample-Townhouse'!$A:$R,E$1,0),2)</f>
        <v>0.00</v>
      </c>
      <c r="F16" s="3" t="str">
        <f>FIXED(VLOOKUP($A16,'Full Sample-Townhouse'!$A:$R,F$1,0),2)</f>
        <v>5.00</v>
      </c>
      <c r="G16" s="9" t="str">
        <f>FIXED(VLOOKUP($A16,'Full Sample-Townhouse'!$A:$R,G$1,0),2)</f>
        <v>0.18</v>
      </c>
      <c r="H16" s="3" t="str">
        <f>FIXED(VLOOKUP($A16,'Full Sample-Townhouse'!$A:$R,H$1,0),2)</f>
        <v>0.39</v>
      </c>
      <c r="I16" s="3" t="str">
        <f>FIXED(VLOOKUP($A16,'Full Sample-Townhouse'!$A:$R,I$1,0),2)</f>
        <v>0.00</v>
      </c>
      <c r="J16" s="13" t="str">
        <f>FIXED(VLOOKUP($A16,'Full Sample-Townhouse'!$A:$R,J$1,0),2)</f>
        <v>5.00</v>
      </c>
      <c r="K16" s="9" t="str">
        <f>FIXED(VLOOKUP($A16,'Full Sample-Townhouse'!$A:$R,K$1,0),2)</f>
        <v>0.18</v>
      </c>
      <c r="L16" s="3" t="str">
        <f>FIXED(VLOOKUP($A16,'Full Sample-Townhouse'!$A:$R,L$1,0),2)</f>
        <v>0.39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1-Townhouse'!$A:$R,O$1,0),2)</f>
        <v>0.17</v>
      </c>
      <c r="P16" s="3" t="str">
        <f>FIXED(VLOOKUP($A16,'Small Sample 1-Townhouse'!$A:$R,P$1,0),2)</f>
        <v>0.38</v>
      </c>
      <c r="Q16" s="3" t="str">
        <f>FIXED(VLOOKUP($A16,'Small Sample 1-Townhouse'!$A:$R,Q$1,0),2)</f>
        <v>0.00</v>
      </c>
      <c r="R16" s="3" t="str">
        <f>FIXED(VLOOKUP($A16,'Small Sample 1-Townhouse'!$A:$R,R$1,0),2)</f>
        <v>4.00</v>
      </c>
      <c r="S16" s="9" t="str">
        <f>FIXED(VLOOKUP($A16,'Small Sample 1-Townhouse'!$A:$R,S$1,0),2)</f>
        <v>1.78</v>
      </c>
      <c r="T16" s="3" t="str">
        <f>FIXED(VLOOKUP($A16,'Small Sample 1-Townhouse'!$A:$R,T$1,0),2)</f>
        <v>0.91</v>
      </c>
      <c r="U16" s="3" t="str">
        <f>FIXED(VLOOKUP($A16,'Small Sample 1-Townhouse'!$A:$R,U$1,0),2)</f>
        <v>0.00</v>
      </c>
      <c r="V16" s="13" t="str">
        <f>FIXED(VLOOKUP($A16,'Small Sample 1-Townhouse'!$A:$R,V$1,0),2)</f>
        <v>5.00</v>
      </c>
      <c r="W16" s="9" t="str">
        <f>FIXED(VLOOKUP($A16,'Small Sample 1-Townhouse'!$A:$R,W$1,0),2)</f>
        <v>0.17</v>
      </c>
      <c r="X16" s="3" t="str">
        <f>FIXED(VLOOKUP($A16,'Small Sample 1-Townhouse'!$A:$R,X$1,0),2)</f>
        <v>0.39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2-Townhouse'!$A:$R,AA$1,0),2)</f>
        <v>0.17</v>
      </c>
      <c r="AB16" s="3" t="str">
        <f>FIXED(VLOOKUP($A16,'Small Sample 2-Townhouse'!$A:$R,AB$1,0),2)</f>
        <v>0.38</v>
      </c>
      <c r="AC16" s="3" t="str">
        <f>FIXED(VLOOKUP($A16,'Small Sample 2-Townhouse'!$A:$R,AC$1,0),2)</f>
        <v>0.00</v>
      </c>
      <c r="AD16" s="3" t="str">
        <f>FIXED(VLOOKUP($A16,'Small Sample 2-Townhouse'!$A:$R,AD$1,0),2)</f>
        <v>5.00</v>
      </c>
      <c r="AE16" s="9" t="str">
        <f>FIXED(VLOOKUP($A16,'Small Sample 2-Townhouse'!$A:$R,AE$1,0),2)</f>
        <v>1.82</v>
      </c>
      <c r="AF16" s="3" t="str">
        <f>FIXED(VLOOKUP($A16,'Small Sample 2-Townhouse'!$A:$R,AF$1,0),2)</f>
        <v>0.92</v>
      </c>
      <c r="AG16" s="3" t="str">
        <f>FIXED(VLOOKUP($A16,'Small Sample 2-Townhouse'!$A:$R,AG$1,0),2)</f>
        <v>0.00</v>
      </c>
      <c r="AH16" s="13" t="str">
        <f>FIXED(VLOOKUP($A16,'Small Sample 2-Townhouse'!$A:$R,AH$1,0),2)</f>
        <v>5.00</v>
      </c>
      <c r="AI16" s="9" t="str">
        <f>FIXED(VLOOKUP($A16,'Small Sample 2-Townhouse'!$A:$R,AI$1,0),2)</f>
        <v>0.15</v>
      </c>
      <c r="AJ16" s="3" t="str">
        <f>FIXED(VLOOKUP($A16,'Small Sample 2-Townhouse'!$A:$R,AJ$1,0),2)</f>
        <v>0.37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Sample-Townhouse'!$A:$R,C$1,0),2)</f>
        <v>1.82</v>
      </c>
      <c r="D17" s="3" t="str">
        <f>FIXED(VLOOKUP($A17,'Full Sample-Townhouse'!$A:$R,D$1,0),2)</f>
        <v>0.92</v>
      </c>
      <c r="E17" s="3" t="str">
        <f>FIXED(VLOOKUP($A17,'Full Sample-Townhouse'!$A:$R,E$1,0),2)</f>
        <v>0.00</v>
      </c>
      <c r="F17" s="3" t="str">
        <f>FIXED(VLOOKUP($A17,'Full Sample-Townhouse'!$A:$R,F$1,0),2)</f>
        <v>8.00</v>
      </c>
      <c r="G17" s="9" t="str">
        <f>FIXED(VLOOKUP($A17,'Full Sample-Townhouse'!$A:$R,G$1,0),2)</f>
        <v>1.83</v>
      </c>
      <c r="H17" s="3" t="str">
        <f>FIXED(VLOOKUP($A17,'Full Sample-Townhouse'!$A:$R,H$1,0),2)</f>
        <v>0.92</v>
      </c>
      <c r="I17" s="3" t="str">
        <f>FIXED(VLOOKUP($A17,'Full Sample-Townhouse'!$A:$R,I$1,0),2)</f>
        <v>0.00</v>
      </c>
      <c r="J17" s="13" t="str">
        <f>FIXED(VLOOKUP($A17,'Full Sample-Townhouse'!$A:$R,J$1,0),2)</f>
        <v>5.00</v>
      </c>
      <c r="K17" s="9" t="str">
        <f>FIXED(VLOOKUP($A17,'Full Sample-Townhouse'!$A:$R,K$1,0),2)</f>
        <v>1.81</v>
      </c>
      <c r="L17" s="3" t="str">
        <f>FIXED(VLOOKUP($A17,'Full Sample-Townhouse'!$A:$R,L$1,0),2)</f>
        <v>0.92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1-Townhouse'!$A:$R,O$1,0),2)</f>
        <v>1.79</v>
      </c>
      <c r="P17" s="3" t="str">
        <f>FIXED(VLOOKUP($A17,'Small Sample 1-Townhouse'!$A:$R,P$1,0),2)</f>
        <v>0.92</v>
      </c>
      <c r="Q17" s="3" t="str">
        <f>FIXED(VLOOKUP($A17,'Small Sample 1-Townhouse'!$A:$R,Q$1,0),2)</f>
        <v>0.00</v>
      </c>
      <c r="R17" s="3" t="str">
        <f>FIXED(VLOOKUP($A17,'Small Sample 1-Townhouse'!$A:$R,R$1,0),2)</f>
        <v>8.00</v>
      </c>
      <c r="S17" s="9" t="str">
        <f>FIXED(VLOOKUP($A17,'Small Sample 1-Townhouse'!$A:$R,S$1,0),2)</f>
        <v>50.71</v>
      </c>
      <c r="T17" s="3" t="str">
        <f>FIXED(VLOOKUP($A17,'Small Sample 1-Townhouse'!$A:$R,T$1,0),2)</f>
        <v>59.22</v>
      </c>
      <c r="U17" s="3" t="str">
        <f>FIXED(VLOOKUP($A17,'Small Sample 1-Townhouse'!$A:$R,U$1,0),2)</f>
        <v>0.00</v>
      </c>
      <c r="V17" s="13" t="str">
        <f>FIXED(VLOOKUP($A17,'Small Sample 1-Townhouse'!$A:$R,V$1,0),2)</f>
        <v>785.00</v>
      </c>
      <c r="W17" s="9" t="str">
        <f>FIXED(VLOOKUP($A17,'Small Sample 1-Townhouse'!$A:$R,W$1,0),2)</f>
        <v>1.81</v>
      </c>
      <c r="X17" s="3" t="str">
        <f>FIXED(VLOOKUP($A17,'Small Sample 1-Townhouse'!$A:$R,X$1,0),2)</f>
        <v>0.92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2-Townhouse'!$A:$R,AA$1,0),2)</f>
        <v>1.79</v>
      </c>
      <c r="AB17" s="3" t="str">
        <f>FIXED(VLOOKUP($A17,'Small Sample 2-Townhouse'!$A:$R,AB$1,0),2)</f>
        <v>0.92</v>
      </c>
      <c r="AC17" s="3" t="str">
        <f>FIXED(VLOOKUP($A17,'Small Sample 2-Townhouse'!$A:$R,AC$1,0),2)</f>
        <v>0.00</v>
      </c>
      <c r="AD17" s="3" t="str">
        <f>FIXED(VLOOKUP($A17,'Small Sample 2-Townhouse'!$A:$R,AD$1,0),2)</f>
        <v>8.00</v>
      </c>
      <c r="AE17" s="9" t="str">
        <f>FIXED(VLOOKUP($A17,'Small Sample 2-Townhouse'!$A:$R,AE$1,0),2)</f>
        <v>51.73</v>
      </c>
      <c r="AF17" s="3" t="str">
        <f>FIXED(VLOOKUP($A17,'Small Sample 2-Townhouse'!$A:$R,AF$1,0),2)</f>
        <v>59.21</v>
      </c>
      <c r="AG17" s="3" t="str">
        <f>FIXED(VLOOKUP($A17,'Small Sample 2-Townhouse'!$A:$R,AG$1,0),2)</f>
        <v>0.00</v>
      </c>
      <c r="AH17" s="13" t="str">
        <f>FIXED(VLOOKUP($A17,'Small Sample 2-Townhouse'!$A:$R,AH$1,0),2)</f>
        <v>785.00</v>
      </c>
      <c r="AI17" s="9" t="str">
        <f>FIXED(VLOOKUP($A17,'Small Sample 2-Townhouse'!$A:$R,AI$1,0),2)</f>
        <v>1.75</v>
      </c>
      <c r="AJ17" s="3" t="str">
        <f>FIXED(VLOOKUP($A17,'Small Sample 2-Townhouse'!$A:$R,AJ$1,0),2)</f>
        <v>0.92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Sample-Townhouse'!$A:$R,C$1,0),2)</f>
        <v>0.26</v>
      </c>
      <c r="D18" s="3" t="str">
        <f>FIXED(VLOOKUP($A18,'Full Sample-Townhouse'!$A:$R,D$1,0),2)</f>
        <v>0.44</v>
      </c>
      <c r="E18" s="3" t="str">
        <f>FIXED(VLOOKUP($A18,'Full Sample-Townhouse'!$A:$R,E$1,0),2)</f>
        <v>0.00</v>
      </c>
      <c r="F18" s="3" t="str">
        <f>FIXED(VLOOKUP($A18,'Full Sample-Townhouse'!$A:$R,F$1,0),2)</f>
        <v>1.00</v>
      </c>
      <c r="G18" s="9" t="str">
        <f>FIXED(VLOOKUP($A18,'Full Sample-Townhouse'!$A:$R,G$1,0),2)</f>
        <v>0.28</v>
      </c>
      <c r="H18" s="3" t="str">
        <f>FIXED(VLOOKUP($A18,'Full Sample-Townhouse'!$A:$R,H$1,0),2)</f>
        <v>0.45</v>
      </c>
      <c r="I18" s="3" t="str">
        <f>FIXED(VLOOKUP($A18,'Full Sample-Townhouse'!$A:$R,I$1,0),2)</f>
        <v>0.00</v>
      </c>
      <c r="J18" s="13" t="str">
        <f>FIXED(VLOOKUP($A18,'Full Sample-Townhouse'!$A:$R,J$1,0),2)</f>
        <v>1.00</v>
      </c>
      <c r="K18" s="9" t="str">
        <f>FIXED(VLOOKUP($A18,'Full Sample-Townhouse'!$A:$R,K$1,0),2)</f>
        <v>0.24</v>
      </c>
      <c r="L18" s="3" t="str">
        <f>FIXED(VLOOKUP($A18,'Full Sample-Townhouse'!$A:$R,L$1,0),2)</f>
        <v>0.43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1-Townhouse'!$A:$R,O$1,0),2)</f>
        <v>0.26</v>
      </c>
      <c r="P18" s="3" t="str">
        <f>FIXED(VLOOKUP($A18,'Small Sample 1-Townhouse'!$A:$R,P$1,0),2)</f>
        <v>0.44</v>
      </c>
      <c r="Q18" s="3" t="str">
        <f>FIXED(VLOOKUP($A18,'Small Sample 1-Townhouse'!$A:$R,Q$1,0),2)</f>
        <v>0.00</v>
      </c>
      <c r="R18" s="3" t="str">
        <f>FIXED(VLOOKUP($A18,'Small Sample 1-Townhouse'!$A:$R,R$1,0),2)</f>
        <v>1.00</v>
      </c>
      <c r="S18" s="9" t="str">
        <f>FIXED(VLOOKUP($A18,'Small Sample 1-Townhouse'!$A:$R,S$1,0),2)</f>
        <v>0.19</v>
      </c>
      <c r="T18" s="3" t="str">
        <f>FIXED(VLOOKUP($A18,'Small Sample 1-Townhouse'!$A:$R,T$1,0),2)</f>
        <v>0.39</v>
      </c>
      <c r="U18" s="3" t="str">
        <f>FIXED(VLOOKUP($A18,'Small Sample 1-Townhouse'!$A:$R,U$1,0),2)</f>
        <v>0.00</v>
      </c>
      <c r="V18" s="13" t="str">
        <f>FIXED(VLOOKUP($A18,'Small Sample 1-Townhouse'!$A:$R,V$1,0),2)</f>
        <v>1.00</v>
      </c>
      <c r="W18" s="9" t="str">
        <f>FIXED(VLOOKUP($A18,'Small Sample 1-Townhouse'!$A:$R,W$1,0),2)</f>
        <v>0.24</v>
      </c>
      <c r="X18" s="3" t="str">
        <f>FIXED(VLOOKUP($A18,'Small Sample 1-Townhouse'!$A:$R,X$1,0),2)</f>
        <v>0.43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2-Townhouse'!$A:$R,AA$1,0),2)</f>
        <v>0.26</v>
      </c>
      <c r="AB18" s="3" t="str">
        <f>FIXED(VLOOKUP($A18,'Small Sample 2-Townhouse'!$A:$R,AB$1,0),2)</f>
        <v>0.44</v>
      </c>
      <c r="AC18" s="3" t="str">
        <f>FIXED(VLOOKUP($A18,'Small Sample 2-Townhouse'!$A:$R,AC$1,0),2)</f>
        <v>0.00</v>
      </c>
      <c r="AD18" s="3" t="str">
        <f>FIXED(VLOOKUP($A18,'Small Sample 2-Townhouse'!$A:$R,AD$1,0),2)</f>
        <v>1.00</v>
      </c>
      <c r="AE18" s="9" t="str">
        <f>FIXED(VLOOKUP($A18,'Small Sample 2-Townhouse'!$A:$R,AE$1,0),2)</f>
        <v>0.21</v>
      </c>
      <c r="AF18" s="3" t="str">
        <f>FIXED(VLOOKUP($A18,'Small Sample 2-Townhouse'!$A:$R,AF$1,0),2)</f>
        <v>0.41</v>
      </c>
      <c r="AG18" s="3" t="str">
        <f>FIXED(VLOOKUP($A18,'Small Sample 2-Townhouse'!$A:$R,AG$1,0),2)</f>
        <v>0.00</v>
      </c>
      <c r="AH18" s="13" t="str">
        <f>FIXED(VLOOKUP($A18,'Small Sample 2-Townhouse'!$A:$R,AH$1,0),2)</f>
        <v>1.00</v>
      </c>
      <c r="AI18" s="9" t="str">
        <f>FIXED(VLOOKUP($A18,'Small Sample 2-Townhouse'!$A:$R,AI$1,0),2)</f>
        <v>0.24</v>
      </c>
      <c r="AJ18" s="3" t="str">
        <f>FIXED(VLOOKUP($A18,'Small Sample 2-Townhouse'!$A:$R,AJ$1,0),2)</f>
        <v>0.43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Sample-Townhouse'!$A:$R,C$1,0),2)</f>
        <v>0.21</v>
      </c>
      <c r="D19" s="3" t="str">
        <f>FIXED(VLOOKUP($A19,'Full Sample-Townhouse'!$A:$R,D$1,0),2)</f>
        <v>0.41</v>
      </c>
      <c r="E19" s="3" t="str">
        <f>FIXED(VLOOKUP($A19,'Full Sample-Townhouse'!$A:$R,E$1,0),2)</f>
        <v>0.00</v>
      </c>
      <c r="F19" s="3" t="str">
        <f>FIXED(VLOOKUP($A19,'Full Sample-Townhouse'!$A:$R,F$1,0),2)</f>
        <v>1.00</v>
      </c>
      <c r="G19" s="9" t="str">
        <f>FIXED(VLOOKUP($A19,'Full Sample-Townhouse'!$A:$R,G$1,0),2)</f>
        <v>0.22</v>
      </c>
      <c r="H19" s="3" t="str">
        <f>FIXED(VLOOKUP($A19,'Full Sample-Townhouse'!$A:$R,H$1,0),2)</f>
        <v>0.41</v>
      </c>
      <c r="I19" s="3" t="str">
        <f>FIXED(VLOOKUP($A19,'Full Sample-Townhouse'!$A:$R,I$1,0),2)</f>
        <v>0.00</v>
      </c>
      <c r="J19" s="13" t="str">
        <f>FIXED(VLOOKUP($A19,'Full Sample-Townhouse'!$A:$R,J$1,0),2)</f>
        <v>1.00</v>
      </c>
      <c r="K19" s="9" t="str">
        <f>FIXED(VLOOKUP($A19,'Full Sample-Townhouse'!$A:$R,K$1,0),2)</f>
        <v>0.21</v>
      </c>
      <c r="L19" s="3" t="str">
        <f>FIXED(VLOOKUP($A19,'Full Sample-Townhouse'!$A:$R,L$1,0),2)</f>
        <v>0.41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1-Townhouse'!$A:$R,O$1,0),2)</f>
        <v>0.20</v>
      </c>
      <c r="P19" s="3" t="str">
        <f>FIXED(VLOOKUP($A19,'Small Sample 1-Townhouse'!$A:$R,P$1,0),2)</f>
        <v>0.40</v>
      </c>
      <c r="Q19" s="3" t="str">
        <f>FIXED(VLOOKUP($A19,'Small Sample 1-Townhouse'!$A:$R,Q$1,0),2)</f>
        <v>0.00</v>
      </c>
      <c r="R19" s="3" t="str">
        <f>FIXED(VLOOKUP($A19,'Small Sample 1-Townhouse'!$A:$R,R$1,0),2)</f>
        <v>1.00</v>
      </c>
      <c r="S19" s="9" t="str">
        <f>FIXED(VLOOKUP($A19,'Small Sample 1-Townhouse'!$A:$R,S$1,0),2)</f>
        <v>0.53</v>
      </c>
      <c r="T19" s="3" t="str">
        <f>FIXED(VLOOKUP($A19,'Small Sample 1-Townhouse'!$A:$R,T$1,0),2)</f>
        <v>0.50</v>
      </c>
      <c r="U19" s="3" t="str">
        <f>FIXED(VLOOKUP($A19,'Small Sample 1-Townhouse'!$A:$R,U$1,0),2)</f>
        <v>0.00</v>
      </c>
      <c r="V19" s="13" t="str">
        <f>FIXED(VLOOKUP($A19,'Small Sample 1-Townhouse'!$A:$R,V$1,0),2)</f>
        <v>1.00</v>
      </c>
      <c r="W19" s="9" t="str">
        <f>FIXED(VLOOKUP($A19,'Small Sample 1-Townhouse'!$A:$R,W$1,0),2)</f>
        <v>0.21</v>
      </c>
      <c r="X19" s="3" t="str">
        <f>FIXED(VLOOKUP($A19,'Small Sample 1-Townhouse'!$A:$R,X$1,0),2)</f>
        <v>0.41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2-Townhouse'!$A:$R,AA$1,0),2)</f>
        <v>0.20</v>
      </c>
      <c r="AB19" s="3" t="str">
        <f>FIXED(VLOOKUP($A19,'Small Sample 2-Townhouse'!$A:$R,AB$1,0),2)</f>
        <v>0.40</v>
      </c>
      <c r="AC19" s="3" t="str">
        <f>FIXED(VLOOKUP($A19,'Small Sample 2-Townhouse'!$A:$R,AC$1,0),2)</f>
        <v>0.00</v>
      </c>
      <c r="AD19" s="3" t="str">
        <f>FIXED(VLOOKUP($A19,'Small Sample 2-Townhouse'!$A:$R,AD$1,0),2)</f>
        <v>1.00</v>
      </c>
      <c r="AE19" s="9" t="str">
        <f>FIXED(VLOOKUP($A19,'Small Sample 2-Townhouse'!$A:$R,AE$1,0),2)</f>
        <v>0.52</v>
      </c>
      <c r="AF19" s="3" t="str">
        <f>FIXED(VLOOKUP($A19,'Small Sample 2-Townhouse'!$A:$R,AF$1,0),2)</f>
        <v>0.50</v>
      </c>
      <c r="AG19" s="3" t="str">
        <f>FIXED(VLOOKUP($A19,'Small Sample 2-Townhouse'!$A:$R,AG$1,0),2)</f>
        <v>0.00</v>
      </c>
      <c r="AH19" s="13" t="str">
        <f>FIXED(VLOOKUP($A19,'Small Sample 2-Townhouse'!$A:$R,AH$1,0),2)</f>
        <v>1.00</v>
      </c>
      <c r="AI19" s="9" t="str">
        <f>FIXED(VLOOKUP($A19,'Small Sample 2-Townhouse'!$A:$R,AI$1,0),2)</f>
        <v>0.18</v>
      </c>
      <c r="AJ19" s="3" t="str">
        <f>FIXED(VLOOKUP($A19,'Small Sample 2-Townhouse'!$A:$R,AJ$1,0),2)</f>
        <v>0.38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Sample-Townhouse'!$A:$R,C$1,0),2)</f>
        <v>0.52</v>
      </c>
      <c r="D20" s="3" t="str">
        <f>FIXED(VLOOKUP($A20,'Full Sample-Townhouse'!$A:$R,D$1,0),2)</f>
        <v>0.50</v>
      </c>
      <c r="E20" s="3" t="str">
        <f>FIXED(VLOOKUP($A20,'Full Sample-Townhouse'!$A:$R,E$1,0),2)</f>
        <v>0.00</v>
      </c>
      <c r="F20" s="3" t="str">
        <f>FIXED(VLOOKUP($A20,'Full Sample-Townhouse'!$A:$R,F$1,0),2)</f>
        <v>1.00</v>
      </c>
      <c r="G20" s="9" t="str">
        <f>FIXED(VLOOKUP($A20,'Full Sample-Townhouse'!$A:$R,G$1,0),2)</f>
        <v>0.51</v>
      </c>
      <c r="H20" s="3" t="str">
        <f>FIXED(VLOOKUP($A20,'Full Sample-Townhouse'!$A:$R,H$1,0),2)</f>
        <v>0.50</v>
      </c>
      <c r="I20" s="3" t="str">
        <f>FIXED(VLOOKUP($A20,'Full Sample-Townhouse'!$A:$R,I$1,0),2)</f>
        <v>0.00</v>
      </c>
      <c r="J20" s="13" t="str">
        <f>FIXED(VLOOKUP($A20,'Full Sample-Townhouse'!$A:$R,J$1,0),2)</f>
        <v>1.00</v>
      </c>
      <c r="K20" s="9" t="str">
        <f>FIXED(VLOOKUP($A20,'Full Sample-Townhouse'!$A:$R,K$1,0),2)</f>
        <v>0.55</v>
      </c>
      <c r="L20" s="3" t="str">
        <f>FIXED(VLOOKUP($A20,'Full Sample-Townhouse'!$A:$R,L$1,0),2)</f>
        <v>0.50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1-Townhouse'!$A:$R,O$1,0),2)</f>
        <v>0.54</v>
      </c>
      <c r="P20" s="3" t="str">
        <f>FIXED(VLOOKUP($A20,'Small Sample 1-Townhouse'!$A:$R,P$1,0),2)</f>
        <v>0.50</v>
      </c>
      <c r="Q20" s="3" t="str">
        <f>FIXED(VLOOKUP($A20,'Small Sample 1-Townhouse'!$A:$R,Q$1,0),2)</f>
        <v>0.00</v>
      </c>
      <c r="R20" s="3" t="str">
        <f>FIXED(VLOOKUP($A20,'Small Sample 1-Townhouse'!$A:$R,R$1,0),2)</f>
        <v>1.00</v>
      </c>
      <c r="S20" s="9" t="str">
        <f>FIXED(VLOOKUP($A20,'Small Sample 1-Townhouse'!$A:$R,S$1,0),2)</f>
        <v>2,017.66</v>
      </c>
      <c r="T20" s="3" t="str">
        <f>FIXED(VLOOKUP($A20,'Small Sample 1-Townhouse'!$A:$R,T$1,0),2)</f>
        <v>1.16</v>
      </c>
      <c r="U20" s="3" t="str">
        <f>FIXED(VLOOKUP($A20,'Small Sample 1-Townhouse'!$A:$R,U$1,0),2)</f>
        <v>2,016.00</v>
      </c>
      <c r="V20" s="13" t="str">
        <f>FIXED(VLOOKUP($A20,'Small Sample 1-Townhouse'!$A:$R,V$1,0),2)</f>
        <v>2,020.00</v>
      </c>
      <c r="W20" s="9" t="str">
        <f>FIXED(VLOOKUP($A20,'Small Sample 1-Townhouse'!$A:$R,W$1,0),2)</f>
        <v>0.55</v>
      </c>
      <c r="X20" s="3" t="str">
        <f>FIXED(VLOOKUP($A20,'Small Sample 1-Townhouse'!$A:$R,X$1,0),2)</f>
        <v>0.50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2-Townhouse'!$A:$R,AA$1,0),2)</f>
        <v>0.54</v>
      </c>
      <c r="AB20" s="3" t="str">
        <f>FIXED(VLOOKUP($A20,'Small Sample 2-Townhouse'!$A:$R,AB$1,0),2)</f>
        <v>0.50</v>
      </c>
      <c r="AC20" s="3" t="str">
        <f>FIXED(VLOOKUP($A20,'Small Sample 2-Townhouse'!$A:$R,AC$1,0),2)</f>
        <v>0.00</v>
      </c>
      <c r="AD20" s="3" t="str">
        <f>FIXED(VLOOKUP($A20,'Small Sample 2-Townhouse'!$A:$R,AD$1,0),2)</f>
        <v>1.00</v>
      </c>
      <c r="AE20" s="9" t="str">
        <f>FIXED(VLOOKUP($A20,'Small Sample 2-Townhouse'!$A:$R,AE$1,0),2)</f>
        <v>2,017.50</v>
      </c>
      <c r="AF20" s="3" t="str">
        <f>FIXED(VLOOKUP($A20,'Small Sample 2-Townhouse'!$A:$R,AF$1,0),2)</f>
        <v>1.16</v>
      </c>
      <c r="AG20" s="3" t="str">
        <f>FIXED(VLOOKUP($A20,'Small Sample 2-Townhouse'!$A:$R,AG$1,0),2)</f>
        <v>2,016.00</v>
      </c>
      <c r="AH20" s="13" t="str">
        <f>FIXED(VLOOKUP($A20,'Small Sample 2-Townhouse'!$A:$R,AH$1,0),2)</f>
        <v>2,020.00</v>
      </c>
      <c r="AI20" s="9" t="str">
        <f>FIXED(VLOOKUP($A20,'Small Sample 2-Townhouse'!$A:$R,AI$1,0),2)</f>
        <v>0.58</v>
      </c>
      <c r="AJ20" s="3" t="str">
        <f>FIXED(VLOOKUP($A20,'Small Sample 2-Townhouse'!$A:$R,AJ$1,0),2)</f>
        <v>0.49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Sample-Townhouse'!$A:$R,C$1,0),2)</f>
        <v>963.10</v>
      </c>
      <c r="D21" s="3" t="str">
        <f>FIXED(VLOOKUP($A21,'Full Sample-Townhouse'!$A:$R,D$1,0),2)</f>
        <v>437.41</v>
      </c>
      <c r="E21" s="3" t="str">
        <f>FIXED(VLOOKUP($A21,'Full Sample-Townhouse'!$A:$R,E$1,0),2)</f>
        <v>175.00</v>
      </c>
      <c r="F21" s="3" t="str">
        <f>FIXED(VLOOKUP($A21,'Full Sample-Townhouse'!$A:$R,F$1,0),2)</f>
        <v>11,155.00</v>
      </c>
      <c r="G21" s="9" t="str">
        <f>FIXED(VLOOKUP($A21,'Full Sample-Townhouse'!$A:$R,G$1,0),2)</f>
        <v>965.57</v>
      </c>
      <c r="H21" s="3" t="str">
        <f>FIXED(VLOOKUP($A21,'Full Sample-Townhouse'!$A:$R,H$1,0),2)</f>
        <v>434.83</v>
      </c>
      <c r="I21" s="3" t="str">
        <f>FIXED(VLOOKUP($A21,'Full Sample-Townhouse'!$A:$R,I$1,0),2)</f>
        <v>195.00</v>
      </c>
      <c r="J21" s="13" t="str">
        <f>FIXED(VLOOKUP($A21,'Full Sample-Townhouse'!$A:$R,J$1,0),2)</f>
        <v>7,582.00</v>
      </c>
      <c r="K21" s="9" t="str">
        <f>FIXED(VLOOKUP($A21,'Full Sample-Townhouse'!$A:$R,K$1,0),2)</f>
        <v>959.76</v>
      </c>
      <c r="L21" s="3" t="str">
        <f>FIXED(VLOOKUP($A21,'Full Sample-Townhouse'!$A:$R,L$1,0),2)</f>
        <v>440.88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1-Townhouse'!$A:$R,O$1,0),2)</f>
        <v>954.76</v>
      </c>
      <c r="P21" s="3" t="str">
        <f>FIXED(VLOOKUP($A21,'Small Sample 1-Townhouse'!$A:$R,P$1,0),2)</f>
        <v>439.50</v>
      </c>
      <c r="Q21" s="3" t="str">
        <f>FIXED(VLOOKUP($A21,'Small Sample 1-Townhouse'!$A:$R,Q$1,0),2)</f>
        <v>175.00</v>
      </c>
      <c r="R21" s="3" t="str">
        <f>FIXED(VLOOKUP($A21,'Small Sample 1-Townhouse'!$A:$R,R$1,0),2)</f>
        <v>11,155.00</v>
      </c>
      <c r="S21" s="9" t="str">
        <f>FIXED(VLOOKUP($A21,'Small Sample 1-Townhouse'!$A:$R,S$1,0),2)</f>
        <v>4.64</v>
      </c>
      <c r="T21" s="3" t="str">
        <f>FIXED(VLOOKUP($A21,'Small Sample 1-Townhouse'!$A:$R,T$1,0),2)</f>
        <v>6.63</v>
      </c>
      <c r="U21" s="3" t="str">
        <f>FIXED(VLOOKUP($A21,'Small Sample 1-Townhouse'!$A:$R,U$1,0),2)</f>
        <v>0.01</v>
      </c>
      <c r="V21" s="13" t="str">
        <f>FIXED(VLOOKUP($A21,'Small Sample 1-Townhouse'!$A:$R,V$1,0),2)</f>
        <v>52.78</v>
      </c>
      <c r="W21" s="9" t="str">
        <f>FIXED(VLOOKUP($A21,'Small Sample 1-Townhouse'!$A:$R,W$1,0),2)</f>
        <v>958.31</v>
      </c>
      <c r="X21" s="3" t="str">
        <f>FIXED(VLOOKUP($A21,'Small Sample 1-Townhouse'!$A:$R,X$1,0),2)</f>
        <v>441.55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2-Townhouse'!$A:$R,AA$1,0),2)</f>
        <v>954.48</v>
      </c>
      <c r="AB21" s="3" t="str">
        <f>FIXED(VLOOKUP($A21,'Small Sample 2-Townhouse'!$A:$R,AB$1,0),2)</f>
        <v>439.67</v>
      </c>
      <c r="AC21" s="3" t="str">
        <f>FIXED(VLOOKUP($A21,'Small Sample 2-Townhouse'!$A:$R,AC$1,0),2)</f>
        <v>175.00</v>
      </c>
      <c r="AD21" s="3" t="str">
        <f>FIXED(VLOOKUP($A21,'Small Sample 2-Townhouse'!$A:$R,AD$1,0),2)</f>
        <v>11,155.00</v>
      </c>
      <c r="AE21" s="9" t="str">
        <f>FIXED(VLOOKUP($A21,'Small Sample 2-Townhouse'!$A:$R,AE$1,0),2)</f>
        <v>4.87</v>
      </c>
      <c r="AF21" s="3" t="str">
        <f>FIXED(VLOOKUP($A21,'Small Sample 2-Townhouse'!$A:$R,AF$1,0),2)</f>
        <v>6.82</v>
      </c>
      <c r="AG21" s="3" t="str">
        <f>FIXED(VLOOKUP($A21,'Small Sample 2-Townhouse'!$A:$R,AG$1,0),2)</f>
        <v>0.01</v>
      </c>
      <c r="AH21" s="13" t="str">
        <f>FIXED(VLOOKUP($A21,'Small Sample 2-Townhouse'!$A:$R,AH$1,0),2)</f>
        <v>52.78</v>
      </c>
      <c r="AI21" s="9" t="str">
        <f>FIXED(VLOOKUP($A21,'Small Sample 2-Townhouse'!$A:$R,AI$1,0),2)</f>
        <v>941.31</v>
      </c>
      <c r="AJ21" s="3" t="str">
        <f>FIXED(VLOOKUP($A21,'Small Sample 2-Townhouse'!$A:$R,AJ$1,0),2)</f>
        <v>445.80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Sample-Townhouse'!$A:$R,C$1,0),2)</f>
        <v>35.39</v>
      </c>
      <c r="D22" s="3" t="str">
        <f>FIXED(VLOOKUP($A22,'Full Sample-Townhouse'!$A:$R,D$1,0),2)</f>
        <v>16.00</v>
      </c>
      <c r="E22" s="3" t="str">
        <f>FIXED(VLOOKUP($A22,'Full Sample-Townhouse'!$A:$R,E$1,0),2)</f>
        <v>0.00</v>
      </c>
      <c r="F22" s="3" t="str">
        <f>FIXED(VLOOKUP($A22,'Full Sample-Townhouse'!$A:$R,F$1,0),2)</f>
        <v>90.00</v>
      </c>
      <c r="G22" s="9" t="str">
        <f>FIXED(VLOOKUP($A22,'Full Sample-Townhouse'!$A:$R,G$1,0),2)</f>
        <v>34.12</v>
      </c>
      <c r="H22" s="3" t="str">
        <f>FIXED(VLOOKUP($A22,'Full Sample-Townhouse'!$A:$R,H$1,0),2)</f>
        <v>15.64</v>
      </c>
      <c r="I22" s="3" t="str">
        <f>FIXED(VLOOKUP($A22,'Full Sample-Townhouse'!$A:$R,I$1,0),2)</f>
        <v>0.00</v>
      </c>
      <c r="J22" s="13" t="str">
        <f>FIXED(VLOOKUP($A22,'Full Sample-Townhouse'!$A:$R,J$1,0),2)</f>
        <v>90.00</v>
      </c>
      <c r="K22" s="9" t="str">
        <f>FIXED(VLOOKUP($A22,'Full Sample-Townhouse'!$A:$R,K$1,0),2)</f>
        <v>37.10</v>
      </c>
      <c r="L22" s="3" t="str">
        <f>FIXED(VLOOKUP($A22,'Full Sample-Townhouse'!$A:$R,L$1,0),2)</f>
        <v>16.32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1-Townhouse'!$A:$R,O$1,0),2)</f>
        <v>35.92</v>
      </c>
      <c r="P22" s="3" t="str">
        <f>FIXED(VLOOKUP($A22,'Small Sample 1-Townhouse'!$A:$R,P$1,0),2)</f>
        <v>16.04</v>
      </c>
      <c r="Q22" s="3" t="str">
        <f>FIXED(VLOOKUP($A22,'Small Sample 1-Townhouse'!$A:$R,Q$1,0),2)</f>
        <v>0.00</v>
      </c>
      <c r="R22" s="3" t="str">
        <f>FIXED(VLOOKUP($A22,'Small Sample 1-Townhouse'!$A:$R,R$1,0),2)</f>
        <v>90.00</v>
      </c>
      <c r="S22" s="9" t="str">
        <f>FIXED(VLOOKUP($A22,'Small Sample 1-Townhouse'!$A:$R,S$1,0),2)</f>
        <v>1.46</v>
      </c>
      <c r="T22" s="3" t="str">
        <f>FIXED(VLOOKUP($A22,'Small Sample 1-Townhouse'!$A:$R,T$1,0),2)</f>
        <v>0.97</v>
      </c>
      <c r="U22" s="3" t="str">
        <f>FIXED(VLOOKUP($A22,'Small Sample 1-Townhouse'!$A:$R,U$1,0),2)</f>
        <v>0.00</v>
      </c>
      <c r="V22" s="13" t="str">
        <f>FIXED(VLOOKUP($A22,'Small Sample 1-Townhouse'!$A:$R,V$1,0),2)</f>
        <v>8.10</v>
      </c>
      <c r="W22" s="9" t="str">
        <f>FIXED(VLOOKUP($A22,'Small Sample 1-Townhouse'!$A:$R,W$1,0),2)</f>
        <v>37.13</v>
      </c>
      <c r="X22" s="3" t="str">
        <f>FIXED(VLOOKUP($A22,'Small Sample 1-Townhouse'!$A:$R,X$1,0),2)</f>
        <v>16.34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2-Townhouse'!$A:$R,AA$1,0),2)</f>
        <v>35.42</v>
      </c>
      <c r="AB22" s="3" t="str">
        <f>FIXED(VLOOKUP($A22,'Small Sample 2-Townhouse'!$A:$R,AB$1,0),2)</f>
        <v>16.10</v>
      </c>
      <c r="AC22" s="3" t="str">
        <f>FIXED(VLOOKUP($A22,'Small Sample 2-Townhouse'!$A:$R,AC$1,0),2)</f>
        <v>0.00</v>
      </c>
      <c r="AD22" s="3" t="str">
        <f>FIXED(VLOOKUP($A22,'Small Sample 2-Townhouse'!$A:$R,AD$1,0),2)</f>
        <v>90.00</v>
      </c>
      <c r="AE22" s="9" t="str">
        <f>FIXED(VLOOKUP($A22,'Small Sample 2-Townhouse'!$A:$R,AE$1,0),2)</f>
        <v>1.42</v>
      </c>
      <c r="AF22" s="3" t="str">
        <f>FIXED(VLOOKUP($A22,'Small Sample 2-Townhouse'!$A:$R,AF$1,0),2)</f>
        <v>0.96</v>
      </c>
      <c r="AG22" s="3" t="str">
        <f>FIXED(VLOOKUP($A22,'Small Sample 2-Townhouse'!$A:$R,AG$1,0),2)</f>
        <v>0.00</v>
      </c>
      <c r="AH22" s="13" t="str">
        <f>FIXED(VLOOKUP($A22,'Small Sample 2-Townhouse'!$A:$R,AH$1,0),2)</f>
        <v>8.10</v>
      </c>
      <c r="AI22" s="9" t="str">
        <f>FIXED(VLOOKUP($A22,'Small Sample 2-Townhouse'!$A:$R,AI$1,0),2)</f>
        <v>37.49</v>
      </c>
      <c r="AJ22" s="3" t="str">
        <f>FIXED(VLOOKUP($A22,'Small Sample 2-Townhouse'!$A:$R,AJ$1,0),2)</f>
        <v>16.60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Sample-Townhouse'!$A:$R,C$1,0),2)</f>
        <v>1.51</v>
      </c>
      <c r="D23" s="3" t="str">
        <f>FIXED(VLOOKUP($A23,'Full Sample-Townhouse'!$A:$R,D$1,0),2)</f>
        <v>1.02</v>
      </c>
      <c r="E23" s="3" t="str">
        <f>FIXED(VLOOKUP($A23,'Full Sample-Townhouse'!$A:$R,E$1,0),2)</f>
        <v>0.00</v>
      </c>
      <c r="F23" s="3" t="str">
        <f>FIXED(VLOOKUP($A23,'Full Sample-Townhouse'!$A:$R,F$1,0),2)</f>
        <v>8.10</v>
      </c>
      <c r="G23" s="9" t="str">
        <f>FIXED(VLOOKUP($A23,'Full Sample-Townhouse'!$A:$R,G$1,0),2)</f>
        <v>1.41</v>
      </c>
      <c r="H23" s="3" t="str">
        <f>FIXED(VLOOKUP($A23,'Full Sample-Townhouse'!$A:$R,H$1,0),2)</f>
        <v>0.96</v>
      </c>
      <c r="I23" s="3" t="str">
        <f>FIXED(VLOOKUP($A23,'Full Sample-Townhouse'!$A:$R,I$1,0),2)</f>
        <v>0.00</v>
      </c>
      <c r="J23" s="13" t="str">
        <f>FIXED(VLOOKUP($A23,'Full Sample-Townhouse'!$A:$R,J$1,0),2)</f>
        <v>8.10</v>
      </c>
      <c r="K23" s="9" t="str">
        <f>FIXED(VLOOKUP($A23,'Full Sample-Townhouse'!$A:$R,K$1,0),2)</f>
        <v>1.64</v>
      </c>
      <c r="L23" s="3" t="str">
        <f>FIXED(VLOOKUP($A23,'Full Sample-Townhouse'!$A:$R,L$1,0),2)</f>
        <v>1.07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1-Townhouse'!$A:$R,O$1,0),2)</f>
        <v>1.55</v>
      </c>
      <c r="P23" s="3" t="str">
        <f>FIXED(VLOOKUP($A23,'Small Sample 1-Townhouse'!$A:$R,P$1,0),2)</f>
        <v>1.02</v>
      </c>
      <c r="Q23" s="3" t="str">
        <f>FIXED(VLOOKUP($A23,'Small Sample 1-Townhouse'!$A:$R,Q$1,0),2)</f>
        <v>0.00</v>
      </c>
      <c r="R23" s="3" t="str">
        <f>FIXED(VLOOKUP($A23,'Small Sample 1-Townhouse'!$A:$R,R$1,0),2)</f>
        <v>8.10</v>
      </c>
      <c r="S23" s="9" t="str">
        <f>FIXED(VLOOKUP($A23,'Small Sample 1-Townhouse'!$A:$R,S$1,0),2)</f>
        <v>1.40</v>
      </c>
      <c r="T23" s="3" t="str">
        <f>FIXED(VLOOKUP($A23,'Small Sample 1-Townhouse'!$A:$R,T$1,0),2)</f>
        <v>3.86</v>
      </c>
      <c r="U23" s="3" t="str">
        <f>FIXED(VLOOKUP($A23,'Small Sample 1-Townhouse'!$A:$R,U$1,0),2)</f>
        <v>0.00</v>
      </c>
      <c r="V23" s="13" t="str">
        <f>FIXED(VLOOKUP($A23,'Small Sample 1-Townhouse'!$A:$R,V$1,0),2)</f>
        <v>57.00</v>
      </c>
      <c r="W23" s="9" t="str">
        <f>FIXED(VLOOKUP($A23,'Small Sample 1-Townhouse'!$A:$R,W$1,0),2)</f>
        <v>1.65</v>
      </c>
      <c r="X23" s="3" t="str">
        <f>FIXED(VLOOKUP($A23,'Small Sample 1-Townhouse'!$A:$R,X$1,0),2)</f>
        <v>1.07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2-Townhouse'!$A:$R,AA$1,0),2)</f>
        <v>1.51</v>
      </c>
      <c r="AB23" s="3" t="str">
        <f>FIXED(VLOOKUP($A23,'Small Sample 2-Townhouse'!$A:$R,AB$1,0),2)</f>
        <v>1.01</v>
      </c>
      <c r="AC23" s="3" t="str">
        <f>FIXED(VLOOKUP($A23,'Small Sample 2-Townhouse'!$A:$R,AC$1,0),2)</f>
        <v>0.00</v>
      </c>
      <c r="AD23" s="3" t="str">
        <f>FIXED(VLOOKUP($A23,'Small Sample 2-Townhouse'!$A:$R,AD$1,0),2)</f>
        <v>8.10</v>
      </c>
      <c r="AE23" s="9" t="str">
        <f>FIXED(VLOOKUP($A23,'Small Sample 2-Townhouse'!$A:$R,AE$1,0),2)</f>
        <v>1.40</v>
      </c>
      <c r="AF23" s="3" t="str">
        <f>FIXED(VLOOKUP($A23,'Small Sample 2-Townhouse'!$A:$R,AF$1,0),2)</f>
        <v>3.91</v>
      </c>
      <c r="AG23" s="3" t="str">
        <f>FIXED(VLOOKUP($A23,'Small Sample 2-Townhouse'!$A:$R,AG$1,0),2)</f>
        <v>0.00</v>
      </c>
      <c r="AH23" s="13" t="str">
        <f>FIXED(VLOOKUP($A23,'Small Sample 2-Townhouse'!$A:$R,AH$1,0),2)</f>
        <v>57.00</v>
      </c>
      <c r="AI23" s="9" t="str">
        <f>FIXED(VLOOKUP($A23,'Small Sample 2-Townhouse'!$A:$R,AI$1,0),2)</f>
        <v>1.68</v>
      </c>
      <c r="AJ23" s="3" t="str">
        <f>FIXED(VLOOKUP($A23,'Small Sample 2-Townhouse'!$A:$R,AJ$1,0),2)</f>
        <v>1.07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Sample-Townhouse'!$A:$R,C$1,0),2)</f>
        <v>0.00</v>
      </c>
      <c r="D24" s="3" t="str">
        <f>FIXED(VLOOKUP($A24,'Full Sample-Townhouse'!$A:$R,D$1,0),2)</f>
        <v>0.04</v>
      </c>
      <c r="E24" s="3" t="str">
        <f>FIXED(VLOOKUP($A24,'Full Sample-Townhouse'!$A:$R,E$1,0),2)</f>
        <v>0.00</v>
      </c>
      <c r="F24" s="3" t="str">
        <f>FIXED(VLOOKUP($A24,'Full Sample-Townhouse'!$A:$R,F$1,0),2)</f>
        <v>1.00</v>
      </c>
      <c r="G24" s="9" t="str">
        <f>FIXED(VLOOKUP($A24,'Full Sample-Townhouse'!$A:$R,G$1,0),2)</f>
        <v>0.00</v>
      </c>
      <c r="H24" s="3" t="str">
        <f>FIXED(VLOOKUP($A24,'Full Sample-Townhouse'!$A:$R,H$1,0),2)</f>
        <v>0.03</v>
      </c>
      <c r="I24" s="3" t="str">
        <f>FIXED(VLOOKUP($A24,'Full Sample-Townhouse'!$A:$R,I$1,0),2)</f>
        <v>0.00</v>
      </c>
      <c r="J24" s="13" t="str">
        <f>FIXED(VLOOKUP($A24,'Full Sample-Townhouse'!$A:$R,J$1,0),2)</f>
        <v>1.00</v>
      </c>
      <c r="K24" s="9" t="str">
        <f>FIXED(VLOOKUP($A24,'Full Sample-Townhouse'!$A:$R,K$1,0),2)</f>
        <v>0.00</v>
      </c>
      <c r="L24" s="3" t="str">
        <f>FIXED(VLOOKUP($A24,'Full Sample-Townhouse'!$A:$R,L$1,0),2)</f>
        <v>0.04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1-Townhouse'!$A:$R,O$1,0),2)</f>
        <v>0.00</v>
      </c>
      <c r="P24" s="3" t="str">
        <f>FIXED(VLOOKUP($A24,'Small Sample 1-Townhouse'!$A:$R,P$1,0),2)</f>
        <v>0.04</v>
      </c>
      <c r="Q24" s="3" t="str">
        <f>FIXED(VLOOKUP($A24,'Small Sample 1-Townhouse'!$A:$R,Q$1,0),2)</f>
        <v>0.00</v>
      </c>
      <c r="R24" s="3" t="str">
        <f>FIXED(VLOOKUP($A24,'Small Sample 1-Townhouse'!$A:$R,R$1,0),2)</f>
        <v>1.00</v>
      </c>
      <c r="S24" s="9" t="str">
        <f>FIXED(VLOOKUP($A24,'Small Sample 1-Townhouse'!$A:$R,S$1,0),2)</f>
        <v>0.03</v>
      </c>
      <c r="T24" s="3" t="str">
        <f>FIXED(VLOOKUP($A24,'Small Sample 1-Townhouse'!$A:$R,T$1,0),2)</f>
        <v>0.17</v>
      </c>
      <c r="U24" s="3" t="str">
        <f>FIXED(VLOOKUP($A24,'Small Sample 1-Townhouse'!$A:$R,U$1,0),2)</f>
        <v>0.00</v>
      </c>
      <c r="V24" s="13" t="str">
        <f>FIXED(VLOOKUP($A24,'Small Sample 1-Townhouse'!$A:$R,V$1,0),2)</f>
        <v>1.00</v>
      </c>
      <c r="W24" s="9" t="str">
        <f>FIXED(VLOOKUP($A24,'Small Sample 1-Townhouse'!$A:$R,W$1,0),2)</f>
        <v>0.00</v>
      </c>
      <c r="X24" s="3" t="str">
        <f>FIXED(VLOOKUP($A24,'Small Sample 1-Townhouse'!$A:$R,X$1,0),2)</f>
        <v>0.04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2-Townhouse'!$A:$R,AA$1,0),2)</f>
        <v>0.00</v>
      </c>
      <c r="AB24" s="3" t="str">
        <f>FIXED(VLOOKUP($A24,'Small Sample 2-Townhouse'!$A:$R,AB$1,0),2)</f>
        <v>0.04</v>
      </c>
      <c r="AC24" s="3" t="str">
        <f>FIXED(VLOOKUP($A24,'Small Sample 2-Townhouse'!$A:$R,AC$1,0),2)</f>
        <v>0.00</v>
      </c>
      <c r="AD24" s="3" t="str">
        <f>FIXED(VLOOKUP($A24,'Small Sample 2-Townhouse'!$A:$R,AD$1,0),2)</f>
        <v>1.00</v>
      </c>
      <c r="AE24" s="9" t="str">
        <f>FIXED(VLOOKUP($A24,'Small Sample 2-Townhouse'!$A:$R,AE$1,0),2)</f>
        <v>0.03</v>
      </c>
      <c r="AF24" s="3" t="str">
        <f>FIXED(VLOOKUP($A24,'Small Sample 2-Townhouse'!$A:$R,AF$1,0),2)</f>
        <v>0.17</v>
      </c>
      <c r="AG24" s="3" t="str">
        <f>FIXED(VLOOKUP($A24,'Small Sample 2-Townhouse'!$A:$R,AG$1,0),2)</f>
        <v>0.00</v>
      </c>
      <c r="AH24" s="13" t="str">
        <f>FIXED(VLOOKUP($A24,'Small Sample 2-Townhouse'!$A:$R,AH$1,0),2)</f>
        <v>1.00</v>
      </c>
      <c r="AI24" s="9" t="str">
        <f>FIXED(VLOOKUP($A24,'Small Sample 2-Townhouse'!$A:$R,AI$1,0),2)</f>
        <v>0.00</v>
      </c>
      <c r="AJ24" s="3" t="str">
        <f>FIXED(VLOOKUP($A24,'Small Sample 2-Townhouse'!$A:$R,AJ$1,0),2)</f>
        <v>0.04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Sample-Townhouse'!$A:$R,C$1,0),2)</f>
        <v>0.17</v>
      </c>
      <c r="D25" s="3" t="str">
        <f>FIXED(VLOOKUP($A25,'Full Sample-Townhouse'!$A:$R,D$1,0),2)</f>
        <v>0.38</v>
      </c>
      <c r="E25" s="3" t="str">
        <f>FIXED(VLOOKUP($A25,'Full Sample-Townhouse'!$A:$R,E$1,0),2)</f>
        <v>0.00</v>
      </c>
      <c r="F25" s="3" t="str">
        <f>FIXED(VLOOKUP($A25,'Full Sample-Townhouse'!$A:$R,F$1,0),2)</f>
        <v>1.00</v>
      </c>
      <c r="G25" s="9" t="str">
        <f>FIXED(VLOOKUP($A25,'Full Sample-Townhouse'!$A:$R,G$1,0),2)</f>
        <v>0.17</v>
      </c>
      <c r="H25" s="3" t="str">
        <f>FIXED(VLOOKUP($A25,'Full Sample-Townhouse'!$A:$R,H$1,0),2)</f>
        <v>0.38</v>
      </c>
      <c r="I25" s="3" t="str">
        <f>FIXED(VLOOKUP($A25,'Full Sample-Townhouse'!$A:$R,I$1,0),2)</f>
        <v>0.00</v>
      </c>
      <c r="J25" s="13" t="str">
        <f>FIXED(VLOOKUP($A25,'Full Sample-Townhouse'!$A:$R,J$1,0),2)</f>
        <v>1.00</v>
      </c>
      <c r="K25" s="9" t="str">
        <f>FIXED(VLOOKUP($A25,'Full Sample-Townhouse'!$A:$R,K$1,0),2)</f>
        <v>0.18</v>
      </c>
      <c r="L25" s="3" t="str">
        <f>FIXED(VLOOKUP($A25,'Full Sample-Townhouse'!$A:$R,L$1,0),2)</f>
        <v>0.38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1-Townhouse'!$A:$R,O$1,0),2)</f>
        <v>0.17</v>
      </c>
      <c r="P25" s="3" t="str">
        <f>FIXED(VLOOKUP($A25,'Small Sample 1-Townhouse'!$A:$R,P$1,0),2)</f>
        <v>0.38</v>
      </c>
      <c r="Q25" s="3" t="str">
        <f>FIXED(VLOOKUP($A25,'Small Sample 1-Townhouse'!$A:$R,Q$1,0),2)</f>
        <v>0.00</v>
      </c>
      <c r="R25" s="3" t="str">
        <f>FIXED(VLOOKUP($A25,'Small Sample 1-Townhouse'!$A:$R,R$1,0),2)</f>
        <v>1.00</v>
      </c>
      <c r="S25" s="9" t="str">
        <f>FIXED(VLOOKUP($A25,'Small Sample 1-Townhouse'!$A:$R,S$1,0),2)</f>
        <v>0.38</v>
      </c>
      <c r="T25" s="3" t="str">
        <f>FIXED(VLOOKUP($A25,'Small Sample 1-Townhouse'!$A:$R,T$1,0),2)</f>
        <v>0.49</v>
      </c>
      <c r="U25" s="3" t="str">
        <f>FIXED(VLOOKUP($A25,'Small Sample 1-Townhouse'!$A:$R,U$1,0),2)</f>
        <v>0.00</v>
      </c>
      <c r="V25" s="13" t="str">
        <f>FIXED(VLOOKUP($A25,'Small Sample 1-Townhouse'!$A:$R,V$1,0),2)</f>
        <v>1.00</v>
      </c>
      <c r="W25" s="9" t="str">
        <f>FIXED(VLOOKUP($A25,'Small Sample 1-Townhouse'!$A:$R,W$1,0),2)</f>
        <v>0.17</v>
      </c>
      <c r="X25" s="3" t="str">
        <f>FIXED(VLOOKUP($A25,'Small Sample 1-Townhouse'!$A:$R,X$1,0),2)</f>
        <v>0.38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2-Townhouse'!$A:$R,AA$1,0),2)</f>
        <v>0.19</v>
      </c>
      <c r="AB25" s="3" t="str">
        <f>FIXED(VLOOKUP($A25,'Small Sample 2-Townhouse'!$A:$R,AB$1,0),2)</f>
        <v>0.39</v>
      </c>
      <c r="AC25" s="3" t="str">
        <f>FIXED(VLOOKUP($A25,'Small Sample 2-Townhouse'!$A:$R,AC$1,0),2)</f>
        <v>0.00</v>
      </c>
      <c r="AD25" s="3" t="str">
        <f>FIXED(VLOOKUP($A25,'Small Sample 2-Townhouse'!$A:$R,AD$1,0),2)</f>
        <v>1.00</v>
      </c>
      <c r="AE25" s="9" t="str">
        <f>FIXED(VLOOKUP($A25,'Small Sample 2-Townhouse'!$A:$R,AE$1,0),2)</f>
        <v>0.37</v>
      </c>
      <c r="AF25" s="3" t="str">
        <f>FIXED(VLOOKUP($A25,'Small Sample 2-Townhouse'!$A:$R,AF$1,0),2)</f>
        <v>0.48</v>
      </c>
      <c r="AG25" s="3" t="str">
        <f>FIXED(VLOOKUP($A25,'Small Sample 2-Townhouse'!$A:$R,AG$1,0),2)</f>
        <v>0.00</v>
      </c>
      <c r="AH25" s="13" t="str">
        <f>FIXED(VLOOKUP($A25,'Small Sample 2-Townhouse'!$A:$R,AH$1,0),2)</f>
        <v>1.00</v>
      </c>
      <c r="AI25" s="9" t="str">
        <f>FIXED(VLOOKUP($A25,'Small Sample 2-Townhouse'!$A:$R,AI$1,0),2)</f>
        <v>0.19</v>
      </c>
      <c r="AJ25" s="3" t="str">
        <f>FIXED(VLOOKUP($A25,'Small Sample 2-Townhouse'!$A:$R,AJ$1,0),2)</f>
        <v>0.40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Sample-Townhouse'!$A:$R,C$1,0),2)</f>
        <v>0.36</v>
      </c>
      <c r="D26" s="3" t="str">
        <f>FIXED(VLOOKUP($A26,'Full Sample-Townhouse'!$A:$R,D$1,0),2)</f>
        <v>0.48</v>
      </c>
      <c r="E26" s="3" t="str">
        <f>FIXED(VLOOKUP($A26,'Full Sample-Townhouse'!$A:$R,E$1,0),2)</f>
        <v>0.00</v>
      </c>
      <c r="F26" s="3" t="str">
        <f>FIXED(VLOOKUP($A26,'Full Sample-Townhouse'!$A:$R,F$1,0),2)</f>
        <v>1.00</v>
      </c>
      <c r="G26" s="9" t="str">
        <f>FIXED(VLOOKUP($A26,'Full Sample-Townhouse'!$A:$R,G$1,0),2)</f>
        <v>0.38</v>
      </c>
      <c r="H26" s="3" t="str">
        <f>FIXED(VLOOKUP($A26,'Full Sample-Townhouse'!$A:$R,H$1,0),2)</f>
        <v>0.48</v>
      </c>
      <c r="I26" s="3" t="str">
        <f>FIXED(VLOOKUP($A26,'Full Sample-Townhouse'!$A:$R,I$1,0),2)</f>
        <v>0.00</v>
      </c>
      <c r="J26" s="13" t="str">
        <f>FIXED(VLOOKUP($A26,'Full Sample-Townhouse'!$A:$R,J$1,0),2)</f>
        <v>1.00</v>
      </c>
      <c r="K26" s="9" t="str">
        <f>FIXED(VLOOKUP($A26,'Full Sample-Townhouse'!$A:$R,K$1,0),2)</f>
        <v>0.34</v>
      </c>
      <c r="L26" s="3" t="str">
        <f>FIXED(VLOOKUP($A26,'Full Sample-Townhouse'!$A:$R,L$1,0),2)</f>
        <v>0.47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1-Townhouse'!$A:$R,O$1,0),2)</f>
        <v>0.36</v>
      </c>
      <c r="P26" s="3" t="str">
        <f>FIXED(VLOOKUP($A26,'Small Sample 1-Townhouse'!$A:$R,P$1,0),2)</f>
        <v>0.48</v>
      </c>
      <c r="Q26" s="3" t="str">
        <f>FIXED(VLOOKUP($A26,'Small Sample 1-Townhouse'!$A:$R,Q$1,0),2)</f>
        <v>0.00</v>
      </c>
      <c r="R26" s="3" t="str">
        <f>FIXED(VLOOKUP($A26,'Small Sample 1-Townhouse'!$A:$R,R$1,0),2)</f>
        <v>1.00</v>
      </c>
      <c r="S26" s="9" t="str">
        <f>FIXED(VLOOKUP($A26,'Small Sample 1-Townhouse'!$A:$R,S$1,0),2)</f>
        <v>0.43</v>
      </c>
      <c r="T26" s="3" t="str">
        <f>FIXED(VLOOKUP($A26,'Small Sample 1-Townhouse'!$A:$R,T$1,0),2)</f>
        <v>0.49</v>
      </c>
      <c r="U26" s="3" t="str">
        <f>FIXED(VLOOKUP($A26,'Small Sample 1-Townhouse'!$A:$R,U$1,0),2)</f>
        <v>0.00</v>
      </c>
      <c r="V26" s="13" t="str">
        <f>FIXED(VLOOKUP($A26,'Small Sample 1-Townhouse'!$A:$R,V$1,0),2)</f>
        <v>1.00</v>
      </c>
      <c r="W26" s="9" t="str">
        <f>FIXED(VLOOKUP($A26,'Small Sample 1-Townhouse'!$A:$R,W$1,0),2)</f>
        <v>0.34</v>
      </c>
      <c r="X26" s="3" t="str">
        <f>FIXED(VLOOKUP($A26,'Small Sample 1-Townhouse'!$A:$R,X$1,0),2)</f>
        <v>0.47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2-Townhouse'!$A:$R,AA$1,0),2)</f>
        <v>0.36</v>
      </c>
      <c r="AB26" s="3" t="str">
        <f>FIXED(VLOOKUP($A26,'Small Sample 2-Townhouse'!$A:$R,AB$1,0),2)</f>
        <v>0.48</v>
      </c>
      <c r="AC26" s="3" t="str">
        <f>FIXED(VLOOKUP($A26,'Small Sample 2-Townhouse'!$A:$R,AC$1,0),2)</f>
        <v>0.00</v>
      </c>
      <c r="AD26" s="3" t="str">
        <f>FIXED(VLOOKUP($A26,'Small Sample 2-Townhouse'!$A:$R,AD$1,0),2)</f>
        <v>1.00</v>
      </c>
      <c r="AE26" s="9" t="str">
        <f>FIXED(VLOOKUP($A26,'Small Sample 2-Townhouse'!$A:$R,AE$1,0),2)</f>
        <v>0.42</v>
      </c>
      <c r="AF26" s="3" t="str">
        <f>FIXED(VLOOKUP($A26,'Small Sample 2-Townhouse'!$A:$R,AF$1,0),2)</f>
        <v>0.49</v>
      </c>
      <c r="AG26" s="3" t="str">
        <f>FIXED(VLOOKUP($A26,'Small Sample 2-Townhouse'!$A:$R,AG$1,0),2)</f>
        <v>0.00</v>
      </c>
      <c r="AH26" s="13" t="str">
        <f>FIXED(VLOOKUP($A26,'Small Sample 2-Townhouse'!$A:$R,AH$1,0),2)</f>
        <v>1.00</v>
      </c>
      <c r="AI26" s="9" t="str">
        <f>FIXED(VLOOKUP($A26,'Small Sample 2-Townhouse'!$A:$R,AI$1,0),2)</f>
        <v>0.33</v>
      </c>
      <c r="AJ26" s="3" t="str">
        <f>FIXED(VLOOKUP($A26,'Small Sample 2-Townhouse'!$A:$R,AJ$1,0),2)</f>
        <v>0.47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Sample-Townhouse'!$A:$R,C$1,0),2)</f>
        <v>0.44</v>
      </c>
      <c r="D27" s="3" t="str">
        <f>FIXED(VLOOKUP($A27,'Full Sample-Townhouse'!$A:$R,D$1,0),2)</f>
        <v>0.50</v>
      </c>
      <c r="E27" s="3" t="str">
        <f>FIXED(VLOOKUP($A27,'Full Sample-Townhouse'!$A:$R,E$1,0),2)</f>
        <v>0.00</v>
      </c>
      <c r="F27" s="3" t="str">
        <f>FIXED(VLOOKUP($A27,'Full Sample-Townhouse'!$A:$R,F$1,0),2)</f>
        <v>1.00</v>
      </c>
      <c r="G27" s="9" t="str">
        <f>FIXED(VLOOKUP($A27,'Full Sample-Townhouse'!$A:$R,G$1,0),2)</f>
        <v>0.43</v>
      </c>
      <c r="H27" s="3" t="str">
        <f>FIXED(VLOOKUP($A27,'Full Sample-Townhouse'!$A:$R,H$1,0),2)</f>
        <v>0.49</v>
      </c>
      <c r="I27" s="3" t="str">
        <f>FIXED(VLOOKUP($A27,'Full Sample-Townhouse'!$A:$R,I$1,0),2)</f>
        <v>0.00</v>
      </c>
      <c r="J27" s="13" t="str">
        <f>FIXED(VLOOKUP($A27,'Full Sample-Townhouse'!$A:$R,J$1,0),2)</f>
        <v>1.00</v>
      </c>
      <c r="K27" s="9" t="str">
        <f>FIXED(VLOOKUP($A27,'Full Sample-Townhouse'!$A:$R,K$1,0),2)</f>
        <v>0.46</v>
      </c>
      <c r="L27" s="3" t="str">
        <f>FIXED(VLOOKUP($A27,'Full Sample-Townhouse'!$A:$R,L$1,0),2)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1-Townhouse'!$A:$R,O$1,0),2)</f>
        <v>0.44</v>
      </c>
      <c r="P27" s="3" t="str">
        <f>FIXED(VLOOKUP($A27,'Small Sample 1-Townhouse'!$A:$R,P$1,0),2)</f>
        <v>0.50</v>
      </c>
      <c r="Q27" s="3" t="str">
        <f>FIXED(VLOOKUP($A27,'Small Sample 1-Townhouse'!$A:$R,Q$1,0),2)</f>
        <v>0.00</v>
      </c>
      <c r="R27" s="3" t="str">
        <f>FIXED(VLOOKUP($A27,'Small Sample 1-Townhouse'!$A:$R,R$1,0),2)</f>
        <v>1.00</v>
      </c>
      <c r="S27" s="9" t="str">
        <f>FIXED(VLOOKUP($A27,'Small Sample 1-Townhouse'!$A:$R,S$1,0),2)</f>
        <v>0.02</v>
      </c>
      <c r="T27" s="3" t="str">
        <f>FIXED(VLOOKUP($A27,'Small Sample 1-Townhouse'!$A:$R,T$1,0),2)</f>
        <v>0.15</v>
      </c>
      <c r="U27" s="3" t="str">
        <f>FIXED(VLOOKUP($A27,'Small Sample 1-Townhouse'!$A:$R,U$1,0),2)</f>
        <v>0.00</v>
      </c>
      <c r="V27" s="13" t="str">
        <f>FIXED(VLOOKUP($A27,'Small Sample 1-Townhouse'!$A:$R,V$1,0),2)</f>
        <v>1.00</v>
      </c>
      <c r="W27" s="9" t="str">
        <f>FIXED(VLOOKUP($A27,'Small Sample 1-Townhouse'!$A:$R,W$1,0),2)</f>
        <v>0.46</v>
      </c>
      <c r="X27" s="3" t="str">
        <f>FIXED(VLOOKUP($A27,'Small Sample 1-Townhouse'!$A:$R,X$1,0),2)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2-Townhouse'!$A:$R,AA$1,0),2)</f>
        <v>0.43</v>
      </c>
      <c r="AB27" s="3" t="str">
        <f>FIXED(VLOOKUP($A27,'Small Sample 2-Townhouse'!$A:$R,AB$1,0),2)</f>
        <v>0.50</v>
      </c>
      <c r="AC27" s="3" t="str">
        <f>FIXED(VLOOKUP($A27,'Small Sample 2-Townhouse'!$A:$R,AC$1,0),2)</f>
        <v>0.00</v>
      </c>
      <c r="AD27" s="3" t="str">
        <f>FIXED(VLOOKUP($A27,'Small Sample 2-Townhouse'!$A:$R,AD$1,0),2)</f>
        <v>1.00</v>
      </c>
      <c r="AE27" s="9" t="str">
        <f>FIXED(VLOOKUP($A27,'Small Sample 2-Townhouse'!$A:$R,AE$1,0),2)</f>
        <v>0.03</v>
      </c>
      <c r="AF27" s="3" t="str">
        <f>FIXED(VLOOKUP($A27,'Small Sample 2-Townhouse'!$A:$R,AF$1,0),2)</f>
        <v>0.16</v>
      </c>
      <c r="AG27" s="3" t="str">
        <f>FIXED(VLOOKUP($A27,'Small Sample 2-Townhouse'!$A:$R,AG$1,0),2)</f>
        <v>0.00</v>
      </c>
      <c r="AH27" s="13" t="str">
        <f>FIXED(VLOOKUP($A27,'Small Sample 2-Townhouse'!$A:$R,AH$1,0),2)</f>
        <v>1.00</v>
      </c>
      <c r="AI27" s="9" t="str">
        <f>FIXED(VLOOKUP($A27,'Small Sample 2-Townhouse'!$A:$R,AI$1,0),2)</f>
        <v>0.44</v>
      </c>
      <c r="AJ27" s="3" t="str">
        <f>FIXED(VLOOKUP($A27,'Small Sample 2-Townhouse'!$A:$R,AJ$1,0),2)</f>
        <v>0.50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Sample-Townhouse'!$A:$R,C$1,0),2)</f>
        <v>0.03</v>
      </c>
      <c r="D28" s="3" t="str">
        <f>FIXED(VLOOKUP($A28,'Full Sample-Townhouse'!$A:$R,D$1,0),2)</f>
        <v>0.16</v>
      </c>
      <c r="E28" s="3" t="str">
        <f>FIXED(VLOOKUP($A28,'Full Sample-Townhouse'!$A:$R,E$1,0),2)</f>
        <v>0.00</v>
      </c>
      <c r="F28" s="3" t="str">
        <f>FIXED(VLOOKUP($A28,'Full Sample-Townhouse'!$A:$R,F$1,0),2)</f>
        <v>1.00</v>
      </c>
      <c r="G28" s="9" t="str">
        <f>FIXED(VLOOKUP($A28,'Full Sample-Townhouse'!$A:$R,G$1,0),2)</f>
        <v>0.03</v>
      </c>
      <c r="H28" s="3" t="str">
        <f>FIXED(VLOOKUP($A28,'Full Sample-Townhouse'!$A:$R,H$1,0),2)</f>
        <v>0.16</v>
      </c>
      <c r="I28" s="3" t="str">
        <f>FIXED(VLOOKUP($A28,'Full Sample-Townhouse'!$A:$R,I$1,0),2)</f>
        <v>0.00</v>
      </c>
      <c r="J28" s="13" t="str">
        <f>FIXED(VLOOKUP($A28,'Full Sample-Townhouse'!$A:$R,J$1,0),2)</f>
        <v>1.00</v>
      </c>
      <c r="K28" s="9" t="str">
        <f>FIXED(VLOOKUP($A28,'Full Sample-Townhouse'!$A:$R,K$1,0),2)</f>
        <v>0.03</v>
      </c>
      <c r="L28" s="3" t="str">
        <f>FIXED(VLOOKUP($A28,'Full Sample-Townhouse'!$A:$R,L$1,0),2)</f>
        <v>0.16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1-Townhouse'!$A:$R,O$1,0),2)</f>
        <v>0.02</v>
      </c>
      <c r="P28" s="3" t="str">
        <f>FIXED(VLOOKUP($A28,'Small Sample 1-Townhouse'!$A:$R,P$1,0),2)</f>
        <v>0.15</v>
      </c>
      <c r="Q28" s="3" t="str">
        <f>FIXED(VLOOKUP($A28,'Small Sample 1-Townhouse'!$A:$R,Q$1,0),2)</f>
        <v>0.00</v>
      </c>
      <c r="R28" s="3" t="str">
        <f>FIXED(VLOOKUP($A28,'Small Sample 1-Townhouse'!$A:$R,R$1,0),2)</f>
        <v>1.00</v>
      </c>
      <c r="S28" s="9" t="str">
        <f>FIXED(VLOOKUP($A28,'Small Sample 1-Townhouse'!$A:$R,S$1,0),2)</f>
        <v>0.11</v>
      </c>
      <c r="T28" s="3" t="str">
        <f>FIXED(VLOOKUP($A28,'Small Sample 1-Townhouse'!$A:$R,T$1,0),2)</f>
        <v>0.31</v>
      </c>
      <c r="U28" s="3" t="str">
        <f>FIXED(VLOOKUP($A28,'Small Sample 1-Townhouse'!$A:$R,U$1,0),2)</f>
        <v>0.00</v>
      </c>
      <c r="V28" s="13" t="str">
        <f>FIXED(VLOOKUP($A28,'Small Sample 1-Townhouse'!$A:$R,V$1,0),2)</f>
        <v>1.00</v>
      </c>
      <c r="W28" s="9" t="str">
        <f>FIXED(VLOOKUP($A28,'Small Sample 1-Townhouse'!$A:$R,W$1,0),2)</f>
        <v>0.02</v>
      </c>
      <c r="X28" s="3" t="str">
        <f>FIXED(VLOOKUP($A28,'Small Sample 1-Townhouse'!$A:$R,X$1,0),2)</f>
        <v>0.15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2-Townhouse'!$A:$R,AA$1,0),2)</f>
        <v>0.03</v>
      </c>
      <c r="AB28" s="3" t="str">
        <f>FIXED(VLOOKUP($A28,'Small Sample 2-Townhouse'!$A:$R,AB$1,0),2)</f>
        <v>0.17</v>
      </c>
      <c r="AC28" s="3" t="str">
        <f>FIXED(VLOOKUP($A28,'Small Sample 2-Townhouse'!$A:$R,AC$1,0),2)</f>
        <v>0.00</v>
      </c>
      <c r="AD28" s="3" t="str">
        <f>FIXED(VLOOKUP($A28,'Small Sample 2-Townhouse'!$A:$R,AD$1,0),2)</f>
        <v>1.00</v>
      </c>
      <c r="AE28" s="9" t="str">
        <f>FIXED(VLOOKUP($A28,'Small Sample 2-Townhouse'!$A:$R,AE$1,0),2)</f>
        <v>0.10</v>
      </c>
      <c r="AF28" s="3" t="str">
        <f>FIXED(VLOOKUP($A28,'Small Sample 2-Townhouse'!$A:$R,AF$1,0),2)</f>
        <v>0.31</v>
      </c>
      <c r="AG28" s="3" t="str">
        <f>FIXED(VLOOKUP($A28,'Small Sample 2-Townhouse'!$A:$R,AG$1,0),2)</f>
        <v>0.00</v>
      </c>
      <c r="AH28" s="13" t="str">
        <f>FIXED(VLOOKUP($A28,'Small Sample 2-Townhouse'!$A:$R,AH$1,0),2)</f>
        <v>1.00</v>
      </c>
      <c r="AI28" s="9" t="str">
        <f>FIXED(VLOOKUP($A28,'Small Sample 2-Townhouse'!$A:$R,AI$1,0),2)</f>
        <v>0.03</v>
      </c>
      <c r="AJ28" s="3" t="str">
        <f>FIXED(VLOOKUP($A28,'Small Sample 2-Townhouse'!$A:$R,AJ$1,0),2)</f>
        <v>0.17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Sample-Townhouse'!$A:$R,C$1,0),2)</f>
        <v>0.03</v>
      </c>
      <c r="D29" s="3" t="str">
        <f>FIXED(VLOOKUP($A29,'Full Sample-Townhouse'!$A:$R,D$1,0),2)</f>
        <v>0.17</v>
      </c>
      <c r="E29" s="3" t="str">
        <f>FIXED(VLOOKUP($A29,'Full Sample-Townhouse'!$A:$R,E$1,0),2)</f>
        <v>0.00</v>
      </c>
      <c r="F29" s="3" t="str">
        <f>FIXED(VLOOKUP($A29,'Full Sample-Townhouse'!$A:$R,F$1,0),2)</f>
        <v>1.00</v>
      </c>
      <c r="G29" s="9" t="str">
        <f>FIXED(VLOOKUP($A29,'Full Sample-Townhouse'!$A:$R,G$1,0),2)</f>
        <v>0.03</v>
      </c>
      <c r="H29" s="3" t="str">
        <f>FIXED(VLOOKUP($A29,'Full Sample-Townhouse'!$A:$R,H$1,0),2)</f>
        <v>0.17</v>
      </c>
      <c r="I29" s="3" t="str">
        <f>FIXED(VLOOKUP($A29,'Full Sample-Townhouse'!$A:$R,I$1,0),2)</f>
        <v>0.00</v>
      </c>
      <c r="J29" s="13" t="str">
        <f>FIXED(VLOOKUP($A29,'Full Sample-Townhouse'!$A:$R,J$1,0),2)</f>
        <v>1.00</v>
      </c>
      <c r="K29" s="9" t="str">
        <f>FIXED(VLOOKUP($A29,'Full Sample-Townhouse'!$A:$R,K$1,0),2)</f>
        <v>0.03</v>
      </c>
      <c r="L29" s="3" t="str">
        <f>FIXED(VLOOKUP($A29,'Full Sample-Townhouse'!$A:$R,L$1,0),2)</f>
        <v>0.16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1-Townhouse'!$A:$R,O$1,0),2)</f>
        <v>0.03</v>
      </c>
      <c r="P29" s="3" t="str">
        <f>FIXED(VLOOKUP($A29,'Small Sample 1-Townhouse'!$A:$R,P$1,0),2)</f>
        <v>0.16</v>
      </c>
      <c r="Q29" s="3" t="str">
        <f>FIXED(VLOOKUP($A29,'Small Sample 1-Townhouse'!$A:$R,Q$1,0),2)</f>
        <v>0.00</v>
      </c>
      <c r="R29" s="3" t="str">
        <f>FIXED(VLOOKUP($A29,'Small Sample 1-Townhouse'!$A:$R,R$1,0),2)</f>
        <v>1.00</v>
      </c>
      <c r="S29" s="9" t="str">
        <f>FIXED(VLOOKUP($A29,'Small Sample 1-Townhouse'!$A:$R,S$1,0),2)</f>
        <v>0.01</v>
      </c>
      <c r="T29" s="3" t="str">
        <f>FIXED(VLOOKUP($A29,'Small Sample 1-Townhouse'!$A:$R,T$1,0),2)</f>
        <v>0.09</v>
      </c>
      <c r="U29" s="3" t="str">
        <f>FIXED(VLOOKUP($A29,'Small Sample 1-Townhouse'!$A:$R,U$1,0),2)</f>
        <v>0.00</v>
      </c>
      <c r="V29" s="13" t="str">
        <f>FIXED(VLOOKUP($A29,'Small Sample 1-Townhouse'!$A:$R,V$1,0),2)</f>
        <v>1.00</v>
      </c>
      <c r="W29" s="9" t="str">
        <f>FIXED(VLOOKUP($A29,'Small Sample 1-Townhouse'!$A:$R,W$1,0),2)</f>
        <v>0.03</v>
      </c>
      <c r="X29" s="3" t="str">
        <f>FIXED(VLOOKUP($A29,'Small Sample 1-Townhouse'!$A:$R,X$1,0),2)</f>
        <v>0.16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2-Townhouse'!$A:$R,AA$1,0),2)</f>
        <v>0.03</v>
      </c>
      <c r="AB29" s="3" t="str">
        <f>FIXED(VLOOKUP($A29,'Small Sample 2-Townhouse'!$A:$R,AB$1,0),2)</f>
        <v>0.16</v>
      </c>
      <c r="AC29" s="3" t="str">
        <f>FIXED(VLOOKUP($A29,'Small Sample 2-Townhouse'!$A:$R,AC$1,0),2)</f>
        <v>0.00</v>
      </c>
      <c r="AD29" s="3" t="str">
        <f>FIXED(VLOOKUP($A29,'Small Sample 2-Townhouse'!$A:$R,AD$1,0),2)</f>
        <v>1.00</v>
      </c>
      <c r="AE29" s="9" t="str">
        <f>FIXED(VLOOKUP($A29,'Small Sample 2-Townhouse'!$A:$R,AE$1,0),2)</f>
        <v>0.01</v>
      </c>
      <c r="AF29" s="3" t="str">
        <f>FIXED(VLOOKUP($A29,'Small Sample 2-Townhouse'!$A:$R,AF$1,0),2)</f>
        <v>0.08</v>
      </c>
      <c r="AG29" s="3" t="str">
        <f>FIXED(VLOOKUP($A29,'Small Sample 2-Townhouse'!$A:$R,AG$1,0),2)</f>
        <v>0.00</v>
      </c>
      <c r="AH29" s="13" t="str">
        <f>FIXED(VLOOKUP($A29,'Small Sample 2-Townhouse'!$A:$R,AH$1,0),2)</f>
        <v>1.00</v>
      </c>
      <c r="AI29" s="9" t="str">
        <f>FIXED(VLOOKUP($A29,'Small Sample 2-Townhouse'!$A:$R,AI$1,0),2)</f>
        <v>0.02</v>
      </c>
      <c r="AJ29" s="3" t="str">
        <f>FIXED(VLOOKUP($A29,'Small Sample 2-Townhouse'!$A:$R,AJ$1,0),2)</f>
        <v>0.15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Sample-Townhouse'!$A:$R,C$1,0),2)</f>
        <v>0.01</v>
      </c>
      <c r="D30" s="3" t="str">
        <f>FIXED(VLOOKUP($A30,'Full Sample-Townhouse'!$A:$R,D$1,0),2)</f>
        <v>0.08</v>
      </c>
      <c r="E30" s="3" t="str">
        <f>FIXED(VLOOKUP($A30,'Full Sample-Townhouse'!$A:$R,E$1,0),2)</f>
        <v>0.00</v>
      </c>
      <c r="F30" s="3" t="str">
        <f>FIXED(VLOOKUP($A30,'Full Sample-Townhouse'!$A:$R,F$1,0),2)</f>
        <v>1.00</v>
      </c>
      <c r="G30" s="9" t="str">
        <f>FIXED(VLOOKUP($A30,'Full Sample-Townhouse'!$A:$R,G$1,0),2)</f>
        <v>0.01</v>
      </c>
      <c r="H30" s="3" t="str">
        <f>FIXED(VLOOKUP($A30,'Full Sample-Townhouse'!$A:$R,H$1,0),2)</f>
        <v>0.09</v>
      </c>
      <c r="I30" s="3" t="str">
        <f>FIXED(VLOOKUP($A30,'Full Sample-Townhouse'!$A:$R,I$1,0),2)</f>
        <v>0.00</v>
      </c>
      <c r="J30" s="13" t="str">
        <f>FIXED(VLOOKUP($A30,'Full Sample-Townhouse'!$A:$R,J$1,0),2)</f>
        <v>1.00</v>
      </c>
      <c r="K30" s="9" t="str">
        <f>FIXED(VLOOKUP($A30,'Full Sample-Townhouse'!$A:$R,K$1,0),2)</f>
        <v>0.01</v>
      </c>
      <c r="L30" s="3" t="str">
        <f>FIXED(VLOOKUP($A30,'Full Sample-Townhouse'!$A:$R,L$1,0),2)</f>
        <v>0.07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1-Townhouse'!$A:$R,O$1,0),2)</f>
        <v>0.01</v>
      </c>
      <c r="P30" s="3" t="str">
        <f>FIXED(VLOOKUP($A30,'Small Sample 1-Townhouse'!$A:$R,P$1,0),2)</f>
        <v>0.08</v>
      </c>
      <c r="Q30" s="3" t="str">
        <f>FIXED(VLOOKUP($A30,'Small Sample 1-Townhouse'!$A:$R,Q$1,0),2)</f>
        <v>0.00</v>
      </c>
      <c r="R30" s="3" t="str">
        <f>FIXED(VLOOKUP($A30,'Small Sample 1-Townhouse'!$A:$R,R$1,0),2)</f>
        <v>1.00</v>
      </c>
      <c r="S30" s="9" t="str">
        <f>FIXED(VLOOKUP($A30,'Small Sample 1-Townhouse'!$A:$R,S$1,0),2)</f>
        <v>0.17</v>
      </c>
      <c r="T30" s="3" t="str">
        <f>FIXED(VLOOKUP($A30,'Small Sample 1-Townhouse'!$A:$R,T$1,0),2)</f>
        <v>0.38</v>
      </c>
      <c r="U30" s="3" t="str">
        <f>FIXED(VLOOKUP($A30,'Small Sample 1-Townhouse'!$A:$R,U$1,0),2)</f>
        <v>0.00</v>
      </c>
      <c r="V30" s="13" t="str">
        <f>FIXED(VLOOKUP($A30,'Small Sample 1-Townhouse'!$A:$R,V$1,0),2)</f>
        <v>1.00</v>
      </c>
      <c r="W30" s="9" t="str">
        <f>FIXED(VLOOKUP($A30,'Small Sample 1-Townhouse'!$A:$R,W$1,0),2)</f>
        <v>0.01</v>
      </c>
      <c r="X30" s="3" t="str">
        <f>FIXED(VLOOKUP($A30,'Small Sample 1-Townhouse'!$A:$R,X$1,0),2)</f>
        <v>0.07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2-Townhouse'!$A:$R,AA$1,0),2)</f>
        <v>0.01</v>
      </c>
      <c r="AB30" s="3" t="str">
        <f>FIXED(VLOOKUP($A30,'Small Sample 2-Townhouse'!$A:$R,AB$1,0),2)</f>
        <v>0.08</v>
      </c>
      <c r="AC30" s="3" t="str">
        <f>FIXED(VLOOKUP($A30,'Small Sample 2-Townhouse'!$A:$R,AC$1,0),2)</f>
        <v>0.00</v>
      </c>
      <c r="AD30" s="3" t="str">
        <f>FIXED(VLOOKUP($A30,'Small Sample 2-Townhouse'!$A:$R,AD$1,0),2)</f>
        <v>1.00</v>
      </c>
      <c r="AE30" s="9" t="str">
        <f>FIXED(VLOOKUP($A30,'Small Sample 2-Townhouse'!$A:$R,AE$1,0),2)</f>
        <v>0.18</v>
      </c>
      <c r="AF30" s="3" t="str">
        <f>FIXED(VLOOKUP($A30,'Small Sample 2-Townhouse'!$A:$R,AF$1,0),2)</f>
        <v>0.38</v>
      </c>
      <c r="AG30" s="3" t="str">
        <f>FIXED(VLOOKUP($A30,'Small Sample 2-Townhouse'!$A:$R,AG$1,0),2)</f>
        <v>0.00</v>
      </c>
      <c r="AH30" s="13" t="str">
        <f>FIXED(VLOOKUP($A30,'Small Sample 2-Townhouse'!$A:$R,AH$1,0),2)</f>
        <v>1.00</v>
      </c>
      <c r="AI30" s="9" t="str">
        <f>FIXED(VLOOKUP($A30,'Small Sample 2-Townhouse'!$A:$R,AI$1,0),2)</f>
        <v>0.00</v>
      </c>
      <c r="AJ30" s="3" t="str">
        <f>FIXED(VLOOKUP($A30,'Small Sample 2-Townhouse'!$A:$R,AJ$1,0),2)</f>
        <v>0.06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tr">
        <f>FIXED(VLOOKUP($A31,'Full Sample-Townhouse'!$A:$R,C$1,0),2)</f>
        <v>0.17</v>
      </c>
      <c r="D31" s="3" t="str">
        <f>FIXED(VLOOKUP($A31,'Full Sample-Townhouse'!$A:$R,D$1,0),2)</f>
        <v>0.38</v>
      </c>
      <c r="E31" s="3" t="str">
        <f>FIXED(VLOOKUP($A31,'Full Sample-Townhouse'!$A:$R,E$1,0),2)</f>
        <v>0.00</v>
      </c>
      <c r="F31" s="3" t="str">
        <f>FIXED(VLOOKUP($A31,'Full Sample-Townhouse'!$A:$R,F$1,0),2)</f>
        <v>1.00</v>
      </c>
      <c r="G31" s="9" t="str">
        <f>FIXED(VLOOKUP($A31,'Full Sample-Townhouse'!$A:$R,G$1,0),2)</f>
        <v>0.18</v>
      </c>
      <c r="H31" s="3" t="str">
        <f>FIXED(VLOOKUP($A31,'Full Sample-Townhouse'!$A:$R,H$1,0),2)</f>
        <v>0.38</v>
      </c>
      <c r="I31" s="3" t="str">
        <f>FIXED(VLOOKUP($A31,'Full Sample-Townhouse'!$A:$R,I$1,0),2)</f>
        <v>0.00</v>
      </c>
      <c r="J31" s="13" t="str">
        <f>FIXED(VLOOKUP($A31,'Full Sample-Townhouse'!$A:$R,J$1,0),2)</f>
        <v>1.00</v>
      </c>
      <c r="K31" s="9" t="str">
        <f>FIXED(VLOOKUP($A31,'Full Sample-Townhouse'!$A:$R,K$1,0),2)</f>
        <v>0.16</v>
      </c>
      <c r="L31" s="3" t="str">
        <f>FIXED(VLOOKUP($A31,'Full Sample-Townhouse'!$A:$R,L$1,0),2)</f>
        <v>0.37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FIXED(VLOOKUP($A31,'Small Sample 1-Townhouse'!$A:$R,O$1,0),2)</f>
        <v>0.17</v>
      </c>
      <c r="P31" s="3" t="str">
        <f>FIXED(VLOOKUP($A31,'Small Sample 1-Townhouse'!$A:$R,P$1,0),2)</f>
        <v>0.37</v>
      </c>
      <c r="Q31" s="3" t="str">
        <f>FIXED(VLOOKUP($A31,'Small Sample 1-Townhouse'!$A:$R,Q$1,0),2)</f>
        <v>0.00</v>
      </c>
      <c r="R31" s="3" t="str">
        <f>FIXED(VLOOKUP($A31,'Small Sample 1-Townhouse'!$A:$R,R$1,0),2)</f>
        <v>1.00</v>
      </c>
      <c r="S31" s="9" t="str">
        <f>FIXED(VLOOKUP($A31,'Small Sample 1-Townhouse'!$A:$R,S$1,0),2)</f>
        <v>0.54</v>
      </c>
      <c r="T31" s="3" t="str">
        <f>FIXED(VLOOKUP($A31,'Small Sample 1-Townhouse'!$A:$R,T$1,0),2)</f>
        <v>0.50</v>
      </c>
      <c r="U31" s="3" t="str">
        <f>FIXED(VLOOKUP($A31,'Small Sample 1-Townhouse'!$A:$R,U$1,0),2)</f>
        <v>0.00</v>
      </c>
      <c r="V31" s="13" t="str">
        <f>FIXED(VLOOKUP($A31,'Small Sample 1-Townhouse'!$A:$R,V$1,0),2)</f>
        <v>1.00</v>
      </c>
      <c r="W31" s="9" t="str">
        <f>FIXED(VLOOKUP($A31,'Small Sample 1-Townhouse'!$A:$R,W$1,0),2)</f>
        <v>0.16</v>
      </c>
      <c r="X31" s="3" t="str">
        <f>FIXED(VLOOKUP($A31,'Small Sample 1-Townhouse'!$A:$R,X$1,0),2)</f>
        <v>0.37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tr">
        <f>FIXED(VLOOKUP($A31,'Small Sample 2-Townhouse'!$A:$R,AA$1,0),2)</f>
        <v>0.17</v>
      </c>
      <c r="AB31" s="3" t="str">
        <f>FIXED(VLOOKUP($A31,'Small Sample 2-Townhouse'!$A:$R,AB$1,0),2)</f>
        <v>0.38</v>
      </c>
      <c r="AC31" s="3" t="str">
        <f>FIXED(VLOOKUP($A31,'Small Sample 2-Townhouse'!$A:$R,AC$1,0),2)</f>
        <v>0.00</v>
      </c>
      <c r="AD31" s="3" t="str">
        <f>FIXED(VLOOKUP($A31,'Small Sample 2-Townhouse'!$A:$R,AD$1,0),2)</f>
        <v>1.00</v>
      </c>
      <c r="AE31" s="9" t="str">
        <f>FIXED(VLOOKUP($A31,'Small Sample 2-Townhouse'!$A:$R,AE$1,0),2)</f>
        <v>0.52</v>
      </c>
      <c r="AF31" s="3" t="str">
        <f>FIXED(VLOOKUP($A31,'Small Sample 2-Townhouse'!$A:$R,AF$1,0),2)</f>
        <v>0.50</v>
      </c>
      <c r="AG31" s="3" t="str">
        <f>FIXED(VLOOKUP($A31,'Small Sample 2-Townhouse'!$A:$R,AG$1,0),2)</f>
        <v>0.00</v>
      </c>
      <c r="AH31" s="13" t="str">
        <f>FIXED(VLOOKUP($A31,'Small Sample 2-Townhouse'!$A:$R,AH$1,0),2)</f>
        <v>1.00</v>
      </c>
      <c r="AI31" s="9" t="str">
        <f>FIXED(VLOOKUP($A31,'Small Sample 2-Townhouse'!$A:$R,AI$1,0),2)</f>
        <v>0.16</v>
      </c>
      <c r="AJ31" s="3" t="str">
        <f>FIXED(VLOOKUP($A31,'Small Sample 2-Townhouse'!$A:$R,AJ$1,0),2)</f>
        <v>0.36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tr">
        <f>FIXED(VLOOKUP($A32,'Full Sample-Townhouse'!$A:$R,C$1,0),2)</f>
        <v>0.52</v>
      </c>
      <c r="D32" s="3" t="str">
        <f>FIXED(VLOOKUP($A32,'Full Sample-Townhouse'!$A:$R,D$1,0),2)</f>
        <v>0.50</v>
      </c>
      <c r="E32" s="3" t="str">
        <f>FIXED(VLOOKUP($A32,'Full Sample-Townhouse'!$A:$R,E$1,0),2)</f>
        <v>0.00</v>
      </c>
      <c r="F32" s="3" t="str">
        <f>FIXED(VLOOKUP($A32,'Full Sample-Townhouse'!$A:$R,F$1,0),2)</f>
        <v>1.00</v>
      </c>
      <c r="G32" s="9" t="str">
        <f>FIXED(VLOOKUP($A32,'Full Sample-Townhouse'!$A:$R,G$1,0),2)</f>
        <v>0.50</v>
      </c>
      <c r="H32" s="3" t="str">
        <f>FIXED(VLOOKUP($A32,'Full Sample-Townhouse'!$A:$R,H$1,0),2)</f>
        <v>0.50</v>
      </c>
      <c r="I32" s="3" t="str">
        <f>FIXED(VLOOKUP($A32,'Full Sample-Townhouse'!$A:$R,I$1,0),2)</f>
        <v>0.00</v>
      </c>
      <c r="J32" s="13" t="str">
        <f>FIXED(VLOOKUP($A32,'Full Sample-Townhouse'!$A:$R,J$1,0),2)</f>
        <v>1.00</v>
      </c>
      <c r="K32" s="9" t="str">
        <f>FIXED(VLOOKUP($A32,'Full Sample-Townhouse'!$A:$R,K$1,0),2)</f>
        <v>0.53</v>
      </c>
      <c r="L32" s="3" t="str">
        <f>FIXED(VLOOKUP($A32,'Full Sample-Townhouse'!$A:$R,L$1,0),2)</f>
        <v>0.50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FIXED(VLOOKUP($A32,'Small Sample 1-Townhouse'!$A:$R,O$1,0),2)</f>
        <v>0.54</v>
      </c>
      <c r="P32" s="3" t="str">
        <f>FIXED(VLOOKUP($A32,'Small Sample 1-Townhouse'!$A:$R,P$1,0),2)</f>
        <v>0.50</v>
      </c>
      <c r="Q32" s="3" t="str">
        <f>FIXED(VLOOKUP($A32,'Small Sample 1-Townhouse'!$A:$R,Q$1,0),2)</f>
        <v>0.00</v>
      </c>
      <c r="R32" s="3" t="str">
        <f>FIXED(VLOOKUP($A32,'Small Sample 1-Townhouse'!$A:$R,R$1,0),2)</f>
        <v>1.00</v>
      </c>
      <c r="S32" s="9" t="str">
        <f>FIXED(VLOOKUP($A32,'Small Sample 1-Townhouse'!$A:$R,S$1,0),2)</f>
        <v>0.29</v>
      </c>
      <c r="T32" s="3" t="str">
        <f>FIXED(VLOOKUP($A32,'Small Sample 1-Townhouse'!$A:$R,T$1,0),2)</f>
        <v>0.45</v>
      </c>
      <c r="U32" s="3" t="str">
        <f>FIXED(VLOOKUP($A32,'Small Sample 1-Townhouse'!$A:$R,U$1,0),2)</f>
        <v>0.00</v>
      </c>
      <c r="V32" s="13" t="str">
        <f>FIXED(VLOOKUP($A32,'Small Sample 1-Townhouse'!$A:$R,V$1,0),2)</f>
        <v>1.00</v>
      </c>
      <c r="W32" s="9" t="str">
        <f>FIXED(VLOOKUP($A32,'Small Sample 1-Townhouse'!$A:$R,W$1,0),2)</f>
        <v>0.54</v>
      </c>
      <c r="X32" s="3" t="str">
        <f>FIXED(VLOOKUP($A32,'Small Sample 1-Townhouse'!$A:$R,X$1,0),2)</f>
        <v>0.50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tr">
        <f>FIXED(VLOOKUP($A32,'Small Sample 2-Townhouse'!$A:$R,AA$1,0),2)</f>
        <v>0.54</v>
      </c>
      <c r="AB32" s="3" t="str">
        <f>FIXED(VLOOKUP($A32,'Small Sample 2-Townhouse'!$A:$R,AB$1,0),2)</f>
        <v>0.50</v>
      </c>
      <c r="AC32" s="3" t="str">
        <f>FIXED(VLOOKUP($A32,'Small Sample 2-Townhouse'!$A:$R,AC$1,0),2)</f>
        <v>0.00</v>
      </c>
      <c r="AD32" s="3" t="str">
        <f>FIXED(VLOOKUP($A32,'Small Sample 2-Townhouse'!$A:$R,AD$1,0),2)</f>
        <v>1.00</v>
      </c>
      <c r="AE32" s="9" t="str">
        <f>FIXED(VLOOKUP($A32,'Small Sample 2-Townhouse'!$A:$R,AE$1,0),2)</f>
        <v>0.31</v>
      </c>
      <c r="AF32" s="3" t="str">
        <f>FIXED(VLOOKUP($A32,'Small Sample 2-Townhouse'!$A:$R,AF$1,0),2)</f>
        <v>0.46</v>
      </c>
      <c r="AG32" s="3" t="str">
        <f>FIXED(VLOOKUP($A32,'Small Sample 2-Townhouse'!$A:$R,AG$1,0),2)</f>
        <v>0.00</v>
      </c>
      <c r="AH32" s="13" t="str">
        <f>FIXED(VLOOKUP($A32,'Small Sample 2-Townhouse'!$A:$R,AH$1,0),2)</f>
        <v>1.00</v>
      </c>
      <c r="AI32" s="9" t="str">
        <f>FIXED(VLOOKUP($A32,'Small Sample 2-Townhouse'!$A:$R,AI$1,0),2)</f>
        <v>0.58</v>
      </c>
      <c r="AJ32" s="3" t="str">
        <f>FIXED(VLOOKUP($A32,'Small Sample 2-Townhouse'!$A:$R,AJ$1,0),2)</f>
        <v>0.49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tr">
        <f>FIXED(VLOOKUP($A33,'Full Sample-Townhouse'!$A:$R,C$1,0),2)</f>
        <v>0.32</v>
      </c>
      <c r="D33" s="3" t="str">
        <f>FIXED(VLOOKUP($A33,'Full Sample-Townhouse'!$A:$R,D$1,0),2)</f>
        <v>0.47</v>
      </c>
      <c r="E33" s="3" t="str">
        <f>FIXED(VLOOKUP($A33,'Full Sample-Townhouse'!$A:$R,E$1,0),2)</f>
        <v>0.00</v>
      </c>
      <c r="F33" s="3" t="str">
        <f>FIXED(VLOOKUP($A33,'Full Sample-Townhouse'!$A:$R,F$1,0),2)</f>
        <v>1.00</v>
      </c>
      <c r="G33" s="9" t="str">
        <f>FIXED(VLOOKUP($A33,'Full Sample-Townhouse'!$A:$R,G$1,0),2)</f>
        <v>0.32</v>
      </c>
      <c r="H33" s="3" t="str">
        <f>FIXED(VLOOKUP($A33,'Full Sample-Townhouse'!$A:$R,H$1,0),2)</f>
        <v>0.47</v>
      </c>
      <c r="I33" s="3" t="str">
        <f>FIXED(VLOOKUP($A33,'Full Sample-Townhouse'!$A:$R,I$1,0),2)</f>
        <v>0.00</v>
      </c>
      <c r="J33" s="13" t="str">
        <f>FIXED(VLOOKUP($A33,'Full Sample-Townhouse'!$A:$R,J$1,0),2)</f>
        <v>1.00</v>
      </c>
      <c r="K33" s="9" t="str">
        <f>FIXED(VLOOKUP($A33,'Full Sample-Townhouse'!$A:$R,K$1,0),2)</f>
        <v>0.30</v>
      </c>
      <c r="L33" s="3" t="str">
        <f>FIXED(VLOOKUP($A33,'Full Sample-Townhouse'!$A:$R,L$1,0),2)</f>
        <v>0.46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FIXED(VLOOKUP($A33,'Small Sample 1-Townhouse'!$A:$R,O$1,0),2)</f>
        <v>0.29</v>
      </c>
      <c r="P33" s="3" t="str">
        <f>FIXED(VLOOKUP($A33,'Small Sample 1-Townhouse'!$A:$R,P$1,0),2)</f>
        <v>0.46</v>
      </c>
      <c r="Q33" s="3" t="str">
        <f>FIXED(VLOOKUP($A33,'Small Sample 1-Townhouse'!$A:$R,Q$1,0),2)</f>
        <v>0.00</v>
      </c>
      <c r="R33" s="3" t="str">
        <f>FIXED(VLOOKUP($A33,'Small Sample 1-Townhouse'!$A:$R,R$1,0),2)</f>
        <v>1.00</v>
      </c>
      <c r="S33" s="9" t="str">
        <f>FIXED(VLOOKUP($A33,'Small Sample 1-Townhouse'!$A:$R,S$1,0),2)</f>
        <v>0.07</v>
      </c>
      <c r="T33" s="3" t="str">
        <f>FIXED(VLOOKUP($A33,'Small Sample 1-Townhouse'!$A:$R,T$1,0),2)</f>
        <v>0.26</v>
      </c>
      <c r="U33" s="3" t="str">
        <f>FIXED(VLOOKUP($A33,'Small Sample 1-Townhouse'!$A:$R,U$1,0),2)</f>
        <v>0.00</v>
      </c>
      <c r="V33" s="13" t="str">
        <f>FIXED(VLOOKUP($A33,'Small Sample 1-Townhouse'!$A:$R,V$1,0),2)</f>
        <v>1.00</v>
      </c>
      <c r="W33" s="9" t="str">
        <f>FIXED(VLOOKUP($A33,'Small Sample 1-Townhouse'!$A:$R,W$1,0),2)</f>
        <v>0.30</v>
      </c>
      <c r="X33" s="3" t="str">
        <f>FIXED(VLOOKUP($A33,'Small Sample 1-Townhouse'!$A:$R,X$1,0),2)</f>
        <v>0.46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tr">
        <f>FIXED(VLOOKUP($A33,'Small Sample 2-Townhouse'!$A:$R,AA$1,0),2)</f>
        <v>0.29</v>
      </c>
      <c r="AB33" s="3" t="str">
        <f>FIXED(VLOOKUP($A33,'Small Sample 2-Townhouse'!$A:$R,AB$1,0),2)</f>
        <v>0.46</v>
      </c>
      <c r="AC33" s="3" t="str">
        <f>FIXED(VLOOKUP($A33,'Small Sample 2-Townhouse'!$A:$R,AC$1,0),2)</f>
        <v>0.00</v>
      </c>
      <c r="AD33" s="3" t="str">
        <f>FIXED(VLOOKUP($A33,'Small Sample 2-Townhouse'!$A:$R,AD$1,0),2)</f>
        <v>1.00</v>
      </c>
      <c r="AE33" s="9" t="str">
        <f>FIXED(VLOOKUP($A33,'Small Sample 2-Townhouse'!$A:$R,AE$1,0),2)</f>
        <v>0.07</v>
      </c>
      <c r="AF33" s="3" t="str">
        <f>FIXED(VLOOKUP($A33,'Small Sample 2-Townhouse'!$A:$R,AF$1,0),2)</f>
        <v>0.25</v>
      </c>
      <c r="AG33" s="3" t="str">
        <f>FIXED(VLOOKUP($A33,'Small Sample 2-Townhouse'!$A:$R,AG$1,0),2)</f>
        <v>0.00</v>
      </c>
      <c r="AH33" s="13" t="str">
        <f>FIXED(VLOOKUP($A33,'Small Sample 2-Townhouse'!$A:$R,AH$1,0),2)</f>
        <v>1.00</v>
      </c>
      <c r="AI33" s="9" t="str">
        <f>FIXED(VLOOKUP($A33,'Small Sample 2-Townhouse'!$A:$R,AI$1,0),2)</f>
        <v>0.26</v>
      </c>
      <c r="AJ33" s="3" t="str">
        <f>FIXED(VLOOKUP($A33,'Small Sample 2-Townhouse'!$A:$R,AJ$1,0),2)</f>
        <v>0.44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tr">
        <f>FIXED(VLOOKUP($A34,'Full Sample-Townhouse'!$A:$R,C$1,0),2)</f>
        <v>0.07</v>
      </c>
      <c r="D34" s="3" t="str">
        <f>FIXED(VLOOKUP($A34,'Full Sample-Townhouse'!$A:$R,D$1,0),2)</f>
        <v>0.25</v>
      </c>
      <c r="E34" s="3" t="str">
        <f>FIXED(VLOOKUP($A34,'Full Sample-Townhouse'!$A:$R,E$1,0),2)</f>
        <v>0.00</v>
      </c>
      <c r="F34" s="3" t="str">
        <f>FIXED(VLOOKUP($A34,'Full Sample-Townhouse'!$A:$R,F$1,0),2)</f>
        <v>1.00</v>
      </c>
      <c r="G34" s="9" t="str">
        <f>FIXED(VLOOKUP($A34,'Full Sample-Townhouse'!$A:$R,G$1,0),2)</f>
        <v>0.07</v>
      </c>
      <c r="H34" s="3" t="str">
        <f>FIXED(VLOOKUP($A34,'Full Sample-Townhouse'!$A:$R,H$1,0),2)</f>
        <v>0.25</v>
      </c>
      <c r="I34" s="3" t="str">
        <f>FIXED(VLOOKUP($A34,'Full Sample-Townhouse'!$A:$R,I$1,0),2)</f>
        <v>0.00</v>
      </c>
      <c r="J34" s="13" t="str">
        <f>FIXED(VLOOKUP($A34,'Full Sample-Townhouse'!$A:$R,J$1,0),2)</f>
        <v>1.00</v>
      </c>
      <c r="K34" s="9" t="str">
        <f>FIXED(VLOOKUP($A34,'Full Sample-Townhouse'!$A:$R,K$1,0),2)</f>
        <v>0.06</v>
      </c>
      <c r="L34" s="3" t="str">
        <f>FIXED(VLOOKUP($A34,'Full Sample-Townhouse'!$A:$R,L$1,0),2)</f>
        <v>0.24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FIXED(VLOOKUP($A34,'Small Sample 1-Townhouse'!$A:$R,O$1,0),2)</f>
        <v>0.07</v>
      </c>
      <c r="P34" s="3" t="str">
        <f>FIXED(VLOOKUP($A34,'Small Sample 1-Townhouse'!$A:$R,P$1,0),2)</f>
        <v>0.25</v>
      </c>
      <c r="Q34" s="3" t="str">
        <f>FIXED(VLOOKUP($A34,'Small Sample 1-Townhouse'!$A:$R,Q$1,0),2)</f>
        <v>0.00</v>
      </c>
      <c r="R34" s="3" t="str">
        <f>FIXED(VLOOKUP($A34,'Small Sample 1-Townhouse'!$A:$R,R$1,0),2)</f>
        <v>1.00</v>
      </c>
      <c r="S34" s="9" t="str">
        <f>FIXED(VLOOKUP($A34,'Small Sample 1-Townhouse'!$A:$R,S$1,0),2)</f>
        <v>0.00</v>
      </c>
      <c r="T34" s="3" t="str">
        <f>FIXED(VLOOKUP($A34,'Small Sample 1-Townhouse'!$A:$R,T$1,0),2)</f>
        <v>0.06</v>
      </c>
      <c r="U34" s="3" t="str">
        <f>FIXED(VLOOKUP($A34,'Small Sample 1-Townhouse'!$A:$R,U$1,0),2)</f>
        <v>0.00</v>
      </c>
      <c r="V34" s="13" t="str">
        <f>FIXED(VLOOKUP($A34,'Small Sample 1-Townhouse'!$A:$R,V$1,0),2)</f>
        <v>1.00</v>
      </c>
      <c r="W34" s="9" t="str">
        <f>FIXED(VLOOKUP($A34,'Small Sample 1-Townhouse'!$A:$R,W$1,0),2)</f>
        <v>0.06</v>
      </c>
      <c r="X34" s="3" t="str">
        <f>FIXED(VLOOKUP($A34,'Small Sample 1-Townhouse'!$A:$R,X$1,0),2)</f>
        <v>0.24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tr">
        <f>FIXED(VLOOKUP($A34,'Small Sample 2-Townhouse'!$A:$R,AA$1,0),2)</f>
        <v>0.07</v>
      </c>
      <c r="AB34" s="3" t="str">
        <f>FIXED(VLOOKUP($A34,'Small Sample 2-Townhouse'!$A:$R,AB$1,0),2)</f>
        <v>0.25</v>
      </c>
      <c r="AC34" s="3" t="str">
        <f>FIXED(VLOOKUP($A34,'Small Sample 2-Townhouse'!$A:$R,AC$1,0),2)</f>
        <v>0.00</v>
      </c>
      <c r="AD34" s="3" t="str">
        <f>FIXED(VLOOKUP($A34,'Small Sample 2-Townhouse'!$A:$R,AD$1,0),2)</f>
        <v>1.00</v>
      </c>
      <c r="AE34" s="9" t="str">
        <f>FIXED(VLOOKUP($A34,'Small Sample 2-Townhouse'!$A:$R,AE$1,0),2)</f>
        <v>0.00</v>
      </c>
      <c r="AF34" s="3" t="str">
        <f>FIXED(VLOOKUP($A34,'Small Sample 2-Townhouse'!$A:$R,AF$1,0),2)</f>
        <v>0.06</v>
      </c>
      <c r="AG34" s="3" t="str">
        <f>FIXED(VLOOKUP($A34,'Small Sample 2-Townhouse'!$A:$R,AG$1,0),2)</f>
        <v>0.00</v>
      </c>
      <c r="AH34" s="13" t="str">
        <f>FIXED(VLOOKUP($A34,'Small Sample 2-Townhouse'!$A:$R,AH$1,0),2)</f>
        <v>1.00</v>
      </c>
      <c r="AI34" s="9" t="str">
        <f>FIXED(VLOOKUP($A34,'Small Sample 2-Townhouse'!$A:$R,AI$1,0),2)</f>
        <v>0.07</v>
      </c>
      <c r="AJ34" s="3" t="str">
        <f>FIXED(VLOOKUP($A34,'Small Sample 2-Townhouse'!$A:$R,AJ$1,0),2)</f>
        <v>0.25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Sample-Townhouse'!$A:$R,C$1,0),2)</f>
        <v>0.00</v>
      </c>
      <c r="D35" s="3" t="str">
        <f>FIXED(VLOOKUP($A35,'Full Sample-Townhouse'!$A:$R,D$1,0),2)</f>
        <v>0.06</v>
      </c>
      <c r="E35" s="3" t="str">
        <f>FIXED(VLOOKUP($A35,'Full Sample-Townhouse'!$A:$R,E$1,0),2)</f>
        <v>0.00</v>
      </c>
      <c r="F35" s="3" t="str">
        <f>FIXED(VLOOKUP($A35,'Full Sample-Townhouse'!$A:$R,F$1,0),2)</f>
        <v>1.00</v>
      </c>
      <c r="G35" s="9" t="str">
        <f>FIXED(VLOOKUP($A35,'Full Sample-Townhouse'!$A:$R,G$1,0),2)</f>
        <v>0.00</v>
      </c>
      <c r="H35" s="3" t="str">
        <f>FIXED(VLOOKUP($A35,'Full Sample-Townhouse'!$A:$R,H$1,0),2)</f>
        <v>0.06</v>
      </c>
      <c r="I35" s="3" t="str">
        <f>FIXED(VLOOKUP($A35,'Full Sample-Townhouse'!$A:$R,I$1,0),2)</f>
        <v>0.00</v>
      </c>
      <c r="J35" s="13" t="str">
        <f>FIXED(VLOOKUP($A35,'Full Sample-Townhouse'!$A:$R,J$1,0),2)</f>
        <v>1.00</v>
      </c>
      <c r="K35" s="9" t="str">
        <f>FIXED(VLOOKUP($A35,'Full Sample-Townhouse'!$A:$R,K$1,0),2)</f>
        <v>0.00</v>
      </c>
      <c r="L35" s="3" t="str">
        <f>FIXED(VLOOKUP($A35,'Full Sample-Townhouse'!$A:$R,L$1,0),2)</f>
        <v>0.06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1-Townhouse'!$A:$R,O$1,0),2)</f>
        <v>0.00</v>
      </c>
      <c r="P35" s="3" t="str">
        <f>FIXED(VLOOKUP($A35,'Small Sample 1-Townhouse'!$A:$R,P$1,0),2)</f>
        <v>0.05</v>
      </c>
      <c r="Q35" s="3" t="str">
        <f>FIXED(VLOOKUP($A35,'Small Sample 1-Townhouse'!$A:$R,Q$1,0),2)</f>
        <v>0.00</v>
      </c>
      <c r="R35" s="3" t="str">
        <f>FIXED(VLOOKUP($A35,'Small Sample 1-Townhouse'!$A:$R,R$1,0),2)</f>
        <v>1.00</v>
      </c>
      <c r="S35" s="9" t="str">
        <f>FIXED(VLOOKUP($A35,'Small Sample 1-Townhouse'!$A:$R,S$1,0),2)</f>
        <v>0.00</v>
      </c>
      <c r="T35" s="3" t="str">
        <f>FIXED(VLOOKUP($A35,'Small Sample 1-Townhouse'!$A:$R,T$1,0),2)</f>
        <v>0.01</v>
      </c>
      <c r="U35" s="3" t="str">
        <f>FIXED(VLOOKUP($A35,'Small Sample 1-Townhouse'!$A:$R,U$1,0),2)</f>
        <v>0.00</v>
      </c>
      <c r="V35" s="13" t="str">
        <f>FIXED(VLOOKUP($A35,'Small Sample 1-Townhouse'!$A:$R,V$1,0),2)</f>
        <v>1.00</v>
      </c>
      <c r="W35" s="9" t="str">
        <f>FIXED(VLOOKUP($A35,'Small Sample 1-Townhouse'!$A:$R,W$1,0),2)</f>
        <v>0.00</v>
      </c>
      <c r="X35" s="3" t="str">
        <f>FIXED(VLOOKUP($A35,'Small Sample 1-Townhouse'!$A:$R,X$1,0),2)</f>
        <v>0.05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2-Townhouse'!$A:$R,AA$1,0),2)</f>
        <v>0.00</v>
      </c>
      <c r="AB35" s="3" t="str">
        <f>FIXED(VLOOKUP($A35,'Small Sample 2-Townhouse'!$A:$R,AB$1,0),2)</f>
        <v>0.05</v>
      </c>
      <c r="AC35" s="3" t="str">
        <f>FIXED(VLOOKUP($A35,'Small Sample 2-Townhouse'!$A:$R,AC$1,0),2)</f>
        <v>0.00</v>
      </c>
      <c r="AD35" s="3" t="str">
        <f>FIXED(VLOOKUP($A35,'Small Sample 2-Townhouse'!$A:$R,AD$1,0),2)</f>
        <v>1.00</v>
      </c>
      <c r="AE35" s="9" t="str">
        <f>FIXED(VLOOKUP($A35,'Small Sample 2-Townhouse'!$A:$R,AE$1,0),2)</f>
        <v>0.00</v>
      </c>
      <c r="AF35" s="3" t="str">
        <f>FIXED(VLOOKUP($A35,'Small Sample 2-Townhouse'!$A:$R,AF$1,0),2)</f>
        <v>0.01</v>
      </c>
      <c r="AG35" s="3" t="str">
        <f>FIXED(VLOOKUP($A35,'Small Sample 2-Townhouse'!$A:$R,AG$1,0),2)</f>
        <v>0.00</v>
      </c>
      <c r="AH35" s="13" t="str">
        <f>FIXED(VLOOKUP($A35,'Small Sample 2-Townhouse'!$A:$R,AH$1,0),2)</f>
        <v>1.00</v>
      </c>
      <c r="AI35" s="9" t="str">
        <f>FIXED(VLOOKUP($A35,'Small Sample 2-Townhouse'!$A:$R,AI$1,0),2)</f>
        <v>0.00</v>
      </c>
      <c r="AJ35" s="3" t="str">
        <f>FIXED(VLOOKUP($A35,'Small Sample 2-Townhouse'!$A:$R,AJ$1,0),2)</f>
        <v>0.04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Sample-Townhouse'!$A:$R,C$1,0),2)</f>
        <v>0.00</v>
      </c>
      <c r="D36" s="3" t="str">
        <f>FIXED(VLOOKUP($A36,'Full Sample-Townhouse'!$A:$R,D$1,0),2)</f>
        <v>0.01</v>
      </c>
      <c r="E36" s="3" t="str">
        <f>FIXED(VLOOKUP($A36,'Full Sample-Townhouse'!$A:$R,E$1,0),2)</f>
        <v>0.00</v>
      </c>
      <c r="F36" s="3" t="str">
        <f>FIXED(VLOOKUP($A36,'Full Sample-Townhouse'!$A:$R,F$1,0),2)</f>
        <v>1.00</v>
      </c>
      <c r="G36" s="9" t="str">
        <f>FIXED(VLOOKUP($A36,'Full Sample-Townhouse'!$A:$R,G$1,0),2)</f>
        <v>0.00</v>
      </c>
      <c r="H36" s="3" t="str">
        <f>FIXED(VLOOKUP($A36,'Full Sample-Townhouse'!$A:$R,H$1,0),2)</f>
        <v>0.01</v>
      </c>
      <c r="I36" s="3" t="str">
        <f>FIXED(VLOOKUP($A36,'Full Sample-Townhouse'!$A:$R,I$1,0),2)</f>
        <v>0.00</v>
      </c>
      <c r="J36" s="13" t="str">
        <f>FIXED(VLOOKUP($A36,'Full Sample-Townhouse'!$A:$R,J$1,0),2)</f>
        <v>1.00</v>
      </c>
      <c r="K36" s="9" t="str">
        <f>FIXED(VLOOKUP($A36,'Full Sample-Townhouse'!$A:$R,K$1,0),2)</f>
        <v>0.00</v>
      </c>
      <c r="L36" s="3" t="str">
        <f>FIXED(VLOOKUP($A36,'Full Sample-Townhouse'!$A:$R,L$1,0),2)</f>
        <v>0.00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1-Townhouse'!$A:$R,O$1,0),2)</f>
        <v>0.00</v>
      </c>
      <c r="P36" s="3" t="str">
        <f>FIXED(VLOOKUP($A36,'Small Sample 1-Townhouse'!$A:$R,P$1,0),2)</f>
        <v>0.01</v>
      </c>
      <c r="Q36" s="3" t="str">
        <f>FIXED(VLOOKUP($A36,'Small Sample 1-Townhouse'!$A:$R,Q$1,0),2)</f>
        <v>0.00</v>
      </c>
      <c r="R36" s="3" t="str">
        <f>FIXED(VLOOKUP($A36,'Small Sample 1-Townhouse'!$A:$R,R$1,0),2)</f>
        <v>1.00</v>
      </c>
      <c r="S36" s="9" t="str">
        <f>FIXED(VLOOKUP($A36,'Small Sample 1-Townhouse'!$A:$R,S$1,0),2)</f>
        <v>0.00</v>
      </c>
      <c r="T36" s="3" t="str">
        <f>FIXED(VLOOKUP($A36,'Small Sample 1-Townhouse'!$A:$R,T$1,0),2)</f>
        <v>0.00</v>
      </c>
      <c r="U36" s="3" t="str">
        <f>FIXED(VLOOKUP($A36,'Small Sample 1-Townhouse'!$A:$R,U$1,0),2)</f>
        <v>0.00</v>
      </c>
      <c r="V36" s="13" t="str">
        <f>FIXED(VLOOKUP($A36,'Small Sample 1-Townhouse'!$A:$R,V$1,0),2)</f>
        <v>0.00</v>
      </c>
      <c r="W36" s="9" t="str">
        <f>FIXED(VLOOKUP($A36,'Small Sample 1-Townhouse'!$A:$R,W$1,0),2)</f>
        <v>0.00</v>
      </c>
      <c r="X36" s="3" t="str">
        <f>FIXED(VLOOKUP($A36,'Small Sample 1-Townhouse'!$A:$R,X$1,0),2)</f>
        <v>0.00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2-Townhouse'!$A:$R,AA$1,0),2)</f>
        <v>0.00</v>
      </c>
      <c r="AB36" s="3" t="str">
        <f>FIXED(VLOOKUP($A36,'Small Sample 2-Townhouse'!$A:$R,AB$1,0),2)</f>
        <v>0.01</v>
      </c>
      <c r="AC36" s="3" t="str">
        <f>FIXED(VLOOKUP($A36,'Small Sample 2-Townhouse'!$A:$R,AC$1,0),2)</f>
        <v>0.00</v>
      </c>
      <c r="AD36" s="3" t="str">
        <f>FIXED(VLOOKUP($A36,'Small Sample 2-Townhouse'!$A:$R,AD$1,0),2)</f>
        <v>1.00</v>
      </c>
      <c r="AE36" s="9" t="str">
        <f>FIXED(VLOOKUP($A36,'Small Sample 2-Townhouse'!$A:$R,AE$1,0),2)</f>
        <v>0.00</v>
      </c>
      <c r="AF36" s="3" t="str">
        <f>FIXED(VLOOKUP($A36,'Small Sample 2-Townhouse'!$A:$R,AF$1,0),2)</f>
        <v>0.00</v>
      </c>
      <c r="AG36" s="3" t="str">
        <f>FIXED(VLOOKUP($A36,'Small Sample 2-Townhouse'!$A:$R,AG$1,0),2)</f>
        <v>0.00</v>
      </c>
      <c r="AH36" s="13" t="str">
        <f>FIXED(VLOOKUP($A36,'Small Sample 2-Townhouse'!$A:$R,AH$1,0),2)</f>
        <v>0.00</v>
      </c>
      <c r="AI36" s="9" t="str">
        <f>FIXED(VLOOKUP($A36,'Small Sample 2-Townhouse'!$A:$R,AI$1,0),2)</f>
        <v>0.00</v>
      </c>
      <c r="AJ36" s="3" t="str">
        <f>FIXED(VLOOKUP($A36,'Small Sample 2-Townhouse'!$A:$R,AJ$1,0),2)</f>
        <v>0.00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Sample-Townhouse'!$A:$R,C$1,0),2)</f>
        <v>0.00</v>
      </c>
      <c r="D37" s="3" t="str">
        <f>FIXED(VLOOKUP($A37,'Full Sample-Townhouse'!$A:$R,D$1,0),2)</f>
        <v>0.00</v>
      </c>
      <c r="E37" s="3" t="str">
        <f>FIXED(VLOOKUP($A37,'Full Sample-Townhouse'!$A:$R,E$1,0),2)</f>
        <v>0.00</v>
      </c>
      <c r="F37" s="3" t="str">
        <f>FIXED(VLOOKUP($A37,'Full Sample-Townhouse'!$A:$R,F$1,0),2)</f>
        <v>0.00</v>
      </c>
      <c r="G37" s="9" t="str">
        <f>FIXED(VLOOKUP($A37,'Full Sample-Townhouse'!$A:$R,G$1,0),2)</f>
        <v>0.00</v>
      </c>
      <c r="H37" s="3" t="str">
        <f>FIXED(VLOOKUP($A37,'Full Sample-Townhouse'!$A:$R,H$1,0),2)</f>
        <v>0.00</v>
      </c>
      <c r="I37" s="3" t="str">
        <f>FIXED(VLOOKUP($A37,'Full Sample-Townhouse'!$A:$R,I$1,0),2)</f>
        <v>0.00</v>
      </c>
      <c r="J37" s="13" t="str">
        <f>FIXED(VLOOKUP($A37,'Full Sample-Townhouse'!$A:$R,J$1,0),2)</f>
        <v>0.00</v>
      </c>
      <c r="K37" s="9" t="str">
        <f>FIXED(VLOOKUP($A37,'Full Sample-Townhouse'!$A:$R,K$1,0),2)</f>
        <v>0.00</v>
      </c>
      <c r="L37" s="3" t="str">
        <f>FIXED(VLOOKUP($A37,'Full Sample-Townhouse'!$A:$R,L$1,0),2)</f>
        <v>0.00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1-Townhouse'!$A:$R,O$1,0),2)</f>
        <v>0.00</v>
      </c>
      <c r="P37" s="3" t="str">
        <f>FIXED(VLOOKUP($A37,'Small Sample 1-Townhouse'!$A:$R,P$1,0),2)</f>
        <v>0.00</v>
      </c>
      <c r="Q37" s="3" t="str">
        <f>FIXED(VLOOKUP($A37,'Small Sample 1-Townhouse'!$A:$R,Q$1,0),2)</f>
        <v>0.00</v>
      </c>
      <c r="R37" s="3" t="str">
        <f>FIXED(VLOOKUP($A37,'Small Sample 1-Townhouse'!$A:$R,R$1,0),2)</f>
        <v>0.00</v>
      </c>
      <c r="S37" s="9" t="str">
        <f>FIXED(VLOOKUP($A37,'Small Sample 1-Townhouse'!$A:$R,S$1,0),2)</f>
        <v>0.08</v>
      </c>
      <c r="T37" s="3" t="str">
        <f>FIXED(VLOOKUP($A37,'Small Sample 1-Townhouse'!$A:$R,T$1,0),2)</f>
        <v>0.28</v>
      </c>
      <c r="U37" s="3" t="str">
        <f>FIXED(VLOOKUP($A37,'Small Sample 1-Townhouse'!$A:$R,U$1,0),2)</f>
        <v>0.00</v>
      </c>
      <c r="V37" s="13" t="str">
        <f>FIXED(VLOOKUP($A37,'Small Sample 1-Townhouse'!$A:$R,V$1,0),2)</f>
        <v>1.00</v>
      </c>
      <c r="W37" s="9" t="str">
        <f>FIXED(VLOOKUP($A37,'Small Sample 1-Townhouse'!$A:$R,W$1,0),2)</f>
        <v>0.00</v>
      </c>
      <c r="X37" s="3" t="str">
        <f>FIXED(VLOOKUP($A37,'Small Sample 1-Townhouse'!$A:$R,X$1,0),2)</f>
        <v>0.00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2-Townhouse'!$A:$R,AA$1,0),2)</f>
        <v>0.00</v>
      </c>
      <c r="AB37" s="3" t="str">
        <f>FIXED(VLOOKUP($A37,'Small Sample 2-Townhouse'!$A:$R,AB$1,0),2)</f>
        <v>0.00</v>
      </c>
      <c r="AC37" s="3" t="str">
        <f>FIXED(VLOOKUP($A37,'Small Sample 2-Townhouse'!$A:$R,AC$1,0),2)</f>
        <v>0.00</v>
      </c>
      <c r="AD37" s="3" t="str">
        <f>FIXED(VLOOKUP($A37,'Small Sample 2-Townhouse'!$A:$R,AD$1,0),2)</f>
        <v>0.00</v>
      </c>
      <c r="AE37" s="9" t="str">
        <f>FIXED(VLOOKUP($A37,'Small Sample 2-Townhouse'!$A:$R,AE$1,0),2)</f>
        <v>0.09</v>
      </c>
      <c r="AF37" s="3" t="str">
        <f>FIXED(VLOOKUP($A37,'Small Sample 2-Townhouse'!$A:$R,AF$1,0),2)</f>
        <v>0.28</v>
      </c>
      <c r="AG37" s="3" t="str">
        <f>FIXED(VLOOKUP($A37,'Small Sample 2-Townhouse'!$A:$R,AG$1,0),2)</f>
        <v>0.00</v>
      </c>
      <c r="AH37" s="13" t="str">
        <f>FIXED(VLOOKUP($A37,'Small Sample 2-Townhouse'!$A:$R,AH$1,0),2)</f>
        <v>1.00</v>
      </c>
      <c r="AI37" s="9" t="str">
        <f>FIXED(VLOOKUP($A37,'Small Sample 2-Townhouse'!$A:$R,AI$1,0),2)</f>
        <v>0.00</v>
      </c>
      <c r="AJ37" s="3" t="str">
        <f>FIXED(VLOOKUP($A37,'Small Sample 2-Townhouse'!$A:$R,AJ$1,0),2)</f>
        <v>0.00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tr">
        <f>FIXED(VLOOKUP($A38,'Full Sample-Townhouse'!$A:$R,C$1,0),2)</f>
        <v>0.08</v>
      </c>
      <c r="D38" s="3" t="str">
        <f>FIXED(VLOOKUP($A38,'Full Sample-Townhouse'!$A:$R,D$1,0),2)</f>
        <v>0.28</v>
      </c>
      <c r="E38" s="3" t="str">
        <f>FIXED(VLOOKUP($A38,'Full Sample-Townhouse'!$A:$R,E$1,0),2)</f>
        <v>0.00</v>
      </c>
      <c r="F38" s="3" t="str">
        <f>FIXED(VLOOKUP($A38,'Full Sample-Townhouse'!$A:$R,F$1,0),2)</f>
        <v>1.00</v>
      </c>
      <c r="G38" s="9" t="str">
        <f>FIXED(VLOOKUP($A38,'Full Sample-Townhouse'!$A:$R,G$1,0),2)</f>
        <v>0.09</v>
      </c>
      <c r="H38" s="3" t="str">
        <f>FIXED(VLOOKUP($A38,'Full Sample-Townhouse'!$A:$R,H$1,0),2)</f>
        <v>0.28</v>
      </c>
      <c r="I38" s="3" t="str">
        <f>FIXED(VLOOKUP($A38,'Full Sample-Townhouse'!$A:$R,I$1,0),2)</f>
        <v>0.00</v>
      </c>
      <c r="J38" s="13" t="str">
        <f>FIXED(VLOOKUP($A38,'Full Sample-Townhouse'!$A:$R,J$1,0),2)</f>
        <v>1.00</v>
      </c>
      <c r="K38" s="9" t="str">
        <f>FIXED(VLOOKUP($A38,'Full Sample-Townhouse'!$A:$R,K$1,0),2)</f>
        <v>0.08</v>
      </c>
      <c r="L38" s="3" t="str">
        <f>FIXED(VLOOKUP($A38,'Full Sample-Townhouse'!$A:$R,L$1,0),2)</f>
        <v>0.27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FIXED(VLOOKUP($A38,'Small Sample 1-Townhouse'!$A:$R,O$1,0),2)</f>
        <v>0.08</v>
      </c>
      <c r="P38" s="3" t="str">
        <f>FIXED(VLOOKUP($A38,'Small Sample 1-Townhouse'!$A:$R,P$1,0),2)</f>
        <v>0.27</v>
      </c>
      <c r="Q38" s="3" t="str">
        <f>FIXED(VLOOKUP($A38,'Small Sample 1-Townhouse'!$A:$R,Q$1,0),2)</f>
        <v>0.00</v>
      </c>
      <c r="R38" s="3" t="str">
        <f>FIXED(VLOOKUP($A38,'Small Sample 1-Townhouse'!$A:$R,R$1,0),2)</f>
        <v>1.00</v>
      </c>
      <c r="S38" s="9" t="str">
        <f>FIXED(VLOOKUP($A38,'Small Sample 1-Townhouse'!$A:$R,S$1,0),2)</f>
        <v>0.00</v>
      </c>
      <c r="T38" s="3" t="str">
        <f>FIXED(VLOOKUP($A38,'Small Sample 1-Townhouse'!$A:$R,T$1,0),2)</f>
        <v>0.02</v>
      </c>
      <c r="U38" s="3" t="str">
        <f>FIXED(VLOOKUP($A38,'Small Sample 1-Townhouse'!$A:$R,U$1,0),2)</f>
        <v>0.00</v>
      </c>
      <c r="V38" s="13" t="str">
        <f>FIXED(VLOOKUP($A38,'Small Sample 1-Townhouse'!$A:$R,V$1,0),2)</f>
        <v>1.00</v>
      </c>
      <c r="W38" s="9" t="str">
        <f>FIXED(VLOOKUP($A38,'Small Sample 1-Townhouse'!$A:$R,W$1,0),2)</f>
        <v>0.08</v>
      </c>
      <c r="X38" s="3" t="str">
        <f>FIXED(VLOOKUP($A38,'Small Sample 1-Townhouse'!$A:$R,X$1,0),2)</f>
        <v>0.27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tr">
        <f>FIXED(VLOOKUP($A38,'Small Sample 2-Townhouse'!$A:$R,AA$1,0),2)</f>
        <v>0.08</v>
      </c>
      <c r="AB38" s="3" t="str">
        <f>FIXED(VLOOKUP($A38,'Small Sample 2-Townhouse'!$A:$R,AB$1,0),2)</f>
        <v>0.28</v>
      </c>
      <c r="AC38" s="3" t="str">
        <f>FIXED(VLOOKUP($A38,'Small Sample 2-Townhouse'!$A:$R,AC$1,0),2)</f>
        <v>0.00</v>
      </c>
      <c r="AD38" s="3" t="str">
        <f>FIXED(VLOOKUP($A38,'Small Sample 2-Townhouse'!$A:$R,AD$1,0),2)</f>
        <v>1.00</v>
      </c>
      <c r="AE38" s="9" t="str">
        <f>FIXED(VLOOKUP($A38,'Small Sample 2-Townhouse'!$A:$R,AE$1,0),2)</f>
        <v>0.00</v>
      </c>
      <c r="AF38" s="3" t="str">
        <f>FIXED(VLOOKUP($A38,'Small Sample 2-Townhouse'!$A:$R,AF$1,0),2)</f>
        <v>0.03</v>
      </c>
      <c r="AG38" s="3" t="str">
        <f>FIXED(VLOOKUP($A38,'Small Sample 2-Townhouse'!$A:$R,AG$1,0),2)</f>
        <v>0.00</v>
      </c>
      <c r="AH38" s="13" t="str">
        <f>FIXED(VLOOKUP($A38,'Small Sample 2-Townhouse'!$A:$R,AH$1,0),2)</f>
        <v>1.00</v>
      </c>
      <c r="AI38" s="9" t="str">
        <f>FIXED(VLOOKUP($A38,'Small Sample 2-Townhouse'!$A:$R,AI$1,0),2)</f>
        <v>0.08</v>
      </c>
      <c r="AJ38" s="3" t="str">
        <f>FIXED(VLOOKUP($A38,'Small Sample 2-Townhouse'!$A:$R,AJ$1,0),2)</f>
        <v>0.27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Sample-Townhouse'!$A:$R,C$1,0),2)</f>
        <v>0.11</v>
      </c>
      <c r="D39" s="3" t="str">
        <f>FIXED(VLOOKUP($A39,'Full Sample-Townhouse'!$A:$R,D$1,0),2)</f>
        <v>0.31</v>
      </c>
      <c r="E39" s="3" t="str">
        <f>FIXED(VLOOKUP($A39,'Full Sample-Townhouse'!$A:$R,E$1,0),2)</f>
        <v>0.00</v>
      </c>
      <c r="F39" s="3" t="str">
        <f>FIXED(VLOOKUP($A39,'Full Sample-Townhouse'!$A:$R,F$1,0),2)</f>
        <v>1.00</v>
      </c>
      <c r="G39" s="9" t="str">
        <f>FIXED(VLOOKUP($A39,'Full Sample-Townhouse'!$A:$R,G$1,0),2)</f>
        <v>0.11</v>
      </c>
      <c r="H39" s="3" t="str">
        <f>FIXED(VLOOKUP($A39,'Full Sample-Townhouse'!$A:$R,H$1,0),2)</f>
        <v>0.32</v>
      </c>
      <c r="I39" s="3" t="str">
        <f>FIXED(VLOOKUP($A39,'Full Sample-Townhouse'!$A:$R,I$1,0),2)</f>
        <v>0.00</v>
      </c>
      <c r="J39" s="13" t="str">
        <f>FIXED(VLOOKUP($A39,'Full Sample-Townhouse'!$A:$R,J$1,0),2)</f>
        <v>1.00</v>
      </c>
      <c r="K39" s="9" t="str">
        <f>FIXED(VLOOKUP($A39,'Full Sample-Townhouse'!$A:$R,K$1,0),2)</f>
        <v>0.11</v>
      </c>
      <c r="L39" s="3" t="str">
        <f>FIXED(VLOOKUP($A39,'Full Sample-Townhouse'!$A:$R,L$1,0),2)</f>
        <v>0.31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1-Townhouse'!$A:$R,O$1,0),2)</f>
        <v>0.10</v>
      </c>
      <c r="P39" s="3" t="str">
        <f>FIXED(VLOOKUP($A39,'Small Sample 1-Townhouse'!$A:$R,P$1,0),2)</f>
        <v>0.30</v>
      </c>
      <c r="Q39" s="3" t="str">
        <f>FIXED(VLOOKUP($A39,'Small Sample 1-Townhouse'!$A:$R,Q$1,0),2)</f>
        <v>0.00</v>
      </c>
      <c r="R39" s="3" t="str">
        <f>FIXED(VLOOKUP($A39,'Small Sample 1-Townhouse'!$A:$R,R$1,0),2)</f>
        <v>1.00</v>
      </c>
      <c r="S39" s="9" t="str">
        <f>FIXED(VLOOKUP($A39,'Small Sample 1-Townhouse'!$A:$R,S$1,0),2)</f>
        <v>0.00</v>
      </c>
      <c r="T39" s="3" t="str">
        <f>FIXED(VLOOKUP($A39,'Small Sample 1-Townhouse'!$A:$R,T$1,0),2)</f>
        <v>0.02</v>
      </c>
      <c r="U39" s="3" t="str">
        <f>FIXED(VLOOKUP($A39,'Small Sample 1-Townhouse'!$A:$R,U$1,0),2)</f>
        <v>0.00</v>
      </c>
      <c r="V39" s="13" t="str">
        <f>FIXED(VLOOKUP($A39,'Small Sample 1-Townhouse'!$A:$R,V$1,0),2)</f>
        <v>1.00</v>
      </c>
      <c r="W39" s="9" t="str">
        <f>FIXED(VLOOKUP($A39,'Small Sample 1-Townhouse'!$A:$R,W$1,0),2)</f>
        <v>0.11</v>
      </c>
      <c r="X39" s="3" t="str">
        <f>FIXED(VLOOKUP($A39,'Small Sample 1-Townhouse'!$A:$R,X$1,0),2)</f>
        <v>0.31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2-Townhouse'!$A:$R,AA$1,0),2)</f>
        <v>0.10</v>
      </c>
      <c r="AB39" s="3" t="str">
        <f>FIXED(VLOOKUP($A39,'Small Sample 2-Townhouse'!$A:$R,AB$1,0),2)</f>
        <v>0.30</v>
      </c>
      <c r="AC39" s="3" t="str">
        <f>FIXED(VLOOKUP($A39,'Small Sample 2-Townhouse'!$A:$R,AC$1,0),2)</f>
        <v>0.00</v>
      </c>
      <c r="AD39" s="3" t="str">
        <f>FIXED(VLOOKUP($A39,'Small Sample 2-Townhouse'!$A:$R,AD$1,0),2)</f>
        <v>1.00</v>
      </c>
      <c r="AE39" s="9" t="str">
        <f>FIXED(VLOOKUP($A39,'Small Sample 2-Townhouse'!$A:$R,AE$1,0),2)</f>
        <v>0.00</v>
      </c>
      <c r="AF39" s="3" t="str">
        <f>FIXED(VLOOKUP($A39,'Small Sample 2-Townhouse'!$A:$R,AF$1,0),2)</f>
        <v>0.02</v>
      </c>
      <c r="AG39" s="3" t="str">
        <f>FIXED(VLOOKUP($A39,'Small Sample 2-Townhouse'!$A:$R,AG$1,0),2)</f>
        <v>0.00</v>
      </c>
      <c r="AH39" s="13" t="str">
        <f>FIXED(VLOOKUP($A39,'Small Sample 2-Townhouse'!$A:$R,AH$1,0),2)</f>
        <v>1.00</v>
      </c>
      <c r="AI39" s="9" t="str">
        <f>FIXED(VLOOKUP($A39,'Small Sample 2-Townhouse'!$A:$R,AI$1,0),2)</f>
        <v>0.09</v>
      </c>
      <c r="AJ39" s="3" t="str">
        <f>FIXED(VLOOKUP($A39,'Small Sample 2-Townhouse'!$A:$R,AJ$1,0),2)</f>
        <v>0.28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Sample-Townhouse'!$A:$R,C$1,0),2)</f>
        <v>0.00</v>
      </c>
      <c r="D40" s="3" t="str">
        <f>FIXED(VLOOKUP($A40,'Full Sample-Townhouse'!$A:$R,D$1,0),2)</f>
        <v>0.02</v>
      </c>
      <c r="E40" s="3" t="str">
        <f>FIXED(VLOOKUP($A40,'Full Sample-Townhouse'!$A:$R,E$1,0),2)</f>
        <v>0.00</v>
      </c>
      <c r="F40" s="3" t="str">
        <f>FIXED(VLOOKUP($A40,'Full Sample-Townhouse'!$A:$R,F$1,0),2)</f>
        <v>1.00</v>
      </c>
      <c r="G40" s="9" t="str">
        <f>FIXED(VLOOKUP($A40,'Full Sample-Townhouse'!$A:$R,G$1,0),2)</f>
        <v>0.00</v>
      </c>
      <c r="H40" s="3" t="str">
        <f>FIXED(VLOOKUP($A40,'Full Sample-Townhouse'!$A:$R,H$1,0),2)</f>
        <v>0.02</v>
      </c>
      <c r="I40" s="3" t="str">
        <f>FIXED(VLOOKUP($A40,'Full Sample-Townhouse'!$A:$R,I$1,0),2)</f>
        <v>0.00</v>
      </c>
      <c r="J40" s="13" t="str">
        <f>FIXED(VLOOKUP($A40,'Full Sample-Townhouse'!$A:$R,J$1,0),2)</f>
        <v>1.00</v>
      </c>
      <c r="K40" s="9" t="str">
        <f>FIXED(VLOOKUP($A40,'Full Sample-Townhouse'!$A:$R,K$1,0),2)</f>
        <v>0.00</v>
      </c>
      <c r="L40" s="3" t="str">
        <f>FIXED(VLOOKUP($A40,'Full Sample-Townhouse'!$A:$R,L$1,0),2)</f>
        <v>0.03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1-Townhouse'!$A:$R,O$1,0),2)</f>
        <v>0.00</v>
      </c>
      <c r="P40" s="3" t="str">
        <f>FIXED(VLOOKUP($A40,'Small Sample 1-Townhouse'!$A:$R,P$1,0),2)</f>
        <v>0.02</v>
      </c>
      <c r="Q40" s="3" t="str">
        <f>FIXED(VLOOKUP($A40,'Small Sample 1-Townhouse'!$A:$R,Q$1,0),2)</f>
        <v>0.00</v>
      </c>
      <c r="R40" s="3" t="str">
        <f>FIXED(VLOOKUP($A40,'Small Sample 1-Townhouse'!$A:$R,R$1,0),2)</f>
        <v>1.00</v>
      </c>
      <c r="S40" s="9" t="str">
        <f>FIXED(VLOOKUP($A40,'Small Sample 1-Townhouse'!$A:$R,S$1,0),2)</f>
        <v>0.06</v>
      </c>
      <c r="T40" s="3" t="str">
        <f>FIXED(VLOOKUP($A40,'Small Sample 1-Townhouse'!$A:$R,T$1,0),2)</f>
        <v>0.23</v>
      </c>
      <c r="U40" s="3" t="str">
        <f>FIXED(VLOOKUP($A40,'Small Sample 1-Townhouse'!$A:$R,U$1,0),2)</f>
        <v>0.00</v>
      </c>
      <c r="V40" s="13" t="str">
        <f>FIXED(VLOOKUP($A40,'Small Sample 1-Townhouse'!$A:$R,V$1,0),2)</f>
        <v>1.00</v>
      </c>
      <c r="W40" s="9" t="str">
        <f>FIXED(VLOOKUP($A40,'Small Sample 1-Townhouse'!$A:$R,W$1,0),2)</f>
        <v>0.00</v>
      </c>
      <c r="X40" s="3" t="str">
        <f>FIXED(VLOOKUP($A40,'Small Sample 1-Townhouse'!$A:$R,X$1,0),2)</f>
        <v>0.03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2-Townhouse'!$A:$R,AA$1,0),2)</f>
        <v>0.00</v>
      </c>
      <c r="AB40" s="3" t="str">
        <f>FIXED(VLOOKUP($A40,'Small Sample 2-Townhouse'!$A:$R,AB$1,0),2)</f>
        <v>0.02</v>
      </c>
      <c r="AC40" s="3" t="str">
        <f>FIXED(VLOOKUP($A40,'Small Sample 2-Townhouse'!$A:$R,AC$1,0),2)</f>
        <v>0.00</v>
      </c>
      <c r="AD40" s="3" t="str">
        <f>FIXED(VLOOKUP($A40,'Small Sample 2-Townhouse'!$A:$R,AD$1,0),2)</f>
        <v>1.00</v>
      </c>
      <c r="AE40" s="9" t="str">
        <f>FIXED(VLOOKUP($A40,'Small Sample 2-Townhouse'!$A:$R,AE$1,0),2)</f>
        <v>0.05</v>
      </c>
      <c r="AF40" s="3" t="str">
        <f>FIXED(VLOOKUP($A40,'Small Sample 2-Townhouse'!$A:$R,AF$1,0),2)</f>
        <v>0.22</v>
      </c>
      <c r="AG40" s="3" t="str">
        <f>FIXED(VLOOKUP($A40,'Small Sample 2-Townhouse'!$A:$R,AG$1,0),2)</f>
        <v>0.00</v>
      </c>
      <c r="AH40" s="13" t="str">
        <f>FIXED(VLOOKUP($A40,'Small Sample 2-Townhouse'!$A:$R,AH$1,0),2)</f>
        <v>1.00</v>
      </c>
      <c r="AI40" s="9" t="str">
        <f>FIXED(VLOOKUP($A40,'Small Sample 2-Townhouse'!$A:$R,AI$1,0),2)</f>
        <v>0.00</v>
      </c>
      <c r="AJ40" s="3" t="str">
        <f>FIXED(VLOOKUP($A40,'Small Sample 2-Townhouse'!$A:$R,AJ$1,0),2)</f>
        <v>0.02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9" t="str">
        <f>FIXED(VLOOKUP($A41,'Full Sample-Townhouse'!$A:$R,C$1,0),2)</f>
        <v>0.05</v>
      </c>
      <c r="D41" s="3" t="str">
        <f>FIXED(VLOOKUP($A41,'Full Sample-Townhouse'!$A:$R,D$1,0),2)</f>
        <v>0.23</v>
      </c>
      <c r="E41" s="3" t="str">
        <f>FIXED(VLOOKUP($A41,'Full Sample-Townhouse'!$A:$R,E$1,0),2)</f>
        <v>0.00</v>
      </c>
      <c r="F41" s="3" t="str">
        <f>FIXED(VLOOKUP($A41,'Full Sample-Townhouse'!$A:$R,F$1,0),2)</f>
        <v>1.00</v>
      </c>
      <c r="G41" s="9" t="str">
        <f>FIXED(VLOOKUP($A41,'Full Sample-Townhouse'!$A:$R,G$1,0),2)</f>
        <v>0.05</v>
      </c>
      <c r="H41" s="3" t="str">
        <f>FIXED(VLOOKUP($A41,'Full Sample-Townhouse'!$A:$R,H$1,0),2)</f>
        <v>0.22</v>
      </c>
      <c r="I41" s="3" t="str">
        <f>FIXED(VLOOKUP($A41,'Full Sample-Townhouse'!$A:$R,I$1,0),2)</f>
        <v>0.00</v>
      </c>
      <c r="J41" s="13" t="str">
        <f>FIXED(VLOOKUP($A41,'Full Sample-Townhouse'!$A:$R,J$1,0),2)</f>
        <v>1.00</v>
      </c>
      <c r="K41" s="9" t="str">
        <f>FIXED(VLOOKUP($A41,'Full Sample-Townhouse'!$A:$R,K$1,0),2)</f>
        <v>0.06</v>
      </c>
      <c r="L41" s="3" t="str">
        <f>FIXED(VLOOKUP($A41,'Full Sample-Townhouse'!$A:$R,L$1,0),2)</f>
        <v>0.23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FIXED(VLOOKUP($A41,'Small Sample 1-Townhouse'!$A:$R,O$1,0),2)</f>
        <v>0.06</v>
      </c>
      <c r="P41" s="3" t="str">
        <f>FIXED(VLOOKUP($A41,'Small Sample 1-Townhouse'!$A:$R,P$1,0),2)</f>
        <v>0.23</v>
      </c>
      <c r="Q41" s="3" t="str">
        <f>FIXED(VLOOKUP($A41,'Small Sample 1-Townhouse'!$A:$R,Q$1,0),2)</f>
        <v>0.00</v>
      </c>
      <c r="R41" s="3" t="str">
        <f>FIXED(VLOOKUP($A41,'Small Sample 1-Townhouse'!$A:$R,R$1,0),2)</f>
        <v>1.00</v>
      </c>
      <c r="S41" s="9" t="str">
        <f>FIXED(VLOOKUP($A41,'Small Sample 1-Townhouse'!$A:$R,S$1,0),2)</f>
        <v>0.22</v>
      </c>
      <c r="T41" s="3" t="str">
        <f>FIXED(VLOOKUP($A41,'Small Sample 1-Townhouse'!$A:$R,T$1,0),2)</f>
        <v>0.41</v>
      </c>
      <c r="U41" s="3" t="str">
        <f>FIXED(VLOOKUP($A41,'Small Sample 1-Townhouse'!$A:$R,U$1,0),2)</f>
        <v>0.00</v>
      </c>
      <c r="V41" s="13" t="str">
        <f>FIXED(VLOOKUP($A41,'Small Sample 1-Townhouse'!$A:$R,V$1,0),2)</f>
        <v>1.00</v>
      </c>
      <c r="W41" s="9" t="str">
        <f>FIXED(VLOOKUP($A41,'Small Sample 1-Townhouse'!$A:$R,W$1,0),2)</f>
        <v>0.06</v>
      </c>
      <c r="X41" s="3" t="str">
        <f>FIXED(VLOOKUP($A41,'Small Sample 1-Townhouse'!$A:$R,X$1,0),2)</f>
        <v>0.23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9" t="str">
        <f>FIXED(VLOOKUP($A41,'Small Sample 2-Townhouse'!$A:$R,AA$1,0),2)</f>
        <v>0.06</v>
      </c>
      <c r="AB41" s="3" t="str">
        <f>FIXED(VLOOKUP($A41,'Small Sample 2-Townhouse'!$A:$R,AB$1,0),2)</f>
        <v>0.23</v>
      </c>
      <c r="AC41" s="3" t="str">
        <f>FIXED(VLOOKUP($A41,'Small Sample 2-Townhouse'!$A:$R,AC$1,0),2)</f>
        <v>0.00</v>
      </c>
      <c r="AD41" s="3" t="str">
        <f>FIXED(VLOOKUP($A41,'Small Sample 2-Townhouse'!$A:$R,AD$1,0),2)</f>
        <v>1.00</v>
      </c>
      <c r="AE41" s="9" t="str">
        <f>FIXED(VLOOKUP($A41,'Small Sample 2-Townhouse'!$A:$R,AE$1,0),2)</f>
        <v>0.23</v>
      </c>
      <c r="AF41" s="3" t="str">
        <f>FIXED(VLOOKUP($A41,'Small Sample 2-Townhouse'!$A:$R,AF$1,0),2)</f>
        <v>0.42</v>
      </c>
      <c r="AG41" s="3" t="str">
        <f>FIXED(VLOOKUP($A41,'Small Sample 2-Townhouse'!$A:$R,AG$1,0),2)</f>
        <v>0.00</v>
      </c>
      <c r="AH41" s="13" t="str">
        <f>FIXED(VLOOKUP($A41,'Small Sample 2-Townhouse'!$A:$R,AH$1,0),2)</f>
        <v>1.00</v>
      </c>
      <c r="AI41" s="9" t="str">
        <f>FIXED(VLOOKUP($A41,'Small Sample 2-Townhouse'!$A:$R,AI$1,0),2)</f>
        <v>0.06</v>
      </c>
      <c r="AJ41" s="3" t="str">
        <f>FIXED(VLOOKUP($A41,'Small Sample 2-Townhouse'!$A:$R,AJ$1,0),2)</f>
        <v>0.24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Sample-Townhouse'!$A:$R,C$1,0),2)</f>
        <v>0.23</v>
      </c>
      <c r="D42" s="3" t="str">
        <f>FIXED(VLOOKUP($A42,'Full Sample-Townhouse'!$A:$R,D$1,0),2)</f>
        <v>0.42</v>
      </c>
      <c r="E42" s="3" t="str">
        <f>FIXED(VLOOKUP($A42,'Full Sample-Townhouse'!$A:$R,E$1,0),2)</f>
        <v>0.00</v>
      </c>
      <c r="F42" s="3" t="str">
        <f>FIXED(VLOOKUP($A42,'Full Sample-Townhouse'!$A:$R,F$1,0),2)</f>
        <v>1.00</v>
      </c>
      <c r="G42" s="9" t="str">
        <f>FIXED(VLOOKUP($A42,'Full Sample-Townhouse'!$A:$R,G$1,0),2)</f>
        <v>0.24</v>
      </c>
      <c r="H42" s="3" t="str">
        <f>FIXED(VLOOKUP($A42,'Full Sample-Townhouse'!$A:$R,H$1,0),2)</f>
        <v>0.43</v>
      </c>
      <c r="I42" s="3" t="str">
        <f>FIXED(VLOOKUP($A42,'Full Sample-Townhouse'!$A:$R,I$1,0),2)</f>
        <v>0.00</v>
      </c>
      <c r="J42" s="13" t="str">
        <f>FIXED(VLOOKUP($A42,'Full Sample-Townhouse'!$A:$R,J$1,0),2)</f>
        <v>1.00</v>
      </c>
      <c r="K42" s="9" t="str">
        <f>FIXED(VLOOKUP($A42,'Full Sample-Townhouse'!$A:$R,K$1,0),2)</f>
        <v>0.22</v>
      </c>
      <c r="L42" s="3" t="str">
        <f>FIXED(VLOOKUP($A42,'Full Sample-Townhouse'!$A:$R,L$1,0),2)</f>
        <v>0.41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1-Townhouse'!$A:$R,O$1,0),2)</f>
        <v>0.22</v>
      </c>
      <c r="P42" s="3" t="str">
        <f>FIXED(VLOOKUP($A42,'Small Sample 1-Townhouse'!$A:$R,P$1,0),2)</f>
        <v>0.41</v>
      </c>
      <c r="Q42" s="3" t="str">
        <f>FIXED(VLOOKUP($A42,'Small Sample 1-Townhouse'!$A:$R,Q$1,0),2)</f>
        <v>0.00</v>
      </c>
      <c r="R42" s="3" t="str">
        <f>FIXED(VLOOKUP($A42,'Small Sample 1-Townhouse'!$A:$R,R$1,0),2)</f>
        <v>1.00</v>
      </c>
      <c r="S42" s="9" t="str">
        <f>FIXED(VLOOKUP($A42,'Small Sample 1-Townhouse'!$A:$R,S$1,0),2)</f>
        <v>0.29</v>
      </c>
      <c r="T42" s="3" t="str">
        <f>FIXED(VLOOKUP($A42,'Small Sample 1-Townhouse'!$A:$R,T$1,0),2)</f>
        <v>0.45</v>
      </c>
      <c r="U42" s="3" t="str">
        <f>FIXED(VLOOKUP($A42,'Small Sample 1-Townhouse'!$A:$R,U$1,0),2)</f>
        <v>0.00</v>
      </c>
      <c r="V42" s="13" t="str">
        <f>FIXED(VLOOKUP($A42,'Small Sample 1-Townhouse'!$A:$R,V$1,0),2)</f>
        <v>1.00</v>
      </c>
      <c r="W42" s="9" t="str">
        <f>FIXED(VLOOKUP($A42,'Small Sample 1-Townhouse'!$A:$R,W$1,0),2)</f>
        <v>0.22</v>
      </c>
      <c r="X42" s="3" t="str">
        <f>FIXED(VLOOKUP($A42,'Small Sample 1-Townhouse'!$A:$R,X$1,0),2)</f>
        <v>0.41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2-Townhouse'!$A:$R,AA$1,0),2)</f>
        <v>0.22</v>
      </c>
      <c r="AB42" s="3" t="str">
        <f>FIXED(VLOOKUP($A42,'Small Sample 2-Townhouse'!$A:$R,AB$1,0),2)</f>
        <v>0.41</v>
      </c>
      <c r="AC42" s="3" t="str">
        <f>FIXED(VLOOKUP($A42,'Small Sample 2-Townhouse'!$A:$R,AC$1,0),2)</f>
        <v>0.00</v>
      </c>
      <c r="AD42" s="3" t="str">
        <f>FIXED(VLOOKUP($A42,'Small Sample 2-Townhouse'!$A:$R,AD$1,0),2)</f>
        <v>1.00</v>
      </c>
      <c r="AE42" s="9" t="str">
        <f>FIXED(VLOOKUP($A42,'Small Sample 2-Townhouse'!$A:$R,AE$1,0),2)</f>
        <v>0.28</v>
      </c>
      <c r="AF42" s="3" t="str">
        <f>FIXED(VLOOKUP($A42,'Small Sample 2-Townhouse'!$A:$R,AF$1,0),2)</f>
        <v>0.45</v>
      </c>
      <c r="AG42" s="3" t="str">
        <f>FIXED(VLOOKUP($A42,'Small Sample 2-Townhouse'!$A:$R,AG$1,0),2)</f>
        <v>0.00</v>
      </c>
      <c r="AH42" s="13" t="str">
        <f>FIXED(VLOOKUP($A42,'Small Sample 2-Townhouse'!$A:$R,AH$1,0),2)</f>
        <v>1.00</v>
      </c>
      <c r="AI42" s="9" t="str">
        <f>FIXED(VLOOKUP($A42,'Small Sample 2-Townhouse'!$A:$R,AI$1,0),2)</f>
        <v>0.20</v>
      </c>
      <c r="AJ42" s="3" t="str">
        <f>FIXED(VLOOKUP($A42,'Small Sample 2-Townhouse'!$A:$R,AJ$1,0),2)</f>
        <v>0.40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Sample-Townhouse'!$A:$R,C$1,0),2)</f>
        <v>0.29</v>
      </c>
      <c r="D43" s="3" t="str">
        <f>FIXED(VLOOKUP($A43,'Full Sample-Townhouse'!$A:$R,D$1,0),2)</f>
        <v>0.45</v>
      </c>
      <c r="E43" s="3" t="str">
        <f>FIXED(VLOOKUP($A43,'Full Sample-Townhouse'!$A:$R,E$1,0),2)</f>
        <v>0.00</v>
      </c>
      <c r="F43" s="3" t="str">
        <f>FIXED(VLOOKUP($A43,'Full Sample-Townhouse'!$A:$R,F$1,0),2)</f>
        <v>1.00</v>
      </c>
      <c r="G43" s="9" t="str">
        <f>FIXED(VLOOKUP($A43,'Full Sample-Townhouse'!$A:$R,G$1,0),2)</f>
        <v>0.28</v>
      </c>
      <c r="H43" s="3" t="str">
        <f>FIXED(VLOOKUP($A43,'Full Sample-Townhouse'!$A:$R,H$1,0),2)</f>
        <v>0.45</v>
      </c>
      <c r="I43" s="3" t="str">
        <f>FIXED(VLOOKUP($A43,'Full Sample-Townhouse'!$A:$R,I$1,0),2)</f>
        <v>0.00</v>
      </c>
      <c r="J43" s="13" t="str">
        <f>FIXED(VLOOKUP($A43,'Full Sample-Townhouse'!$A:$R,J$1,0),2)</f>
        <v>1.00</v>
      </c>
      <c r="K43" s="9" t="str">
        <f>FIXED(VLOOKUP($A43,'Full Sample-Townhouse'!$A:$R,K$1,0),2)</f>
        <v>0.30</v>
      </c>
      <c r="L43" s="3" t="str">
        <f>FIXED(VLOOKUP($A43,'Full Sample-Townhouse'!$A:$R,L$1,0),2)</f>
        <v>0.46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1-Townhouse'!$A:$R,O$1,0),2)</f>
        <v>0.29</v>
      </c>
      <c r="P43" s="3" t="str">
        <f>FIXED(VLOOKUP($A43,'Small Sample 1-Townhouse'!$A:$R,P$1,0),2)</f>
        <v>0.46</v>
      </c>
      <c r="Q43" s="3" t="str">
        <f>FIXED(VLOOKUP($A43,'Small Sample 1-Townhouse'!$A:$R,Q$1,0),2)</f>
        <v>0.00</v>
      </c>
      <c r="R43" s="3" t="str">
        <f>FIXED(VLOOKUP($A43,'Small Sample 1-Townhouse'!$A:$R,R$1,0),2)</f>
        <v>1.00</v>
      </c>
      <c r="S43" s="9" t="str">
        <f>FIXED(VLOOKUP($A43,'Small Sample 1-Townhouse'!$A:$R,S$1,0),2)</f>
        <v>0.08</v>
      </c>
      <c r="T43" s="3" t="str">
        <f>FIXED(VLOOKUP($A43,'Small Sample 1-Townhouse'!$A:$R,T$1,0),2)</f>
        <v>0.26</v>
      </c>
      <c r="U43" s="3" t="str">
        <f>FIXED(VLOOKUP($A43,'Small Sample 1-Townhouse'!$A:$R,U$1,0),2)</f>
        <v>0.00</v>
      </c>
      <c r="V43" s="13" t="str">
        <f>FIXED(VLOOKUP($A43,'Small Sample 1-Townhouse'!$A:$R,V$1,0),2)</f>
        <v>1.00</v>
      </c>
      <c r="W43" s="9" t="str">
        <f>FIXED(VLOOKUP($A43,'Small Sample 1-Townhouse'!$A:$R,W$1,0),2)</f>
        <v>0.30</v>
      </c>
      <c r="X43" s="3" t="str">
        <f>FIXED(VLOOKUP($A43,'Small Sample 1-Townhouse'!$A:$R,X$1,0),2)</f>
        <v>0.46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2-Townhouse'!$A:$R,AA$1,0),2)</f>
        <v>0.29</v>
      </c>
      <c r="AB43" s="3" t="str">
        <f>FIXED(VLOOKUP($A43,'Small Sample 2-Townhouse'!$A:$R,AB$1,0),2)</f>
        <v>0.46</v>
      </c>
      <c r="AC43" s="3" t="str">
        <f>FIXED(VLOOKUP($A43,'Small Sample 2-Townhouse'!$A:$R,AC$1,0),2)</f>
        <v>0.00</v>
      </c>
      <c r="AD43" s="3" t="str">
        <f>FIXED(VLOOKUP($A43,'Small Sample 2-Townhouse'!$A:$R,AD$1,0),2)</f>
        <v>1.00</v>
      </c>
      <c r="AE43" s="9" t="str">
        <f>FIXED(VLOOKUP($A43,'Small Sample 2-Townhouse'!$A:$R,AE$1,0),2)</f>
        <v>0.07</v>
      </c>
      <c r="AF43" s="3" t="str">
        <f>FIXED(VLOOKUP($A43,'Small Sample 2-Townhouse'!$A:$R,AF$1,0),2)</f>
        <v>0.25</v>
      </c>
      <c r="AG43" s="3" t="str">
        <f>FIXED(VLOOKUP($A43,'Small Sample 2-Townhouse'!$A:$R,AG$1,0),2)</f>
        <v>0.00</v>
      </c>
      <c r="AH43" s="13" t="str">
        <f>FIXED(VLOOKUP($A43,'Small Sample 2-Townhouse'!$A:$R,AH$1,0),2)</f>
        <v>1.00</v>
      </c>
      <c r="AI43" s="9" t="str">
        <f>FIXED(VLOOKUP($A43,'Small Sample 2-Townhouse'!$A:$R,AI$1,0),2)</f>
        <v>0.31</v>
      </c>
      <c r="AJ43" s="3" t="str">
        <f>FIXED(VLOOKUP($A43,'Small Sample 2-Townhouse'!$A:$R,AJ$1,0),2)</f>
        <v>0.46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Sample-Townhouse'!$A:$R,C$1,0),2)</f>
        <v>0.07</v>
      </c>
      <c r="D44" s="3" t="str">
        <f>FIXED(VLOOKUP($A44,'Full Sample-Townhouse'!$A:$R,D$1,0),2)</f>
        <v>0.25</v>
      </c>
      <c r="E44" s="3" t="str">
        <f>FIXED(VLOOKUP($A44,'Full Sample-Townhouse'!$A:$R,E$1,0),2)</f>
        <v>0.00</v>
      </c>
      <c r="F44" s="3" t="str">
        <f>FIXED(VLOOKUP($A44,'Full Sample-Townhouse'!$A:$R,F$1,0),2)</f>
        <v>1.00</v>
      </c>
      <c r="G44" s="9" t="str">
        <f>FIXED(VLOOKUP($A44,'Full Sample-Townhouse'!$A:$R,G$1,0),2)</f>
        <v>0.07</v>
      </c>
      <c r="H44" s="3" t="str">
        <f>FIXED(VLOOKUP($A44,'Full Sample-Townhouse'!$A:$R,H$1,0),2)</f>
        <v>0.25</v>
      </c>
      <c r="I44" s="3" t="str">
        <f>FIXED(VLOOKUP($A44,'Full Sample-Townhouse'!$A:$R,I$1,0),2)</f>
        <v>0.00</v>
      </c>
      <c r="J44" s="13" t="str">
        <f>FIXED(VLOOKUP($A44,'Full Sample-Townhouse'!$A:$R,J$1,0),2)</f>
        <v>1.00</v>
      </c>
      <c r="K44" s="9" t="str">
        <f>FIXED(VLOOKUP($A44,'Full Sample-Townhouse'!$A:$R,K$1,0),2)</f>
        <v>0.06</v>
      </c>
      <c r="L44" s="3" t="str">
        <f>FIXED(VLOOKUP($A44,'Full Sample-Townhouse'!$A:$R,L$1,0),2)</f>
        <v>0.25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1-Townhouse'!$A:$R,O$1,0),2)</f>
        <v>0.07</v>
      </c>
      <c r="P44" s="3" t="str">
        <f>FIXED(VLOOKUP($A44,'Small Sample 1-Townhouse'!$A:$R,P$1,0),2)</f>
        <v>0.26</v>
      </c>
      <c r="Q44" s="3" t="str">
        <f>FIXED(VLOOKUP($A44,'Small Sample 1-Townhouse'!$A:$R,Q$1,0),2)</f>
        <v>0.00</v>
      </c>
      <c r="R44" s="3" t="str">
        <f>FIXED(VLOOKUP($A44,'Small Sample 1-Townhouse'!$A:$R,R$1,0),2)</f>
        <v>1.00</v>
      </c>
      <c r="S44" s="9" t="str">
        <f>FIXED(VLOOKUP($A44,'Small Sample 1-Townhouse'!$A:$R,S$1,0),2)</f>
        <v>0.20</v>
      </c>
      <c r="T44" s="3" t="str">
        <f>FIXED(VLOOKUP($A44,'Small Sample 1-Townhouse'!$A:$R,T$1,0),2)</f>
        <v>0.40</v>
      </c>
      <c r="U44" s="3" t="str">
        <f>FIXED(VLOOKUP($A44,'Small Sample 1-Townhouse'!$A:$R,U$1,0),2)</f>
        <v>0.00</v>
      </c>
      <c r="V44" s="13" t="str">
        <f>FIXED(VLOOKUP($A44,'Small Sample 1-Townhouse'!$A:$R,V$1,0),2)</f>
        <v>1.00</v>
      </c>
      <c r="W44" s="9" t="str">
        <f>FIXED(VLOOKUP($A44,'Small Sample 1-Townhouse'!$A:$R,W$1,0),2)</f>
        <v>0.07</v>
      </c>
      <c r="X44" s="3" t="str">
        <f>FIXED(VLOOKUP($A44,'Small Sample 1-Townhouse'!$A:$R,X$1,0),2)</f>
        <v>0.25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2-Townhouse'!$A:$R,AA$1,0),2)</f>
        <v>0.07</v>
      </c>
      <c r="AB44" s="3" t="str">
        <f>FIXED(VLOOKUP($A44,'Small Sample 2-Townhouse'!$A:$R,AB$1,0),2)</f>
        <v>0.26</v>
      </c>
      <c r="AC44" s="3" t="str">
        <f>FIXED(VLOOKUP($A44,'Small Sample 2-Townhouse'!$A:$R,AC$1,0),2)</f>
        <v>0.00</v>
      </c>
      <c r="AD44" s="3" t="str">
        <f>FIXED(VLOOKUP($A44,'Small Sample 2-Townhouse'!$A:$R,AD$1,0),2)</f>
        <v>1.00</v>
      </c>
      <c r="AE44" s="9" t="str">
        <f>FIXED(VLOOKUP($A44,'Small Sample 2-Townhouse'!$A:$R,AE$1,0),2)</f>
        <v>0.19</v>
      </c>
      <c r="AF44" s="3" t="str">
        <f>FIXED(VLOOKUP($A44,'Small Sample 2-Townhouse'!$A:$R,AF$1,0),2)</f>
        <v>0.40</v>
      </c>
      <c r="AG44" s="3" t="str">
        <f>FIXED(VLOOKUP($A44,'Small Sample 2-Townhouse'!$A:$R,AG$1,0),2)</f>
        <v>0.00</v>
      </c>
      <c r="AH44" s="13" t="str">
        <f>FIXED(VLOOKUP($A44,'Small Sample 2-Townhouse'!$A:$R,AH$1,0),2)</f>
        <v>1.00</v>
      </c>
      <c r="AI44" s="9" t="str">
        <f>FIXED(VLOOKUP($A44,'Small Sample 2-Townhouse'!$A:$R,AI$1,0),2)</f>
        <v>0.07</v>
      </c>
      <c r="AJ44" s="3" t="str">
        <f>FIXED(VLOOKUP($A44,'Small Sample 2-Townhouse'!$A:$R,AJ$1,0),2)</f>
        <v>0.26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Sample-Townhouse'!$A:$R,C$1,0),2)</f>
        <v>0.20</v>
      </c>
      <c r="D45" s="3" t="str">
        <f>FIXED(VLOOKUP($A45,'Full Sample-Townhouse'!$A:$R,D$1,0),2)</f>
        <v>0.40</v>
      </c>
      <c r="E45" s="3" t="str">
        <f>FIXED(VLOOKUP($A45,'Full Sample-Townhouse'!$A:$R,E$1,0),2)</f>
        <v>0.00</v>
      </c>
      <c r="F45" s="3" t="str">
        <f>FIXED(VLOOKUP($A45,'Full Sample-Townhouse'!$A:$R,F$1,0),2)</f>
        <v>1.00</v>
      </c>
      <c r="G45" s="9" t="str">
        <f>FIXED(VLOOKUP($A45,'Full Sample-Townhouse'!$A:$R,G$1,0),2)</f>
        <v>0.19</v>
      </c>
      <c r="H45" s="3" t="str">
        <f>FIXED(VLOOKUP($A45,'Full Sample-Townhouse'!$A:$R,H$1,0),2)</f>
        <v>0.39</v>
      </c>
      <c r="I45" s="3" t="str">
        <f>FIXED(VLOOKUP($A45,'Full Sample-Townhouse'!$A:$R,I$1,0),2)</f>
        <v>0.00</v>
      </c>
      <c r="J45" s="13" t="str">
        <f>FIXED(VLOOKUP($A45,'Full Sample-Townhouse'!$A:$R,J$1,0),2)</f>
        <v>1.00</v>
      </c>
      <c r="K45" s="9" t="str">
        <f>FIXED(VLOOKUP($A45,'Full Sample-Townhouse'!$A:$R,K$1,0),2)</f>
        <v>0.20</v>
      </c>
      <c r="L45" s="3" t="str">
        <f>FIXED(VLOOKUP($A45,'Full Sample-Townhouse'!$A:$R,L$1,0),2)</f>
        <v>0.40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1-Townhouse'!$A:$R,O$1,0),2)</f>
        <v>0.20</v>
      </c>
      <c r="P45" s="3" t="str">
        <f>FIXED(VLOOKUP($A45,'Small Sample 1-Townhouse'!$A:$R,P$1,0),2)</f>
        <v>0.40</v>
      </c>
      <c r="Q45" s="3" t="str">
        <f>FIXED(VLOOKUP($A45,'Small Sample 1-Townhouse'!$A:$R,Q$1,0),2)</f>
        <v>0.00</v>
      </c>
      <c r="R45" s="3" t="str">
        <f>FIXED(VLOOKUP($A45,'Small Sample 1-Townhouse'!$A:$R,R$1,0),2)</f>
        <v>1.00</v>
      </c>
      <c r="S45" s="9" t="str">
        <f>FIXED(VLOOKUP($A45,'Small Sample 1-Townhouse'!$A:$R,S$1,0),2)</f>
        <v>0.07</v>
      </c>
      <c r="T45" s="3" t="str">
        <f>FIXED(VLOOKUP($A45,'Small Sample 1-Townhouse'!$A:$R,T$1,0),2)</f>
        <v>0.25</v>
      </c>
      <c r="U45" s="3" t="str">
        <f>FIXED(VLOOKUP($A45,'Small Sample 1-Townhouse'!$A:$R,U$1,0),2)</f>
        <v>0.00</v>
      </c>
      <c r="V45" s="13" t="str">
        <f>FIXED(VLOOKUP($A45,'Small Sample 1-Townhouse'!$A:$R,V$1,0),2)</f>
        <v>1.00</v>
      </c>
      <c r="W45" s="9" t="str">
        <f>FIXED(VLOOKUP($A45,'Small Sample 1-Townhouse'!$A:$R,W$1,0),2)</f>
        <v>0.21</v>
      </c>
      <c r="X45" s="3" t="str">
        <f>FIXED(VLOOKUP($A45,'Small Sample 1-Townhouse'!$A:$R,X$1,0),2)</f>
        <v>0.40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2-Townhouse'!$A:$R,AA$1,0),2)</f>
        <v>0.20</v>
      </c>
      <c r="AB45" s="3" t="str">
        <f>FIXED(VLOOKUP($A45,'Small Sample 2-Townhouse'!$A:$R,AB$1,0),2)</f>
        <v>0.40</v>
      </c>
      <c r="AC45" s="3" t="str">
        <f>FIXED(VLOOKUP($A45,'Small Sample 2-Townhouse'!$A:$R,AC$1,0),2)</f>
        <v>0.00</v>
      </c>
      <c r="AD45" s="3" t="str">
        <f>FIXED(VLOOKUP($A45,'Small Sample 2-Townhouse'!$A:$R,AD$1,0),2)</f>
        <v>1.00</v>
      </c>
      <c r="AE45" s="9" t="str">
        <f>FIXED(VLOOKUP($A45,'Small Sample 2-Townhouse'!$A:$R,AE$1,0),2)</f>
        <v>0.06</v>
      </c>
      <c r="AF45" s="3" t="str">
        <f>FIXED(VLOOKUP($A45,'Small Sample 2-Townhouse'!$A:$R,AF$1,0),2)</f>
        <v>0.24</v>
      </c>
      <c r="AG45" s="3" t="str">
        <f>FIXED(VLOOKUP($A45,'Small Sample 2-Townhouse'!$A:$R,AG$1,0),2)</f>
        <v>0.00</v>
      </c>
      <c r="AH45" s="13" t="str">
        <f>FIXED(VLOOKUP($A45,'Small Sample 2-Townhouse'!$A:$R,AH$1,0),2)</f>
        <v>1.00</v>
      </c>
      <c r="AI45" s="9" t="str">
        <f>FIXED(VLOOKUP($A45,'Small Sample 2-Townhouse'!$A:$R,AI$1,0),2)</f>
        <v>0.22</v>
      </c>
      <c r="AJ45" s="3" t="str">
        <f>FIXED(VLOOKUP($A45,'Small Sample 2-Townhouse'!$A:$R,AJ$1,0),2)</f>
        <v>0.41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Sample-Townhouse'!$A:$R,C$1,0),2)</f>
        <v>0.06</v>
      </c>
      <c r="D46" s="3" t="str">
        <f>FIXED(VLOOKUP($A46,'Full Sample-Townhouse'!$A:$R,D$1,0),2)</f>
        <v>0.23</v>
      </c>
      <c r="E46" s="3" t="str">
        <f>FIXED(VLOOKUP($A46,'Full Sample-Townhouse'!$A:$R,E$1,0),2)</f>
        <v>0.00</v>
      </c>
      <c r="F46" s="3" t="str">
        <f>FIXED(VLOOKUP($A46,'Full Sample-Townhouse'!$A:$R,F$1,0),2)</f>
        <v>1.00</v>
      </c>
      <c r="G46" s="9" t="str">
        <f>FIXED(VLOOKUP($A46,'Full Sample-Townhouse'!$A:$R,G$1,0),2)</f>
        <v>0.06</v>
      </c>
      <c r="H46" s="3" t="str">
        <f>FIXED(VLOOKUP($A46,'Full Sample-Townhouse'!$A:$R,H$1,0),2)</f>
        <v>0.24</v>
      </c>
      <c r="I46" s="3" t="str">
        <f>FIXED(VLOOKUP($A46,'Full Sample-Townhouse'!$A:$R,I$1,0),2)</f>
        <v>0.00</v>
      </c>
      <c r="J46" s="13" t="str">
        <f>FIXED(VLOOKUP($A46,'Full Sample-Townhouse'!$A:$R,J$1,0),2)</f>
        <v>1.00</v>
      </c>
      <c r="K46" s="9" t="str">
        <f>FIXED(VLOOKUP($A46,'Full Sample-Townhouse'!$A:$R,K$1,0),2)</f>
        <v>0.05</v>
      </c>
      <c r="L46" s="3" t="str">
        <f>FIXED(VLOOKUP($A46,'Full Sample-Townhouse'!$A:$R,L$1,0),2)</f>
        <v>0.22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1-Townhouse'!$A:$R,O$1,0),2)</f>
        <v>0.06</v>
      </c>
      <c r="P46" s="3" t="str">
        <f>FIXED(VLOOKUP($A46,'Small Sample 1-Townhouse'!$A:$R,P$1,0),2)</f>
        <v>0.23</v>
      </c>
      <c r="Q46" s="3" t="str">
        <f>FIXED(VLOOKUP($A46,'Small Sample 1-Townhouse'!$A:$R,Q$1,0),2)</f>
        <v>0.00</v>
      </c>
      <c r="R46" s="3" t="str">
        <f>FIXED(VLOOKUP($A46,'Small Sample 1-Townhouse'!$A:$R,R$1,0),2)</f>
        <v>1.00</v>
      </c>
      <c r="S46" s="9" t="str">
        <f>FIXED(VLOOKUP($A46,'Small Sample 1-Townhouse'!$A:$R,S$1,0),2)</f>
        <v>0.17</v>
      </c>
      <c r="T46" s="3" t="str">
        <f>FIXED(VLOOKUP($A46,'Small Sample 1-Townhouse'!$A:$R,T$1,0),2)</f>
        <v>0.38</v>
      </c>
      <c r="U46" s="3" t="str">
        <f>FIXED(VLOOKUP($A46,'Small Sample 1-Townhouse'!$A:$R,U$1,0),2)</f>
        <v>0.00</v>
      </c>
      <c r="V46" s="13" t="str">
        <f>FIXED(VLOOKUP($A46,'Small Sample 1-Townhouse'!$A:$R,V$1,0),2)</f>
        <v>1.00</v>
      </c>
      <c r="W46" s="9" t="str">
        <f>FIXED(VLOOKUP($A46,'Small Sample 1-Townhouse'!$A:$R,W$1,0),2)</f>
        <v>0.05</v>
      </c>
      <c r="X46" s="3" t="str">
        <f>FIXED(VLOOKUP($A46,'Small Sample 1-Townhouse'!$A:$R,X$1,0),2)</f>
        <v>0.22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2-Townhouse'!$A:$R,AA$1,0),2)</f>
        <v>0.06</v>
      </c>
      <c r="AB46" s="3" t="str">
        <f>FIXED(VLOOKUP($A46,'Small Sample 2-Townhouse'!$A:$R,AB$1,0),2)</f>
        <v>0.24</v>
      </c>
      <c r="AC46" s="3" t="str">
        <f>FIXED(VLOOKUP($A46,'Small Sample 2-Townhouse'!$A:$R,AC$1,0),2)</f>
        <v>0.00</v>
      </c>
      <c r="AD46" s="3" t="str">
        <f>FIXED(VLOOKUP($A46,'Small Sample 2-Townhouse'!$A:$R,AD$1,0),2)</f>
        <v>1.00</v>
      </c>
      <c r="AE46" s="9" t="str">
        <f>FIXED(VLOOKUP($A46,'Small Sample 2-Townhouse'!$A:$R,AE$1,0),2)</f>
        <v>0.18</v>
      </c>
      <c r="AF46" s="3" t="str">
        <f>FIXED(VLOOKUP($A46,'Small Sample 2-Townhouse'!$A:$R,AF$1,0),2)</f>
        <v>0.38</v>
      </c>
      <c r="AG46" s="3" t="str">
        <f>FIXED(VLOOKUP($A46,'Small Sample 2-Townhouse'!$A:$R,AG$1,0),2)</f>
        <v>0.00</v>
      </c>
      <c r="AH46" s="13" t="str">
        <f>FIXED(VLOOKUP($A46,'Small Sample 2-Townhouse'!$A:$R,AH$1,0),2)</f>
        <v>1.00</v>
      </c>
      <c r="AI46" s="9" t="str">
        <f>FIXED(VLOOKUP($A46,'Small Sample 2-Townhouse'!$A:$R,AI$1,0),2)</f>
        <v>0.05</v>
      </c>
      <c r="AJ46" s="3" t="str">
        <f>FIXED(VLOOKUP($A46,'Small Sample 2-Townhouse'!$A:$R,AJ$1,0),2)</f>
        <v>0.22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Sample-Townhouse'!$A:$R,C$1,0),2)</f>
        <v>12.48</v>
      </c>
      <c r="D47" s="3" t="str">
        <f>FIXED(VLOOKUP($A47,'Full Sample-Townhouse'!$A:$R,D$1,0),2)</f>
        <v>41.98</v>
      </c>
      <c r="E47" s="3" t="str">
        <f>FIXED(VLOOKUP($A47,'Full Sample-Townhouse'!$A:$R,E$1,0),2)</f>
        <v>0.00</v>
      </c>
      <c r="F47" s="3" t="str">
        <f>FIXED(VLOOKUP($A47,'Full Sample-Townhouse'!$A:$R,F$1,0),2)</f>
        <v>1,000.00</v>
      </c>
      <c r="G47" s="9" t="str">
        <f>FIXED(VLOOKUP($A47,'Full Sample-Townhouse'!$A:$R,G$1,0),2)</f>
        <v>12.00</v>
      </c>
      <c r="H47" s="3" t="str">
        <f>FIXED(VLOOKUP($A47,'Full Sample-Townhouse'!$A:$R,H$1,0),2)</f>
        <v>39.93</v>
      </c>
      <c r="I47" s="3" t="str">
        <f>FIXED(VLOOKUP($A47,'Full Sample-Townhouse'!$A:$R,I$1,0),2)</f>
        <v>0.00</v>
      </c>
      <c r="J47" s="13" t="str">
        <f>FIXED(VLOOKUP($A47,'Full Sample-Townhouse'!$A:$R,J$1,0),2)</f>
        <v>651.00</v>
      </c>
      <c r="K47" s="9" t="str">
        <f>FIXED(VLOOKUP($A47,'Full Sample-Townhouse'!$A:$R,K$1,0),2)</f>
        <v>13.12</v>
      </c>
      <c r="L47" s="3" t="str">
        <f>FIXED(VLOOKUP($A47,'Full Sample-Townhouse'!$A:$R,L$1,0),2)</f>
        <v>44.60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1-Townhouse'!$A:$R,O$1,0),2)</f>
        <v>11.61</v>
      </c>
      <c r="P47" s="3" t="str">
        <f>FIXED(VLOOKUP($A47,'Small Sample 1-Townhouse'!$A:$R,P$1,0),2)</f>
        <v>41.25</v>
      </c>
      <c r="Q47" s="3" t="str">
        <f>FIXED(VLOOKUP($A47,'Small Sample 1-Townhouse'!$A:$R,Q$1,0),2)</f>
        <v>0.00</v>
      </c>
      <c r="R47" s="3" t="str">
        <f>FIXED(VLOOKUP($A47,'Small Sample 1-Townhouse'!$A:$R,R$1,0),2)</f>
        <v>1,000.00</v>
      </c>
      <c r="S47" s="9" t="str">
        <f>FIXED(VLOOKUP($A47,'Small Sample 1-Townhouse'!$A:$R,S$1,0),2)</f>
        <v>1.28</v>
      </c>
      <c r="T47" s="3" t="str">
        <f>FIXED(VLOOKUP($A47,'Small Sample 1-Townhouse'!$A:$R,T$1,0),2)</f>
        <v>1.83</v>
      </c>
      <c r="U47" s="3" t="str">
        <f>FIXED(VLOOKUP($A47,'Small Sample 1-Townhouse'!$A:$R,U$1,0),2)</f>
        <v>0.00</v>
      </c>
      <c r="V47" s="13" t="str">
        <f>FIXED(VLOOKUP($A47,'Small Sample 1-Townhouse'!$A:$R,V$1,0),2)</f>
        <v>36.00</v>
      </c>
      <c r="W47" s="9" t="str">
        <f>FIXED(VLOOKUP($A47,'Small Sample 1-Townhouse'!$A:$R,W$1,0),2)</f>
        <v>12.86</v>
      </c>
      <c r="X47" s="3" t="str">
        <f>FIXED(VLOOKUP($A47,'Small Sample 1-Townhouse'!$A:$R,X$1,0),2)</f>
        <v>44.02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2-Townhouse'!$A:$R,AA$1,0),2)</f>
        <v>11.28</v>
      </c>
      <c r="AB47" s="3" t="str">
        <f>FIXED(VLOOKUP($A47,'Small Sample 2-Townhouse'!$A:$R,AB$1,0),2)</f>
        <v>40.37</v>
      </c>
      <c r="AC47" s="3" t="str">
        <f>FIXED(VLOOKUP($A47,'Small Sample 2-Townhouse'!$A:$R,AC$1,0),2)</f>
        <v>0.00</v>
      </c>
      <c r="AD47" s="3" t="str">
        <f>FIXED(VLOOKUP($A47,'Small Sample 2-Townhouse'!$A:$R,AD$1,0),2)</f>
        <v>1,000.00</v>
      </c>
      <c r="AE47" s="9" t="str">
        <f>FIXED(VLOOKUP($A47,'Small Sample 2-Townhouse'!$A:$R,AE$1,0),2)</f>
        <v>1.23</v>
      </c>
      <c r="AF47" s="3" t="str">
        <f>FIXED(VLOOKUP($A47,'Small Sample 2-Townhouse'!$A:$R,AF$1,0),2)</f>
        <v>1.83</v>
      </c>
      <c r="AG47" s="3" t="str">
        <f>FIXED(VLOOKUP($A47,'Small Sample 2-Townhouse'!$A:$R,AG$1,0),2)</f>
        <v>0.00</v>
      </c>
      <c r="AH47" s="13" t="str">
        <f>FIXED(VLOOKUP($A47,'Small Sample 2-Townhouse'!$A:$R,AH$1,0),2)</f>
        <v>36.00</v>
      </c>
      <c r="AI47" s="9" t="str">
        <f>FIXED(VLOOKUP($A47,'Small Sample 2-Townhouse'!$A:$R,AI$1,0),2)</f>
        <v>10.98</v>
      </c>
      <c r="AJ47" s="3" t="str">
        <f>FIXED(VLOOKUP($A47,'Small Sample 2-Townhouse'!$A:$R,AJ$1,0),2)</f>
        <v>42.48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Sample-Townhouse'!$A:$R,C$1,0),2)</f>
        <v>0.10</v>
      </c>
      <c r="D48" s="3" t="str">
        <f>FIXED(VLOOKUP($A48,'Full Sample-Townhouse'!$A:$R,D$1,0),2)</f>
        <v>0.30</v>
      </c>
      <c r="E48" s="3" t="str">
        <f>FIXED(VLOOKUP($A48,'Full Sample-Townhouse'!$A:$R,E$1,0),2)</f>
        <v>0.00</v>
      </c>
      <c r="F48" s="3" t="str">
        <f>FIXED(VLOOKUP($A48,'Full Sample-Townhouse'!$A:$R,F$1,0),2)</f>
        <v>1.00</v>
      </c>
      <c r="G48" s="9" t="str">
        <f>FIXED(VLOOKUP($A48,'Full Sample-Townhouse'!$A:$R,G$1,0),2)</f>
        <v>0.10</v>
      </c>
      <c r="H48" s="3" t="str">
        <f>FIXED(VLOOKUP($A48,'Full Sample-Townhouse'!$A:$R,H$1,0),2)</f>
        <v>0.30</v>
      </c>
      <c r="I48" s="3" t="str">
        <f>FIXED(VLOOKUP($A48,'Full Sample-Townhouse'!$A:$R,I$1,0),2)</f>
        <v>0.00</v>
      </c>
      <c r="J48" s="13" t="str">
        <f>FIXED(VLOOKUP($A48,'Full Sample-Townhouse'!$A:$R,J$1,0),2)</f>
        <v>1.00</v>
      </c>
      <c r="K48" s="9" t="str">
        <f>FIXED(VLOOKUP($A48,'Full Sample-Townhouse'!$A:$R,K$1,0),2)</f>
        <v>0.10</v>
      </c>
      <c r="L48" s="3" t="str">
        <f>FIXED(VLOOKUP($A48,'Full Sample-Townhouse'!$A:$R,L$1,0),2)</f>
        <v>0.30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1-Townhouse'!$A:$R,O$1,0),2)</f>
        <v>0.10</v>
      </c>
      <c r="P48" s="3" t="str">
        <f>FIXED(VLOOKUP($A48,'Small Sample 1-Townhouse'!$A:$R,P$1,0),2)</f>
        <v>0.30</v>
      </c>
      <c r="Q48" s="3" t="str">
        <f>FIXED(VLOOKUP($A48,'Small Sample 1-Townhouse'!$A:$R,Q$1,0),2)</f>
        <v>0.00</v>
      </c>
      <c r="R48" s="3" t="str">
        <f>FIXED(VLOOKUP($A48,'Small Sample 1-Townhouse'!$A:$R,R$1,0),2)</f>
        <v>1.00</v>
      </c>
      <c r="S48" s="9" t="str">
        <f>FIXED(VLOOKUP($A48,'Small Sample 1-Townhouse'!$A:$R,S$1,0),2)</f>
        <v>0.46</v>
      </c>
      <c r="T48" s="3" t="str">
        <f>FIXED(VLOOKUP($A48,'Small Sample 1-Townhouse'!$A:$R,T$1,0),2)</f>
        <v>0.50</v>
      </c>
      <c r="U48" s="3" t="str">
        <f>FIXED(VLOOKUP($A48,'Small Sample 1-Townhouse'!$A:$R,U$1,0),2)</f>
        <v>0.00</v>
      </c>
      <c r="V48" s="13" t="str">
        <f>FIXED(VLOOKUP($A48,'Small Sample 1-Townhouse'!$A:$R,V$1,0),2)</f>
        <v>1.00</v>
      </c>
      <c r="W48" s="9" t="str">
        <f>FIXED(VLOOKUP($A48,'Small Sample 1-Townhouse'!$A:$R,W$1,0),2)</f>
        <v>0.10</v>
      </c>
      <c r="X48" s="3" t="str">
        <f>FIXED(VLOOKUP($A48,'Small Sample 1-Townhouse'!$A:$R,X$1,0),2)</f>
        <v>0.30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2-Townhouse'!$A:$R,AA$1,0),2)</f>
        <v>0.10</v>
      </c>
      <c r="AB48" s="3" t="str">
        <f>FIXED(VLOOKUP($A48,'Small Sample 2-Townhouse'!$A:$R,AB$1,0),2)</f>
        <v>0.30</v>
      </c>
      <c r="AC48" s="3" t="str">
        <f>FIXED(VLOOKUP($A48,'Small Sample 2-Townhouse'!$A:$R,AC$1,0),2)</f>
        <v>0.00</v>
      </c>
      <c r="AD48" s="3" t="str">
        <f>FIXED(VLOOKUP($A48,'Small Sample 2-Townhouse'!$A:$R,AD$1,0),2)</f>
        <v>1.00</v>
      </c>
      <c r="AE48" s="9" t="str">
        <f>FIXED(VLOOKUP($A48,'Small Sample 2-Townhouse'!$A:$R,AE$1,0),2)</f>
        <v>0.44</v>
      </c>
      <c r="AF48" s="3" t="str">
        <f>FIXED(VLOOKUP($A48,'Small Sample 2-Townhouse'!$A:$R,AF$1,0),2)</f>
        <v>0.50</v>
      </c>
      <c r="AG48" s="3" t="str">
        <f>FIXED(VLOOKUP($A48,'Small Sample 2-Townhouse'!$A:$R,AG$1,0),2)</f>
        <v>0.00</v>
      </c>
      <c r="AH48" s="13" t="str">
        <f>FIXED(VLOOKUP($A48,'Small Sample 2-Townhouse'!$A:$R,AH$1,0),2)</f>
        <v>1.00</v>
      </c>
      <c r="AI48" s="9" t="str">
        <f>FIXED(VLOOKUP($A48,'Small Sample 2-Townhouse'!$A:$R,AI$1,0),2)</f>
        <v>0.10</v>
      </c>
      <c r="AJ48" s="3" t="str">
        <f>FIXED(VLOOKUP($A48,'Small Sample 2-Townhouse'!$A:$R,AJ$1,0),2)</f>
        <v>0.30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75</v>
      </c>
      <c r="B49" s="4" t="s">
        <v>151</v>
      </c>
      <c r="C49" s="9" t="str">
        <f>FIXED(VLOOKUP($A49,'Full Sample-Townhouse'!$A:$R,C$1,0),2)</f>
        <v>0.44</v>
      </c>
      <c r="D49" s="3" t="str">
        <f>FIXED(VLOOKUP($A49,'Full Sample-Townhouse'!$A:$R,D$1,0),2)</f>
        <v>0.50</v>
      </c>
      <c r="E49" s="3" t="str">
        <f>FIXED(VLOOKUP($A49,'Full Sample-Townhouse'!$A:$R,E$1,0),2)</f>
        <v>0.00</v>
      </c>
      <c r="F49" s="3" t="str">
        <f>FIXED(VLOOKUP($A49,'Full Sample-Townhouse'!$A:$R,F$1,0),2)</f>
        <v>1.00</v>
      </c>
      <c r="G49" s="9" t="str">
        <f>FIXED(VLOOKUP($A49,'Full Sample-Townhouse'!$A:$R,G$1,0),2)</f>
        <v>0.43</v>
      </c>
      <c r="H49" s="3" t="str">
        <f>FIXED(VLOOKUP($A49,'Full Sample-Townhouse'!$A:$R,H$1,0),2)</f>
        <v>0.50</v>
      </c>
      <c r="I49" s="3" t="str">
        <f>FIXED(VLOOKUP($A49,'Full Sample-Townhouse'!$A:$R,I$1,0),2)</f>
        <v>0.00</v>
      </c>
      <c r="J49" s="13" t="str">
        <f>FIXED(VLOOKUP($A49,'Full Sample-Townhouse'!$A:$R,J$1,0),2)</f>
        <v>1.00</v>
      </c>
      <c r="K49" s="9" t="str">
        <f>FIXED(VLOOKUP($A49,'Full Sample-Townhouse'!$A:$R,K$1,0),2)</f>
        <v>0.45</v>
      </c>
      <c r="L49" s="3" t="str">
        <f>FIXED(VLOOKUP($A49,'Full Sample-Townhouse'!$A:$R,L$1,0),2)</f>
        <v>0.50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1-Townhouse'!$A:$R,O$1,0),2)</f>
        <v>0.46</v>
      </c>
      <c r="P49" s="3" t="str">
        <f>FIXED(VLOOKUP($A49,'Small Sample 1-Townhouse'!$A:$R,P$1,0),2)</f>
        <v>0.50</v>
      </c>
      <c r="Q49" s="3" t="str">
        <f>FIXED(VLOOKUP($A49,'Small Sample 1-Townhouse'!$A:$R,Q$1,0),2)</f>
        <v>0.00</v>
      </c>
      <c r="R49" s="3" t="str">
        <f>FIXED(VLOOKUP($A49,'Small Sample 1-Townhouse'!$A:$R,R$1,0),2)</f>
        <v>1.00</v>
      </c>
      <c r="S49" s="9" t="str">
        <f>FIXED(VLOOKUP($A49,'Small Sample 1-Townhouse'!$A:$R,S$1,0),2)</f>
        <v>0.42</v>
      </c>
      <c r="T49" s="3" t="str">
        <f>FIXED(VLOOKUP($A49,'Small Sample 1-Townhouse'!$A:$R,T$1,0),2)</f>
        <v>0.49</v>
      </c>
      <c r="U49" s="3" t="str">
        <f>FIXED(VLOOKUP($A49,'Small Sample 1-Townhouse'!$A:$R,U$1,0),2)</f>
        <v>0.00</v>
      </c>
      <c r="V49" s="13" t="str">
        <f>FIXED(VLOOKUP($A49,'Small Sample 1-Townhouse'!$A:$R,V$1,0),2)</f>
        <v>1.00</v>
      </c>
      <c r="W49" s="9" t="str">
        <f>FIXED(VLOOKUP($A49,'Small Sample 1-Townhouse'!$A:$R,W$1,0),2)</f>
        <v>0.45</v>
      </c>
      <c r="X49" s="3" t="str">
        <f>FIXED(VLOOKUP($A49,'Small Sample 1-Townhouse'!$A:$R,X$1,0),2)</f>
        <v>0.50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2-Townhouse'!$A:$R,AA$1,0),2)</f>
        <v>0.46</v>
      </c>
      <c r="AB49" s="3" t="str">
        <f>FIXED(VLOOKUP($A49,'Small Sample 2-Townhouse'!$A:$R,AB$1,0),2)</f>
        <v>0.50</v>
      </c>
      <c r="AC49" s="3" t="str">
        <f>FIXED(VLOOKUP($A49,'Small Sample 2-Townhouse'!$A:$R,AC$1,0),2)</f>
        <v>0.00</v>
      </c>
      <c r="AD49" s="3" t="str">
        <f>FIXED(VLOOKUP($A49,'Small Sample 2-Townhouse'!$A:$R,AD$1,0),2)</f>
        <v>1.00</v>
      </c>
      <c r="AE49" s="9" t="str">
        <f>FIXED(VLOOKUP($A49,'Small Sample 2-Townhouse'!$A:$R,AE$1,0),2)</f>
        <v>0.44</v>
      </c>
      <c r="AF49" s="3" t="str">
        <f>FIXED(VLOOKUP($A49,'Small Sample 2-Townhouse'!$A:$R,AF$1,0),2)</f>
        <v>0.50</v>
      </c>
      <c r="AG49" s="3" t="str">
        <f>FIXED(VLOOKUP($A49,'Small Sample 2-Townhouse'!$A:$R,AG$1,0),2)</f>
        <v>0.00</v>
      </c>
      <c r="AH49" s="13" t="str">
        <f>FIXED(VLOOKUP($A49,'Small Sample 2-Townhouse'!$A:$R,AH$1,0),2)</f>
        <v>1.00</v>
      </c>
      <c r="AI49" s="9" t="str">
        <f>FIXED(VLOOKUP($A49,'Small Sample 2-Townhouse'!$A:$R,AI$1,0),2)</f>
        <v>0.48</v>
      </c>
      <c r="AJ49" s="3" t="str">
        <f>FIXED(VLOOKUP($A49,'Small Sample 2-Townhouse'!$A:$R,AJ$1,0),2)</f>
        <v>0.50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76</v>
      </c>
      <c r="B50" s="4" t="s">
        <v>152</v>
      </c>
      <c r="C50" s="9" t="str">
        <f>FIXED(VLOOKUP($A50,'Full Sample-Townhouse'!$A:$R,C$1,0),2)</f>
        <v>0.44</v>
      </c>
      <c r="D50" s="3" t="str">
        <f>FIXED(VLOOKUP($A50,'Full Sample-Townhouse'!$A:$R,D$1,0),2)</f>
        <v>0.50</v>
      </c>
      <c r="E50" s="3" t="str">
        <f>FIXED(VLOOKUP($A50,'Full Sample-Townhouse'!$A:$R,E$1,0),2)</f>
        <v>0.00</v>
      </c>
      <c r="F50" s="3" t="str">
        <f>FIXED(VLOOKUP($A50,'Full Sample-Townhouse'!$A:$R,F$1,0),2)</f>
        <v>1.00</v>
      </c>
      <c r="G50" s="9" t="str">
        <f>FIXED(VLOOKUP($A50,'Full Sample-Townhouse'!$A:$R,G$1,0),2)</f>
        <v>0.45</v>
      </c>
      <c r="H50" s="3" t="str">
        <f>FIXED(VLOOKUP($A50,'Full Sample-Townhouse'!$A:$R,H$1,0),2)</f>
        <v>0.50</v>
      </c>
      <c r="I50" s="3" t="str">
        <f>FIXED(VLOOKUP($A50,'Full Sample-Townhouse'!$A:$R,I$1,0),2)</f>
        <v>0.00</v>
      </c>
      <c r="J50" s="13" t="str">
        <f>FIXED(VLOOKUP($A50,'Full Sample-Townhouse'!$A:$R,J$1,0),2)</f>
        <v>1.00</v>
      </c>
      <c r="K50" s="9" t="str">
        <f>FIXED(VLOOKUP($A50,'Full Sample-Townhouse'!$A:$R,K$1,0),2)</f>
        <v>0.43</v>
      </c>
      <c r="L50" s="3" t="str">
        <f>FIXED(VLOOKUP($A50,'Full Sample-Townhouse'!$A:$R,L$1,0),2)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1-Townhouse'!$A:$R,O$1,0),2)</f>
        <v>0.42</v>
      </c>
      <c r="P50" s="3" t="str">
        <f>FIXED(VLOOKUP($A50,'Small Sample 1-Townhouse'!$A:$R,P$1,0),2)</f>
        <v>0.49</v>
      </c>
      <c r="Q50" s="3" t="str">
        <f>FIXED(VLOOKUP($A50,'Small Sample 1-Townhouse'!$A:$R,Q$1,0),2)</f>
        <v>0.00</v>
      </c>
      <c r="R50" s="3" t="str">
        <f>FIXED(VLOOKUP($A50,'Small Sample 1-Townhouse'!$A:$R,R$1,0),2)</f>
        <v>1.00</v>
      </c>
      <c r="S50" s="9" t="str">
        <f>FIXED(VLOOKUP($A50,'Small Sample 1-Townhouse'!$A:$R,S$1,0),2)</f>
        <v>0.01</v>
      </c>
      <c r="T50" s="3" t="str">
        <f>FIXED(VLOOKUP($A50,'Small Sample 1-Townhouse'!$A:$R,T$1,0),2)</f>
        <v>0.09</v>
      </c>
      <c r="U50" s="3" t="str">
        <f>FIXED(VLOOKUP($A50,'Small Sample 1-Townhouse'!$A:$R,U$1,0),2)</f>
        <v>0.00</v>
      </c>
      <c r="V50" s="13" t="str">
        <f>FIXED(VLOOKUP($A50,'Small Sample 1-Townhouse'!$A:$R,V$1,0),2)</f>
        <v>1.00</v>
      </c>
      <c r="W50" s="9" t="str">
        <f>FIXED(VLOOKUP($A50,'Small Sample 1-Townhouse'!$A:$R,W$1,0),2)</f>
        <v>0.43</v>
      </c>
      <c r="X50" s="3" t="str">
        <f>FIXED(VLOOKUP($A50,'Small Sample 1-Townhouse'!$A:$R,X$1,0),2)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2-Townhouse'!$A:$R,AA$1,0),2)</f>
        <v>0.42</v>
      </c>
      <c r="AB50" s="3" t="str">
        <f>FIXED(VLOOKUP($A50,'Small Sample 2-Townhouse'!$A:$R,AB$1,0),2)</f>
        <v>0.49</v>
      </c>
      <c r="AC50" s="3" t="str">
        <f>FIXED(VLOOKUP($A50,'Small Sample 2-Townhouse'!$A:$R,AC$1,0),2)</f>
        <v>0.00</v>
      </c>
      <c r="AD50" s="3" t="str">
        <f>FIXED(VLOOKUP($A50,'Small Sample 2-Townhouse'!$A:$R,AD$1,0),2)</f>
        <v>1.00</v>
      </c>
      <c r="AE50" s="9" t="str">
        <f>FIXED(VLOOKUP($A50,'Small Sample 2-Townhouse'!$A:$R,AE$1,0),2)</f>
        <v>0.01</v>
      </c>
      <c r="AF50" s="3" t="str">
        <f>FIXED(VLOOKUP($A50,'Small Sample 2-Townhouse'!$A:$R,AF$1,0),2)</f>
        <v>0.09</v>
      </c>
      <c r="AG50" s="3" t="str">
        <f>FIXED(VLOOKUP($A50,'Small Sample 2-Townhouse'!$A:$R,AG$1,0),2)</f>
        <v>0.00</v>
      </c>
      <c r="AH50" s="13" t="str">
        <f>FIXED(VLOOKUP($A50,'Small Sample 2-Townhouse'!$A:$R,AH$1,0),2)</f>
        <v>1.00</v>
      </c>
      <c r="AI50" s="9" t="str">
        <f>FIXED(VLOOKUP($A50,'Small Sample 2-Townhouse'!$A:$R,AI$1,0),2)</f>
        <v>0.40</v>
      </c>
      <c r="AJ50" s="3" t="str">
        <f>FIXED(VLOOKUP($A50,'Small Sample 2-Townhouse'!$A:$R,AJ$1,0),2)</f>
        <v>0.49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77</v>
      </c>
      <c r="B51" s="4" t="s">
        <v>153</v>
      </c>
      <c r="C51" s="9" t="str">
        <f>FIXED(VLOOKUP($A51,'Full Sample-Townhouse'!$A:$R,C$1,0),2)</f>
        <v>0.01</v>
      </c>
      <c r="D51" s="3" t="str">
        <f>FIXED(VLOOKUP($A51,'Full Sample-Townhouse'!$A:$R,D$1,0),2)</f>
        <v>0.09</v>
      </c>
      <c r="E51" s="3" t="str">
        <f>FIXED(VLOOKUP($A51,'Full Sample-Townhouse'!$A:$R,E$1,0),2)</f>
        <v>0.00</v>
      </c>
      <c r="F51" s="3" t="str">
        <f>FIXED(VLOOKUP($A51,'Full Sample-Townhouse'!$A:$R,F$1,0),2)</f>
        <v>1.00</v>
      </c>
      <c r="G51" s="9" t="str">
        <f>FIXED(VLOOKUP($A51,'Full Sample-Townhouse'!$A:$R,G$1,0),2)</f>
        <v>0.01</v>
      </c>
      <c r="H51" s="3" t="str">
        <f>FIXED(VLOOKUP($A51,'Full Sample-Townhouse'!$A:$R,H$1,0),2)</f>
        <v>0.09</v>
      </c>
      <c r="I51" s="3" t="str">
        <f>FIXED(VLOOKUP($A51,'Full Sample-Townhouse'!$A:$R,I$1,0),2)</f>
        <v>0.00</v>
      </c>
      <c r="J51" s="13" t="str">
        <f>FIXED(VLOOKUP($A51,'Full Sample-Townhouse'!$A:$R,J$1,0),2)</f>
        <v>1.00</v>
      </c>
      <c r="K51" s="9" t="str">
        <f>FIXED(VLOOKUP($A51,'Full Sample-Townhouse'!$A:$R,K$1,0),2)</f>
        <v>0.01</v>
      </c>
      <c r="L51" s="3" t="str">
        <f>FIXED(VLOOKUP($A51,'Full Sample-Townhouse'!$A:$R,L$1,0),2)</f>
        <v>0.10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1-Townhouse'!$A:$R,O$1,0),2)</f>
        <v>0.01</v>
      </c>
      <c r="P51" s="3" t="str">
        <f>FIXED(VLOOKUP($A51,'Small Sample 1-Townhouse'!$A:$R,P$1,0),2)</f>
        <v>0.10</v>
      </c>
      <c r="Q51" s="3" t="str">
        <f>FIXED(VLOOKUP($A51,'Small Sample 1-Townhouse'!$A:$R,Q$1,0),2)</f>
        <v>0.00</v>
      </c>
      <c r="R51" s="3" t="str">
        <f>FIXED(VLOOKUP($A51,'Small Sample 1-Townhouse'!$A:$R,R$1,0),2)</f>
        <v>1.00</v>
      </c>
      <c r="S51" s="9" t="str">
        <f>FIXED(VLOOKUP($A51,'Small Sample 1-Townhouse'!$A:$R,S$1,0),2)</f>
        <v>0.01</v>
      </c>
      <c r="T51" s="3" t="str">
        <f>FIXED(VLOOKUP($A51,'Small Sample 1-Townhouse'!$A:$R,T$1,0),2)</f>
        <v>0.09</v>
      </c>
      <c r="U51" s="3" t="str">
        <f>FIXED(VLOOKUP($A51,'Small Sample 1-Townhouse'!$A:$R,U$1,0),2)</f>
        <v>0.00</v>
      </c>
      <c r="V51" s="13" t="str">
        <f>FIXED(VLOOKUP($A51,'Small Sample 1-Townhouse'!$A:$R,V$1,0),2)</f>
        <v>1.00</v>
      </c>
      <c r="W51" s="9" t="str">
        <f>FIXED(VLOOKUP($A51,'Small Sample 1-Townhouse'!$A:$R,W$1,0),2)</f>
        <v>0.01</v>
      </c>
      <c r="X51" s="3" t="str">
        <f>FIXED(VLOOKUP($A51,'Small Sample 1-Townhouse'!$A:$R,X$1,0),2)</f>
        <v>0.10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2-Townhouse'!$A:$R,AA$1,0),2)</f>
        <v>0.01</v>
      </c>
      <c r="AB51" s="3" t="str">
        <f>FIXED(VLOOKUP($A51,'Small Sample 2-Townhouse'!$A:$R,AB$1,0),2)</f>
        <v>0.10</v>
      </c>
      <c r="AC51" s="3" t="str">
        <f>FIXED(VLOOKUP($A51,'Small Sample 2-Townhouse'!$A:$R,AC$1,0),2)</f>
        <v>0.00</v>
      </c>
      <c r="AD51" s="3" t="str">
        <f>FIXED(VLOOKUP($A51,'Small Sample 2-Townhouse'!$A:$R,AD$1,0),2)</f>
        <v>1.00</v>
      </c>
      <c r="AE51" s="9" t="str">
        <f>FIXED(VLOOKUP($A51,'Small Sample 2-Townhouse'!$A:$R,AE$1,0),2)</f>
        <v>0.01</v>
      </c>
      <c r="AF51" s="3" t="str">
        <f>FIXED(VLOOKUP($A51,'Small Sample 2-Townhouse'!$A:$R,AF$1,0),2)</f>
        <v>0.09</v>
      </c>
      <c r="AG51" s="3" t="str">
        <f>FIXED(VLOOKUP($A51,'Small Sample 2-Townhouse'!$A:$R,AG$1,0),2)</f>
        <v>0.00</v>
      </c>
      <c r="AH51" s="13" t="str">
        <f>FIXED(VLOOKUP($A51,'Small Sample 2-Townhouse'!$A:$R,AH$1,0),2)</f>
        <v>1.00</v>
      </c>
      <c r="AI51" s="9" t="str">
        <f>FIXED(VLOOKUP($A51,'Small Sample 2-Townhouse'!$A:$R,AI$1,0),2)</f>
        <v>0.01</v>
      </c>
      <c r="AJ51" s="3" t="str">
        <f>FIXED(VLOOKUP($A51,'Small Sample 2-Townhouse'!$A:$R,AJ$1,0),2)</f>
        <v>0.10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78</v>
      </c>
      <c r="B52" s="4" t="s">
        <v>154</v>
      </c>
      <c r="C52" s="9" t="str">
        <f>FIXED(VLOOKUP($A52,'Full Sample-Townhouse'!$A:$R,C$1,0),2)</f>
        <v>0.01</v>
      </c>
      <c r="D52" s="3" t="str">
        <f>FIXED(VLOOKUP($A52,'Full Sample-Townhouse'!$A:$R,D$1,0),2)</f>
        <v>0.09</v>
      </c>
      <c r="E52" s="3" t="str">
        <f>FIXED(VLOOKUP($A52,'Full Sample-Townhouse'!$A:$R,E$1,0),2)</f>
        <v>0.00</v>
      </c>
      <c r="F52" s="3" t="str">
        <f>FIXED(VLOOKUP($A52,'Full Sample-Townhouse'!$A:$R,F$1,0),2)</f>
        <v>1.00</v>
      </c>
      <c r="G52" s="9" t="str">
        <f>FIXED(VLOOKUP($A52,'Full Sample-Townhouse'!$A:$R,G$1,0),2)</f>
        <v>0.01</v>
      </c>
      <c r="H52" s="3" t="str">
        <f>FIXED(VLOOKUP($A52,'Full Sample-Townhouse'!$A:$R,H$1,0),2)</f>
        <v>0.09</v>
      </c>
      <c r="I52" s="3" t="str">
        <f>FIXED(VLOOKUP($A52,'Full Sample-Townhouse'!$A:$R,I$1,0),2)</f>
        <v>0.00</v>
      </c>
      <c r="J52" s="13" t="str">
        <f>FIXED(VLOOKUP($A52,'Full Sample-Townhouse'!$A:$R,J$1,0),2)</f>
        <v>1.00</v>
      </c>
      <c r="K52" s="9" t="str">
        <f>FIXED(VLOOKUP($A52,'Full Sample-Townhouse'!$A:$R,K$1,0),2)</f>
        <v>0.01</v>
      </c>
      <c r="L52" s="3" t="str">
        <f>FIXED(VLOOKUP($A52,'Full Sample-Townhouse'!$A:$R,L$1,0),2)</f>
        <v>0.10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1-Townhouse'!$A:$R,O$1,0),2)</f>
        <v>0.01</v>
      </c>
      <c r="P52" s="3" t="str">
        <f>FIXED(VLOOKUP($A52,'Small Sample 1-Townhouse'!$A:$R,P$1,0),2)</f>
        <v>0.09</v>
      </c>
      <c r="Q52" s="3" t="str">
        <f>FIXED(VLOOKUP($A52,'Small Sample 1-Townhouse'!$A:$R,Q$1,0),2)</f>
        <v>0.00</v>
      </c>
      <c r="R52" s="3" t="str">
        <f>FIXED(VLOOKUP($A52,'Small Sample 1-Townhouse'!$A:$R,R$1,0),2)</f>
        <v>1.00</v>
      </c>
      <c r="S52" s="9" t="str">
        <f>FIXED(VLOOKUP($A52,'Small Sample 1-Townhouse'!$A:$R,S$1,0),2)</f>
        <v>0.00</v>
      </c>
      <c r="T52" s="3" t="str">
        <f>FIXED(VLOOKUP($A52,'Small Sample 1-Townhouse'!$A:$R,T$1,0),2)</f>
        <v>0.04</v>
      </c>
      <c r="U52" s="3" t="str">
        <f>FIXED(VLOOKUP($A52,'Small Sample 1-Townhouse'!$A:$R,U$1,0),2)</f>
        <v>0.00</v>
      </c>
      <c r="V52" s="13" t="str">
        <f>FIXED(VLOOKUP($A52,'Small Sample 1-Townhouse'!$A:$R,V$1,0),2)</f>
        <v>1.00</v>
      </c>
      <c r="W52" s="9" t="str">
        <f>FIXED(VLOOKUP($A52,'Small Sample 1-Townhouse'!$A:$R,W$1,0),2)</f>
        <v>0.01</v>
      </c>
      <c r="X52" s="3" t="str">
        <f>FIXED(VLOOKUP($A52,'Small Sample 1-Townhouse'!$A:$R,X$1,0),2)</f>
        <v>0.10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2-Townhouse'!$A:$R,AA$1,0),2)</f>
        <v>0.01</v>
      </c>
      <c r="AB52" s="3" t="str">
        <f>FIXED(VLOOKUP($A52,'Small Sample 2-Townhouse'!$A:$R,AB$1,0),2)</f>
        <v>0.09</v>
      </c>
      <c r="AC52" s="3" t="str">
        <f>FIXED(VLOOKUP($A52,'Small Sample 2-Townhouse'!$A:$R,AC$1,0),2)</f>
        <v>0.00</v>
      </c>
      <c r="AD52" s="3" t="str">
        <f>FIXED(VLOOKUP($A52,'Small Sample 2-Townhouse'!$A:$R,AD$1,0),2)</f>
        <v>1.00</v>
      </c>
      <c r="AE52" s="9" t="str">
        <f>FIXED(VLOOKUP($A52,'Small Sample 2-Townhouse'!$A:$R,AE$1,0),2)</f>
        <v>0.00</v>
      </c>
      <c r="AF52" s="3" t="str">
        <f>FIXED(VLOOKUP($A52,'Small Sample 2-Townhouse'!$A:$R,AF$1,0),2)</f>
        <v>0.03</v>
      </c>
      <c r="AG52" s="3" t="str">
        <f>FIXED(VLOOKUP($A52,'Small Sample 2-Townhouse'!$A:$R,AG$1,0),2)</f>
        <v>0.00</v>
      </c>
      <c r="AH52" s="13" t="str">
        <f>FIXED(VLOOKUP($A52,'Small Sample 2-Townhouse'!$A:$R,AH$1,0),2)</f>
        <v>1.00</v>
      </c>
      <c r="AI52" s="9" t="str">
        <f>FIXED(VLOOKUP($A52,'Small Sample 2-Townhouse'!$A:$R,AI$1,0),2)</f>
        <v>0.01</v>
      </c>
      <c r="AJ52" s="3" t="str">
        <f>FIXED(VLOOKUP($A52,'Small Sample 2-Townhouse'!$A:$R,AJ$1,0),2)</f>
        <v>0.09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170</v>
      </c>
      <c r="B53" s="4" t="s">
        <v>176</v>
      </c>
      <c r="C53" s="9" t="str">
        <f>FIXED(VLOOKUP($A53,'Full Sample-Townhouse'!$A:$R,C$1,0),2)</f>
        <v>0.00</v>
      </c>
      <c r="D53" s="3" t="str">
        <f>FIXED(VLOOKUP($A53,'Full Sample-Townhouse'!$A:$R,D$1,0),2)</f>
        <v>0.03</v>
      </c>
      <c r="E53" s="3" t="str">
        <f>FIXED(VLOOKUP($A53,'Full Sample-Townhouse'!$A:$R,E$1,0),2)</f>
        <v>0.00</v>
      </c>
      <c r="F53" s="3" t="str">
        <f>FIXED(VLOOKUP($A53,'Full Sample-Townhouse'!$A:$R,F$1,0),2)</f>
        <v>1.00</v>
      </c>
      <c r="G53" s="9" t="str">
        <f>FIXED(VLOOKUP($A53,'Full Sample-Townhouse'!$A:$R,G$1,0),2)</f>
        <v>0.00</v>
      </c>
      <c r="H53" s="3" t="str">
        <f>FIXED(VLOOKUP($A53,'Full Sample-Townhouse'!$A:$R,H$1,0),2)</f>
        <v>0.03</v>
      </c>
      <c r="I53" s="3" t="str">
        <f>FIXED(VLOOKUP($A53,'Full Sample-Townhouse'!$A:$R,I$1,0),2)</f>
        <v>0.00</v>
      </c>
      <c r="J53" s="13" t="str">
        <f>FIXED(VLOOKUP($A53,'Full Sample-Townhouse'!$A:$R,J$1,0),2)</f>
        <v>1.00</v>
      </c>
      <c r="K53" s="9" t="str">
        <f>FIXED(VLOOKUP($A53,'Full Sample-Townhouse'!$A:$R,K$1,0),2)</f>
        <v>0.00</v>
      </c>
      <c r="L53" s="3" t="str">
        <f>FIXED(VLOOKUP($A53,'Full Sample-Townhouse'!$A:$R,L$1,0),2)</f>
        <v>0.03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1-Townhouse'!$A:$R,O$1,0),2)</f>
        <v>0.00</v>
      </c>
      <c r="P53" s="3" t="str">
        <f>FIXED(VLOOKUP($A53,'Small Sample 1-Townhouse'!$A:$R,P$1,0),2)</f>
        <v>0.04</v>
      </c>
      <c r="Q53" s="3" t="str">
        <f>FIXED(VLOOKUP($A53,'Small Sample 1-Townhouse'!$A:$R,Q$1,0),2)</f>
        <v>0.00</v>
      </c>
      <c r="R53" s="3" t="str">
        <f>FIXED(VLOOKUP($A53,'Small Sample 1-Townhouse'!$A:$R,R$1,0),2)</f>
        <v>1.00</v>
      </c>
      <c r="S53" s="9" t="str">
        <f>FIXED(VLOOKUP($A53,'Small Sample 1-Townhouse'!$A:$R,S$1,0),2)</f>
        <v>0.21</v>
      </c>
      <c r="T53" s="3" t="str">
        <f>FIXED(VLOOKUP($A53,'Small Sample 1-Townhouse'!$A:$R,T$1,0),2)</f>
        <v>0.41</v>
      </c>
      <c r="U53" s="3" t="str">
        <f>FIXED(VLOOKUP($A53,'Small Sample 1-Townhouse'!$A:$R,U$1,0),2)</f>
        <v>0.00</v>
      </c>
      <c r="V53" s="13" t="str">
        <f>FIXED(VLOOKUP($A53,'Small Sample 1-Townhouse'!$A:$R,V$1,0),2)</f>
        <v>1.00</v>
      </c>
      <c r="W53" s="9" t="str">
        <f>FIXED(VLOOKUP($A53,'Small Sample 1-Townhouse'!$A:$R,W$1,0),2)</f>
        <v>0.00</v>
      </c>
      <c r="X53" s="3" t="str">
        <f>FIXED(VLOOKUP($A53,'Small Sample 1-Townhouse'!$A:$R,X$1,0),2)</f>
        <v>0.03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2-Townhouse'!$A:$R,AA$1,0),2)</f>
        <v>0.00</v>
      </c>
      <c r="AB53" s="3" t="str">
        <f>FIXED(VLOOKUP($A53,'Small Sample 2-Townhouse'!$A:$R,AB$1,0),2)</f>
        <v>0.04</v>
      </c>
      <c r="AC53" s="3" t="str">
        <f>FIXED(VLOOKUP($A53,'Small Sample 2-Townhouse'!$A:$R,AC$1,0),2)</f>
        <v>0.00</v>
      </c>
      <c r="AD53" s="3" t="str">
        <f>FIXED(VLOOKUP($A53,'Small Sample 2-Townhouse'!$A:$R,AD$1,0),2)</f>
        <v>1.00</v>
      </c>
      <c r="AE53" s="9" t="str">
        <f>FIXED(VLOOKUP($A53,'Small Sample 2-Townhouse'!$A:$R,AE$1,0),2)</f>
        <v>0.21</v>
      </c>
      <c r="AF53" s="3" t="str">
        <f>FIXED(VLOOKUP($A53,'Small Sample 2-Townhouse'!$A:$R,AF$1,0),2)</f>
        <v>0.40</v>
      </c>
      <c r="AG53" s="3" t="str">
        <f>FIXED(VLOOKUP($A53,'Small Sample 2-Townhouse'!$A:$R,AG$1,0),2)</f>
        <v>0.00</v>
      </c>
      <c r="AH53" s="13" t="str">
        <f>FIXED(VLOOKUP($A53,'Small Sample 2-Townhouse'!$A:$R,AH$1,0),2)</f>
        <v>1.00</v>
      </c>
      <c r="AI53" s="9" t="str">
        <f>FIXED(VLOOKUP($A53,'Small Sample 2-Townhouse'!$A:$R,AI$1,0),2)</f>
        <v>0.00</v>
      </c>
      <c r="AJ53" s="3" t="str">
        <f>FIXED(VLOOKUP($A53,'Small Sample 2-Townhouse'!$A:$R,AJ$1,0),2)</f>
        <v>0.04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52</v>
      </c>
      <c r="B54" s="4" t="s">
        <v>132</v>
      </c>
      <c r="C54" s="9" t="str">
        <f>FIXED(VLOOKUP($A54,'Full Sample-Townhouse'!$A:$R,C$1,0),2)</f>
        <v>0.37</v>
      </c>
      <c r="D54" s="3" t="str">
        <f>FIXED(VLOOKUP($A54,'Full Sample-Townhouse'!$A:$R,D$1,0),2)</f>
        <v>0.48</v>
      </c>
      <c r="E54" s="3" t="str">
        <f>FIXED(VLOOKUP($A54,'Full Sample-Townhouse'!$A:$R,E$1,0),2)</f>
        <v>0.00</v>
      </c>
      <c r="F54" s="3" t="str">
        <f>FIXED(VLOOKUP($A54,'Full Sample-Townhouse'!$A:$R,F$1,0),2)</f>
        <v>1.00</v>
      </c>
      <c r="G54" s="9" t="str">
        <f>FIXED(VLOOKUP($A54,'Full Sample-Townhouse'!$A:$R,G$1,0),2)</f>
        <v>0.36</v>
      </c>
      <c r="H54" s="3" t="str">
        <f>FIXED(VLOOKUP($A54,'Full Sample-Townhouse'!$A:$R,H$1,0),2)</f>
        <v>0.48</v>
      </c>
      <c r="I54" s="3" t="str">
        <f>FIXED(VLOOKUP($A54,'Full Sample-Townhouse'!$A:$R,I$1,0),2)</f>
        <v>0.00</v>
      </c>
      <c r="J54" s="13" t="str">
        <f>FIXED(VLOOKUP($A54,'Full Sample-Townhouse'!$A:$R,J$1,0),2)</f>
        <v>1.00</v>
      </c>
      <c r="K54" s="9" t="str">
        <f>FIXED(VLOOKUP($A54,'Full Sample-Townhouse'!$A:$R,K$1,0),2)</f>
        <v>0.39</v>
      </c>
      <c r="L54" s="3" t="str">
        <f>FIXED(VLOOKUP($A54,'Full Sample-Townhouse'!$A:$R,L$1,0),2)</f>
        <v>0.49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1-Townhouse'!$A:$R,O$1,0),2)</f>
        <v>0.38</v>
      </c>
      <c r="P54" s="3" t="str">
        <f>FIXED(VLOOKUP($A54,'Small Sample 1-Townhouse'!$A:$R,P$1,0),2)</f>
        <v>0.49</v>
      </c>
      <c r="Q54" s="3" t="str">
        <f>FIXED(VLOOKUP($A54,'Small Sample 1-Townhouse'!$A:$R,Q$1,0),2)</f>
        <v>0.00</v>
      </c>
      <c r="R54" s="3" t="str">
        <f>FIXED(VLOOKUP($A54,'Small Sample 1-Townhouse'!$A:$R,R$1,0),2)</f>
        <v>1.00</v>
      </c>
      <c r="S54" s="9" t="str">
        <f>FIXED(VLOOKUP($A54,'Small Sample 1-Townhouse'!$A:$R,S$1,0),2)</f>
        <v>2,359,520.00</v>
      </c>
      <c r="T54" s="3" t="str">
        <f>FIXED(VLOOKUP($A54,'Small Sample 1-Townhouse'!$A:$R,T$1,0),2)</f>
        <v>6,920.29</v>
      </c>
      <c r="U54" s="3" t="str">
        <f>FIXED(VLOOKUP($A54,'Small Sample 1-Townhouse'!$A:$R,U$1,0),2)</f>
        <v>2,351,113.00</v>
      </c>
      <c r="V54" s="13" t="str">
        <f>FIXED(VLOOKUP($A54,'Small Sample 1-Townhouse'!$A:$R,V$1,0),2)</f>
        <v>2,400,056.00</v>
      </c>
      <c r="W54" s="9" t="str">
        <f>FIXED(VLOOKUP($A54,'Small Sample 1-Townhouse'!$A:$R,W$1,0),2)</f>
        <v>0.39</v>
      </c>
      <c r="X54" s="3" t="str">
        <f>FIXED(VLOOKUP($A54,'Small Sample 1-Townhouse'!$A:$R,X$1,0),2)</f>
        <v>0.49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2-Townhouse'!$A:$R,AA$1,0),2)</f>
        <v>0.36</v>
      </c>
      <c r="AB54" s="3" t="str">
        <f>FIXED(VLOOKUP($A54,'Small Sample 2-Townhouse'!$A:$R,AB$1,0),2)</f>
        <v>0.48</v>
      </c>
      <c r="AC54" s="3" t="str">
        <f>FIXED(VLOOKUP($A54,'Small Sample 2-Townhouse'!$A:$R,AC$1,0),2)</f>
        <v>0.00</v>
      </c>
      <c r="AD54" s="3" t="str">
        <f>FIXED(VLOOKUP($A54,'Small Sample 2-Townhouse'!$A:$R,AD$1,0),2)</f>
        <v>1.00</v>
      </c>
      <c r="AE54" s="9" t="str">
        <f>FIXED(VLOOKUP($A54,'Small Sample 2-Townhouse'!$A:$R,AE$1,0),2)</f>
        <v>2,359,773.00</v>
      </c>
      <c r="AF54" s="3" t="str">
        <f>FIXED(VLOOKUP($A54,'Small Sample 2-Townhouse'!$A:$R,AF$1,0),2)</f>
        <v>6,978.78</v>
      </c>
      <c r="AG54" s="3" t="str">
        <f>FIXED(VLOOKUP($A54,'Small Sample 2-Townhouse'!$A:$R,AG$1,0),2)</f>
        <v>2,351,041.00</v>
      </c>
      <c r="AH54" s="13" t="str">
        <f>FIXED(VLOOKUP($A54,'Small Sample 2-Townhouse'!$A:$R,AH$1,0),2)</f>
        <v>2,400,056.00</v>
      </c>
      <c r="AI54" s="9" t="str">
        <f>FIXED(VLOOKUP($A54,'Small Sample 2-Townhouse'!$A:$R,AI$1,0),2)</f>
        <v>0.36</v>
      </c>
      <c r="AJ54" s="3" t="str">
        <f>FIXED(VLOOKUP($A54,'Small Sample 2-Townhouse'!$A:$R,AJ$1,0),2)</f>
        <v>0.48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51</v>
      </c>
      <c r="B55" t="s">
        <v>131</v>
      </c>
      <c r="C55" s="9" t="str">
        <f>FIXED(VLOOKUP($A55,'Full Sample-Townhouse'!$A:$R,C$1,0),2)</f>
        <v>1.22</v>
      </c>
      <c r="D55" s="3" t="str">
        <f>FIXED(VLOOKUP($A55,'Full Sample-Townhouse'!$A:$R,D$1,0),2)</f>
        <v>1.82</v>
      </c>
      <c r="E55" s="3" t="str">
        <f>FIXED(VLOOKUP($A55,'Full Sample-Townhouse'!$A:$R,E$1,0),2)</f>
        <v>0.00</v>
      </c>
      <c r="F55" s="3" t="str">
        <f>FIXED(VLOOKUP($A55,'Full Sample-Townhouse'!$A:$R,F$1,0),2)</f>
        <v>36.00</v>
      </c>
      <c r="G55" s="9" t="str">
        <f>FIXED(VLOOKUP($A55,'Full Sample-Townhouse'!$A:$R,G$1,0),2)</f>
        <v>1.20</v>
      </c>
      <c r="H55" s="3" t="str">
        <f>FIXED(VLOOKUP($A55,'Full Sample-Townhouse'!$A:$R,H$1,0),2)</f>
        <v>1.81</v>
      </c>
      <c r="I55" s="3" t="str">
        <f>FIXED(VLOOKUP($A55,'Full Sample-Townhouse'!$A:$R,I$1,0),2)</f>
        <v>0.00</v>
      </c>
      <c r="J55" s="13" t="str">
        <f>FIXED(VLOOKUP($A55,'Full Sample-Townhouse'!$A:$R,J$1,0),2)</f>
        <v>36.00</v>
      </c>
      <c r="K55" s="9" t="str">
        <f>FIXED(VLOOKUP($A55,'Full Sample-Townhouse'!$A:$R,K$1,0),2)</f>
        <v>1.24</v>
      </c>
      <c r="L55" s="3" t="str">
        <f>FIXED(VLOOKUP($A55,'Full Sample-Townhouse'!$A:$R,L$1,0),2)</f>
        <v>1.84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1-Townhouse'!$A:$R,O$1,0),2)</f>
        <v>1.27</v>
      </c>
      <c r="P55" s="3" t="str">
        <f>FIXED(VLOOKUP($A55,'Small Sample 1-Townhouse'!$A:$R,P$1,0),2)</f>
        <v>1.84</v>
      </c>
      <c r="Q55" s="3" t="str">
        <f>FIXED(VLOOKUP($A55,'Small Sample 1-Townhouse'!$A:$R,Q$1,0),2)</f>
        <v>0.00</v>
      </c>
      <c r="R55" s="3" t="str">
        <f>FIXED(VLOOKUP($A55,'Small Sample 1-Townhouse'!$A:$R,R$1,0),2)</f>
        <v>36.00</v>
      </c>
      <c r="S55" s="9" t="str">
        <f>FIXED(VLOOKUP($A55,'Small Sample 1-Townhouse'!$A:$R,S$1,0),2)</f>
        <v>0.37</v>
      </c>
      <c r="T55" s="3" t="str">
        <f>FIXED(VLOOKUP($A55,'Small Sample 1-Townhouse'!$A:$R,T$1,0),2)</f>
        <v>0.48</v>
      </c>
      <c r="U55" s="3" t="str">
        <f>FIXED(VLOOKUP($A55,'Small Sample 1-Townhouse'!$A:$R,U$1,0),2)</f>
        <v>0.00</v>
      </c>
      <c r="V55" s="13" t="str">
        <f>FIXED(VLOOKUP($A55,'Small Sample 1-Townhouse'!$A:$R,V$1,0),2)</f>
        <v>1.00</v>
      </c>
      <c r="W55" s="9" t="str">
        <f>FIXED(VLOOKUP($A55,'Small Sample 1-Townhouse'!$A:$R,W$1,0),2)</f>
        <v>1.25</v>
      </c>
      <c r="X55" s="3" t="str">
        <f>FIXED(VLOOKUP($A55,'Small Sample 1-Townhouse'!$A:$R,X$1,0),2)</f>
        <v>1.84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2-Townhouse'!$A:$R,AA$1,0),2)</f>
        <v>1.28</v>
      </c>
      <c r="AB55" s="3" t="str">
        <f>FIXED(VLOOKUP($A55,'Small Sample 2-Townhouse'!$A:$R,AB$1,0),2)</f>
        <v>1.86</v>
      </c>
      <c r="AC55" s="3" t="str">
        <f>FIXED(VLOOKUP($A55,'Small Sample 2-Townhouse'!$A:$R,AC$1,0),2)</f>
        <v>0.00</v>
      </c>
      <c r="AD55" s="3" t="str">
        <f>FIXED(VLOOKUP($A55,'Small Sample 2-Townhouse'!$A:$R,AD$1,0),2)</f>
        <v>36.00</v>
      </c>
      <c r="AE55" s="9" t="str">
        <f>FIXED(VLOOKUP($A55,'Small Sample 2-Townhouse'!$A:$R,AE$1,0),2)</f>
        <v>0.36</v>
      </c>
      <c r="AF55" s="3" t="str">
        <f>FIXED(VLOOKUP($A55,'Small Sample 2-Townhouse'!$A:$R,AF$1,0),2)</f>
        <v>0.48</v>
      </c>
      <c r="AG55" s="3" t="str">
        <f>FIXED(VLOOKUP($A55,'Small Sample 2-Townhouse'!$A:$R,AG$1,0),2)</f>
        <v>0.00</v>
      </c>
      <c r="AH55" s="13" t="str">
        <f>FIXED(VLOOKUP($A55,'Small Sample 2-Townhouse'!$A:$R,AH$1,0),2)</f>
        <v>1.00</v>
      </c>
      <c r="AI55" s="9" t="str">
        <f>FIXED(VLOOKUP($A55,'Small Sample 2-Townhouse'!$A:$R,AI$1,0),2)</f>
        <v>1.36</v>
      </c>
      <c r="AJ55" s="3" t="str">
        <f>FIXED(VLOOKUP($A55,'Small Sample 2-Townhouse'!$A:$R,AJ$1,0),2)</f>
        <v>1.91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38</v>
      </c>
      <c r="B56" t="s">
        <v>185</v>
      </c>
      <c r="C56" s="9" t="str">
        <f>FIXED(VLOOKUP($A56,'Full Sample-Townhouse'!$A:$R,C$1,0),2)</f>
        <v>1.77</v>
      </c>
      <c r="D56" s="3" t="str">
        <f>FIXED(VLOOKUP($A56,'Full Sample-Townhouse'!$A:$R,D$1,0),2)</f>
        <v>2.27</v>
      </c>
      <c r="E56" s="3" t="str">
        <f>FIXED(VLOOKUP($A56,'Full Sample-Townhouse'!$A:$R,E$1,0),2)</f>
        <v>0.00</v>
      </c>
      <c r="F56" s="3" t="str">
        <f>FIXED(VLOOKUP($A56,'Full Sample-Townhouse'!$A:$R,F$1,0),2)</f>
        <v>12.79</v>
      </c>
      <c r="G56" s="9" t="str">
        <f>FIXED(VLOOKUP($A56,'Full Sample-Townhouse'!$A:$R,G$1,0),2)</f>
        <v>1.80</v>
      </c>
      <c r="H56" s="3" t="str">
        <f>FIXED(VLOOKUP($A56,'Full Sample-Townhouse'!$A:$R,H$1,0),2)</f>
        <v>2.32</v>
      </c>
      <c r="I56" s="3" t="str">
        <f>FIXED(VLOOKUP($A56,'Full Sample-Townhouse'!$A:$R,I$1,0),2)</f>
        <v>0.00</v>
      </c>
      <c r="J56" s="13" t="str">
        <f>FIXED(VLOOKUP($A56,'Full Sample-Townhouse'!$A:$R,J$1,0),2)</f>
        <v>12.79</v>
      </c>
      <c r="K56" s="9" t="str">
        <f>FIXED(VLOOKUP($A56,'Full Sample-Townhouse'!$A:$R,K$1,0),2)</f>
        <v>1.72</v>
      </c>
      <c r="L56" s="3" t="str">
        <f>FIXED(VLOOKUP($A56,'Full Sample-Townhouse'!$A:$R,L$1,0),2)</f>
        <v>2.20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1-Townhouse'!$A:$R,O$1,0),2)</f>
        <v>1.71</v>
      </c>
      <c r="P56" s="3" t="str">
        <f>FIXED(VLOOKUP($A56,'Small Sample 1-Townhouse'!$A:$R,P$1,0),2)</f>
        <v>2.22</v>
      </c>
      <c r="Q56" s="3" t="str">
        <f>FIXED(VLOOKUP($A56,'Small Sample 1-Townhouse'!$A:$R,Q$1,0),2)</f>
        <v>0.00</v>
      </c>
      <c r="R56" s="3" t="str">
        <f>FIXED(VLOOKUP($A56,'Small Sample 1-Townhouse'!$A:$R,R$1,0),2)</f>
        <v>12.79</v>
      </c>
      <c r="S56" s="9" t="str">
        <f>FIXED(VLOOKUP($A56,'Small Sample 1-Townhouse'!$A:$R,S$1,0),2)</f>
        <v>0.33</v>
      </c>
      <c r="T56" s="3" t="str">
        <f>FIXED(VLOOKUP($A56,'Small Sample 1-Townhouse'!$A:$R,T$1,0),2)</f>
        <v>0.26</v>
      </c>
      <c r="U56" s="3" t="str">
        <f>FIXED(VLOOKUP($A56,'Small Sample 1-Townhouse'!$A:$R,U$1,0),2)</f>
        <v>0.01</v>
      </c>
      <c r="V56" s="13" t="str">
        <f>FIXED(VLOOKUP($A56,'Small Sample 1-Townhouse'!$A:$R,V$1,0),2)</f>
        <v>1.75</v>
      </c>
      <c r="W56" s="9" t="str">
        <f>FIXED(VLOOKUP($A56,'Small Sample 1-Townhouse'!$A:$R,W$1,0),2)</f>
        <v>1.72</v>
      </c>
      <c r="X56" s="3" t="str">
        <f>FIXED(VLOOKUP($A56,'Small Sample 1-Townhouse'!$A:$R,X$1,0),2)</f>
        <v>2.20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2-Townhouse'!$A:$R,AA$1,0),2)</f>
        <v>1.71</v>
      </c>
      <c r="AB56" s="3" t="str">
        <f>FIXED(VLOOKUP($A56,'Small Sample 2-Townhouse'!$A:$R,AB$1,0),2)</f>
        <v>2.22</v>
      </c>
      <c r="AC56" s="3" t="str">
        <f>FIXED(VLOOKUP($A56,'Small Sample 2-Townhouse'!$A:$R,AC$1,0),2)</f>
        <v>0.00</v>
      </c>
      <c r="AD56" s="3" t="str">
        <f>FIXED(VLOOKUP($A56,'Small Sample 2-Townhouse'!$A:$R,AD$1,0),2)</f>
        <v>12.79</v>
      </c>
      <c r="AE56" s="9" t="str">
        <f>FIXED(VLOOKUP($A56,'Small Sample 2-Townhouse'!$A:$R,AE$1,0),2)</f>
        <v>0.33</v>
      </c>
      <c r="AF56" s="3" t="str">
        <f>FIXED(VLOOKUP($A56,'Small Sample 2-Townhouse'!$A:$R,AF$1,0),2)</f>
        <v>0.26</v>
      </c>
      <c r="AG56" s="3" t="str">
        <f>FIXED(VLOOKUP($A56,'Small Sample 2-Townhouse'!$A:$R,AG$1,0),2)</f>
        <v>0.01</v>
      </c>
      <c r="AH56" s="13" t="str">
        <f>FIXED(VLOOKUP($A56,'Small Sample 2-Townhouse'!$A:$R,AH$1,0),2)</f>
        <v>1.75</v>
      </c>
      <c r="AI56" s="9" t="str">
        <f>FIXED(VLOOKUP($A56,'Small Sample 2-Townhouse'!$A:$R,AI$1,0),2)</f>
        <v>1.58</v>
      </c>
      <c r="AJ56" s="3" t="str">
        <f>FIXED(VLOOKUP($A56,'Small Sample 2-Townhouse'!$A:$R,AJ$1,0),2)</f>
        <v>2.04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39</v>
      </c>
      <c r="B57" t="s">
        <v>177</v>
      </c>
      <c r="C57" s="9" t="str">
        <f>FIXED(VLOOKUP($A57,'Full Sample-Townhouse'!$A:$R,C$1,0),2)</f>
        <v>0.34</v>
      </c>
      <c r="D57" s="3" t="str">
        <f>FIXED(VLOOKUP($A57,'Full Sample-Townhouse'!$A:$R,D$1,0),2)</f>
        <v>0.27</v>
      </c>
      <c r="E57" s="3" t="str">
        <f>FIXED(VLOOKUP($A57,'Full Sample-Townhouse'!$A:$R,E$1,0),2)</f>
        <v>0.00</v>
      </c>
      <c r="F57" s="3" t="str">
        <f>FIXED(VLOOKUP($A57,'Full Sample-Townhouse'!$A:$R,F$1,0),2)</f>
        <v>2.17</v>
      </c>
      <c r="G57" s="9" t="str">
        <f>FIXED(VLOOKUP($A57,'Full Sample-Townhouse'!$A:$R,G$1,0),2)</f>
        <v>0.34</v>
      </c>
      <c r="H57" s="3" t="str">
        <f>FIXED(VLOOKUP($A57,'Full Sample-Townhouse'!$A:$R,H$1,0),2)</f>
        <v>0.27</v>
      </c>
      <c r="I57" s="3" t="str">
        <f>FIXED(VLOOKUP($A57,'Full Sample-Townhouse'!$A:$R,I$1,0),2)</f>
        <v>0.01</v>
      </c>
      <c r="J57" s="13" t="str">
        <f>FIXED(VLOOKUP($A57,'Full Sample-Townhouse'!$A:$R,J$1,0),2)</f>
        <v>1.75</v>
      </c>
      <c r="K57" s="9" t="str">
        <f>FIXED(VLOOKUP($A57,'Full Sample-Townhouse'!$A:$R,K$1,0),2)</f>
        <v>0.35</v>
      </c>
      <c r="L57" s="3" t="str">
        <f>FIXED(VLOOKUP($A57,'Full Sample-Townhouse'!$A:$R,L$1,0),2)</f>
        <v>0.28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1-Townhouse'!$A:$R,O$1,0),2)</f>
        <v>0.34</v>
      </c>
      <c r="P57" s="3" t="str">
        <f>FIXED(VLOOKUP($A57,'Small Sample 1-Townhouse'!$A:$R,P$1,0),2)</f>
        <v>0.27</v>
      </c>
      <c r="Q57" s="3" t="str">
        <f>FIXED(VLOOKUP($A57,'Small Sample 1-Townhouse'!$A:$R,Q$1,0),2)</f>
        <v>0.00</v>
      </c>
      <c r="R57" s="3" t="str">
        <f>FIXED(VLOOKUP($A57,'Small Sample 1-Townhouse'!$A:$R,R$1,0),2)</f>
        <v>2.17</v>
      </c>
      <c r="S57" s="9" t="str">
        <f>FIXED(VLOOKUP($A57,'Small Sample 1-Townhouse'!$A:$R,S$1,0),2)</f>
        <v>3.00</v>
      </c>
      <c r="T57" s="3" t="str">
        <f>FIXED(VLOOKUP($A57,'Small Sample 1-Townhouse'!$A:$R,T$1,0),2)</f>
        <v>3.28</v>
      </c>
      <c r="U57" s="3" t="str">
        <f>FIXED(VLOOKUP($A57,'Small Sample 1-Townhouse'!$A:$R,U$1,0),2)</f>
        <v>0.02</v>
      </c>
      <c r="V57" s="13" t="str">
        <f>FIXED(VLOOKUP($A57,'Small Sample 1-Townhouse'!$A:$R,V$1,0),2)</f>
        <v>20.40</v>
      </c>
      <c r="W57" s="9" t="str">
        <f>FIXED(VLOOKUP($A57,'Small Sample 1-Townhouse'!$A:$R,W$1,0),2)</f>
        <v>0.35</v>
      </c>
      <c r="X57" s="3" t="str">
        <f>FIXED(VLOOKUP($A57,'Small Sample 1-Townhouse'!$A:$R,X$1,0),2)</f>
        <v>0.28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2-Townhouse'!$A:$R,AA$1,0),2)</f>
        <v>0.34</v>
      </c>
      <c r="AB57" s="3" t="str">
        <f>FIXED(VLOOKUP($A57,'Small Sample 2-Townhouse'!$A:$R,AB$1,0),2)</f>
        <v>0.27</v>
      </c>
      <c r="AC57" s="3" t="str">
        <f>FIXED(VLOOKUP($A57,'Small Sample 2-Townhouse'!$A:$R,AC$1,0),2)</f>
        <v>0.00</v>
      </c>
      <c r="AD57" s="3" t="str">
        <f>FIXED(VLOOKUP($A57,'Small Sample 2-Townhouse'!$A:$R,AD$1,0),2)</f>
        <v>2.17</v>
      </c>
      <c r="AE57" s="9" t="str">
        <f>FIXED(VLOOKUP($A57,'Small Sample 2-Townhouse'!$A:$R,AE$1,0),2)</f>
        <v>3.11</v>
      </c>
      <c r="AF57" s="3" t="str">
        <f>FIXED(VLOOKUP($A57,'Small Sample 2-Townhouse'!$A:$R,AF$1,0),2)</f>
        <v>3.34</v>
      </c>
      <c r="AG57" s="3" t="str">
        <f>FIXED(VLOOKUP($A57,'Small Sample 2-Townhouse'!$A:$R,AG$1,0),2)</f>
        <v>0.02</v>
      </c>
      <c r="AH57" s="13" t="str">
        <f>FIXED(VLOOKUP($A57,'Small Sample 2-Townhouse'!$A:$R,AH$1,0),2)</f>
        <v>20.40</v>
      </c>
      <c r="AI57" s="9" t="str">
        <f>FIXED(VLOOKUP($A57,'Small Sample 2-Townhouse'!$A:$R,AI$1,0),2)</f>
        <v>0.34</v>
      </c>
      <c r="AJ57" s="3" t="str">
        <f>FIXED(VLOOKUP($A57,'Small Sample 2-Townhouse'!$A:$R,AJ$1,0),2)</f>
        <v>0.27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40</v>
      </c>
      <c r="B58" t="s">
        <v>178</v>
      </c>
      <c r="C58" s="9" t="str">
        <f>FIXED(VLOOKUP($A58,'Full Sample-Townhouse'!$A:$R,C$1,0),2)</f>
        <v>3.21</v>
      </c>
      <c r="D58" s="3" t="str">
        <f>FIXED(VLOOKUP($A58,'Full Sample-Townhouse'!$A:$R,D$1,0),2)</f>
        <v>3.46</v>
      </c>
      <c r="E58" s="3" t="str">
        <f>FIXED(VLOOKUP($A58,'Full Sample-Townhouse'!$A:$R,E$1,0),2)</f>
        <v>0.02</v>
      </c>
      <c r="F58" s="3" t="str">
        <f>FIXED(VLOOKUP($A58,'Full Sample-Townhouse'!$A:$R,F$1,0),2)</f>
        <v>20.40</v>
      </c>
      <c r="G58" s="9" t="str">
        <f>FIXED(VLOOKUP($A58,'Full Sample-Townhouse'!$A:$R,G$1,0),2)</f>
        <v>3.16</v>
      </c>
      <c r="H58" s="3" t="str">
        <f>FIXED(VLOOKUP($A58,'Full Sample-Townhouse'!$A:$R,H$1,0),2)</f>
        <v>3.35</v>
      </c>
      <c r="I58" s="3" t="str">
        <f>FIXED(VLOOKUP($A58,'Full Sample-Townhouse'!$A:$R,I$1,0),2)</f>
        <v>0.02</v>
      </c>
      <c r="J58" s="13" t="str">
        <f>FIXED(VLOOKUP($A58,'Full Sample-Townhouse'!$A:$R,J$1,0),2)</f>
        <v>20.40</v>
      </c>
      <c r="K58" s="9" t="str">
        <f>FIXED(VLOOKUP($A58,'Full Sample-Townhouse'!$A:$R,K$1,0),2)</f>
        <v>3.26</v>
      </c>
      <c r="L58" s="3" t="str">
        <f>FIXED(VLOOKUP($A58,'Full Sample-Townhouse'!$A:$R,L$1,0),2)</f>
        <v>3.61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1-Townhouse'!$A:$R,O$1,0),2)</f>
        <v>3.11</v>
      </c>
      <c r="P58" s="3" t="str">
        <f>FIXED(VLOOKUP($A58,'Small Sample 1-Townhouse'!$A:$R,P$1,0),2)</f>
        <v>3.44</v>
      </c>
      <c r="Q58" s="3" t="str">
        <f>FIXED(VLOOKUP($A58,'Small Sample 1-Townhouse'!$A:$R,Q$1,0),2)</f>
        <v>0.02</v>
      </c>
      <c r="R58" s="3" t="str">
        <f>FIXED(VLOOKUP($A58,'Small Sample 1-Townhouse'!$A:$R,R$1,0),2)</f>
        <v>20.40</v>
      </c>
      <c r="S58" s="9" t="str">
        <f>FIXED(VLOOKUP($A58,'Small Sample 1-Townhouse'!$A:$R,S$1,0),2)</f>
        <v>7.58</v>
      </c>
      <c r="T58" s="3" t="str">
        <f>FIXED(VLOOKUP($A58,'Small Sample 1-Townhouse'!$A:$R,T$1,0),2)</f>
        <v>5.15</v>
      </c>
      <c r="U58" s="3" t="str">
        <f>FIXED(VLOOKUP($A58,'Small Sample 1-Townhouse'!$A:$R,U$1,0),2)</f>
        <v>0.99</v>
      </c>
      <c r="V58" s="13" t="str">
        <f>FIXED(VLOOKUP($A58,'Small Sample 1-Townhouse'!$A:$R,V$1,0),2)</f>
        <v>25.14</v>
      </c>
      <c r="W58" s="9" t="str">
        <f>FIXED(VLOOKUP($A58,'Small Sample 1-Townhouse'!$A:$R,W$1,0),2)</f>
        <v>3.24</v>
      </c>
      <c r="X58" s="3" t="str">
        <f>FIXED(VLOOKUP($A58,'Small Sample 1-Townhouse'!$A:$R,X$1,0),2)</f>
        <v>3.61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2-Townhouse'!$A:$R,AA$1,0),2)</f>
        <v>3.11</v>
      </c>
      <c r="AB58" s="3" t="str">
        <f>FIXED(VLOOKUP($A58,'Small Sample 2-Townhouse'!$A:$R,AB$1,0),2)</f>
        <v>3.44</v>
      </c>
      <c r="AC58" s="3" t="str">
        <f>FIXED(VLOOKUP($A58,'Small Sample 2-Townhouse'!$A:$R,AC$1,0),2)</f>
        <v>0.02</v>
      </c>
      <c r="AD58" s="3" t="str">
        <f>FIXED(VLOOKUP($A58,'Small Sample 2-Townhouse'!$A:$R,AD$1,0),2)</f>
        <v>20.40</v>
      </c>
      <c r="AE58" s="9" t="str">
        <f>FIXED(VLOOKUP($A58,'Small Sample 2-Townhouse'!$A:$R,AE$1,0),2)</f>
        <v>7.68</v>
      </c>
      <c r="AF58" s="3" t="str">
        <f>FIXED(VLOOKUP($A58,'Small Sample 2-Townhouse'!$A:$R,AF$1,0),2)</f>
        <v>5.20</v>
      </c>
      <c r="AG58" s="3" t="str">
        <f>FIXED(VLOOKUP($A58,'Small Sample 2-Townhouse'!$A:$R,AG$1,0),2)</f>
        <v>0.99</v>
      </c>
      <c r="AH58" s="13" t="str">
        <f>FIXED(VLOOKUP($A58,'Small Sample 2-Townhouse'!$A:$R,AH$1,0),2)</f>
        <v>25.14</v>
      </c>
      <c r="AI58" s="9" t="str">
        <f>FIXED(VLOOKUP($A58,'Small Sample 2-Townhouse'!$A:$R,AI$1,0),2)</f>
        <v>3.11</v>
      </c>
      <c r="AJ58" s="3" t="str">
        <f>FIXED(VLOOKUP($A58,'Small Sample 2-Townhouse'!$A:$R,AJ$1,0),2)</f>
        <v>3.62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41</v>
      </c>
      <c r="B59" t="s">
        <v>179</v>
      </c>
      <c r="C59" s="9" t="str">
        <f>FIXED(VLOOKUP($A59,'Full Sample-Townhouse'!$A:$R,C$1,0),2)</f>
        <v>7.66</v>
      </c>
      <c r="D59" s="3" t="str">
        <f>FIXED(VLOOKUP($A59,'Full Sample-Townhouse'!$A:$R,D$1,0),2)</f>
        <v>5.18</v>
      </c>
      <c r="E59" s="3" t="str">
        <f>FIXED(VLOOKUP($A59,'Full Sample-Townhouse'!$A:$R,E$1,0),2)</f>
        <v>0.99</v>
      </c>
      <c r="F59" s="3" t="str">
        <f>FIXED(VLOOKUP($A59,'Full Sample-Townhouse'!$A:$R,F$1,0),2)</f>
        <v>25.14</v>
      </c>
      <c r="G59" s="9" t="str">
        <f>FIXED(VLOOKUP($A59,'Full Sample-Townhouse'!$A:$R,G$1,0),2)</f>
        <v>7.71</v>
      </c>
      <c r="H59" s="3" t="str">
        <f>FIXED(VLOOKUP($A59,'Full Sample-Townhouse'!$A:$R,H$1,0),2)</f>
        <v>5.20</v>
      </c>
      <c r="I59" s="3" t="str">
        <f>FIXED(VLOOKUP($A59,'Full Sample-Townhouse'!$A:$R,I$1,0),2)</f>
        <v>0.99</v>
      </c>
      <c r="J59" s="13" t="str">
        <f>FIXED(VLOOKUP($A59,'Full Sample-Townhouse'!$A:$R,J$1,0),2)</f>
        <v>25.14</v>
      </c>
      <c r="K59" s="9" t="str">
        <f>FIXED(VLOOKUP($A59,'Full Sample-Townhouse'!$A:$R,K$1,0),2)</f>
        <v>7.59</v>
      </c>
      <c r="L59" s="3" t="str">
        <f>FIXED(VLOOKUP($A59,'Full Sample-Townhouse'!$A:$R,L$1,0),2)</f>
        <v>5.14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1-Townhouse'!$A:$R,O$1,0),2)</f>
        <v>7.58</v>
      </c>
      <c r="P59" s="3" t="str">
        <f>FIXED(VLOOKUP($A59,'Small Sample 1-Townhouse'!$A:$R,P$1,0),2)</f>
        <v>5.15</v>
      </c>
      <c r="Q59" s="3" t="str">
        <f>FIXED(VLOOKUP($A59,'Small Sample 1-Townhouse'!$A:$R,Q$1,0),2)</f>
        <v>0.99</v>
      </c>
      <c r="R59" s="3" t="str">
        <f>FIXED(VLOOKUP($A59,'Small Sample 1-Townhouse'!$A:$R,R$1,0),2)</f>
        <v>25.14</v>
      </c>
      <c r="S59" s="9" t="str">
        <f>FIXED(VLOOKUP($A59,'Small Sample 1-Townhouse'!$A:$R,S$1,0),2)</f>
        <v>1.28</v>
      </c>
      <c r="T59" s="3" t="str">
        <f>FIXED(VLOOKUP($A59,'Small Sample 1-Townhouse'!$A:$R,T$1,0),2)</f>
        <v>6.47</v>
      </c>
      <c r="U59" s="3" t="str">
        <f>FIXED(VLOOKUP($A59,'Small Sample 1-Townhouse'!$A:$R,U$1,0),2)</f>
        <v>0.04</v>
      </c>
      <c r="V59" s="13" t="str">
        <f>FIXED(VLOOKUP($A59,'Small Sample 1-Townhouse'!$A:$R,V$1,0),2)</f>
        <v>196.49</v>
      </c>
      <c r="W59" s="9" t="str">
        <f>FIXED(VLOOKUP($A59,'Small Sample 1-Townhouse'!$A:$R,W$1,0),2)</f>
        <v>7.57</v>
      </c>
      <c r="X59" s="3" t="str">
        <f>FIXED(VLOOKUP($A59,'Small Sample 1-Townhouse'!$A:$R,X$1,0),2)</f>
        <v>5.14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2-Townhouse'!$A:$R,AA$1,0),2)</f>
        <v>7.58</v>
      </c>
      <c r="AB59" s="3" t="str">
        <f>FIXED(VLOOKUP($A59,'Small Sample 2-Townhouse'!$A:$R,AB$1,0),2)</f>
        <v>5.15</v>
      </c>
      <c r="AC59" s="3" t="str">
        <f>FIXED(VLOOKUP($A59,'Small Sample 2-Townhouse'!$A:$R,AC$1,0),2)</f>
        <v>0.99</v>
      </c>
      <c r="AD59" s="3" t="str">
        <f>FIXED(VLOOKUP($A59,'Small Sample 2-Townhouse'!$A:$R,AD$1,0),2)</f>
        <v>25.14</v>
      </c>
      <c r="AE59" s="9" t="str">
        <f>FIXED(VLOOKUP($A59,'Small Sample 2-Townhouse'!$A:$R,AE$1,0),2)</f>
        <v>1.29</v>
      </c>
      <c r="AF59" s="3" t="str">
        <f>FIXED(VLOOKUP($A59,'Small Sample 2-Townhouse'!$A:$R,AF$1,0),2)</f>
        <v>6.51</v>
      </c>
      <c r="AG59" s="3" t="str">
        <f>FIXED(VLOOKUP($A59,'Small Sample 2-Townhouse'!$A:$R,AG$1,0),2)</f>
        <v>0.04</v>
      </c>
      <c r="AH59" s="13" t="str">
        <f>FIXED(VLOOKUP($A59,'Small Sample 2-Townhouse'!$A:$R,AH$1,0),2)</f>
        <v>196.49</v>
      </c>
      <c r="AI59" s="9" t="str">
        <f>FIXED(VLOOKUP($A59,'Small Sample 2-Townhouse'!$A:$R,AI$1,0),2)</f>
        <v>7.39</v>
      </c>
      <c r="AJ59" s="3" t="str">
        <f>FIXED(VLOOKUP($A59,'Small Sample 2-Townhouse'!$A:$R,AJ$1,0),2)</f>
        <v>5.05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173</v>
      </c>
      <c r="B60" t="s">
        <v>180</v>
      </c>
      <c r="C60" s="9" t="str">
        <f>FIXED(VLOOKUP($A60,'Full Sample-Townhouse'!$A:$R,C$1,0),2)</f>
        <v>1.26</v>
      </c>
      <c r="D60" s="3" t="str">
        <f>FIXED(VLOOKUP($A60,'Full Sample-Townhouse'!$A:$R,D$1,0),2)</f>
        <v>6.08</v>
      </c>
      <c r="E60" s="3" t="str">
        <f>FIXED(VLOOKUP($A60,'Full Sample-Townhouse'!$A:$R,E$1,0),2)</f>
        <v>0.04</v>
      </c>
      <c r="F60" s="3" t="str">
        <f>FIXED(VLOOKUP($A60,'Full Sample-Townhouse'!$A:$R,F$1,0),2)</f>
        <v>196.49</v>
      </c>
      <c r="G60" s="9" t="str">
        <f>FIXED(VLOOKUP($A60,'Full Sample-Townhouse'!$A:$R,G$1,0),2)</f>
        <v>1.28</v>
      </c>
      <c r="H60" s="3" t="str">
        <f>FIXED(VLOOKUP($A60,'Full Sample-Townhouse'!$A:$R,H$1,0),2)</f>
        <v>6.28</v>
      </c>
      <c r="I60" s="3" t="str">
        <f>FIXED(VLOOKUP($A60,'Full Sample-Townhouse'!$A:$R,I$1,0),2)</f>
        <v>0.04</v>
      </c>
      <c r="J60" s="13" t="str">
        <f>FIXED(VLOOKUP($A60,'Full Sample-Townhouse'!$A:$R,J$1,0),2)</f>
        <v>196.49</v>
      </c>
      <c r="K60" s="9" t="str">
        <f>FIXED(VLOOKUP($A60,'Full Sample-Townhouse'!$A:$R,K$1,0),2)</f>
        <v>1.23</v>
      </c>
      <c r="L60" s="3" t="str">
        <f>FIXED(VLOOKUP($A60,'Full Sample-Townhouse'!$A:$R,L$1,0),2)</f>
        <v>5.79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1-Townhouse'!$A:$R,O$1,0),2)</f>
        <v>1.26</v>
      </c>
      <c r="P60" s="3" t="str">
        <f>FIXED(VLOOKUP($A60,'Small Sample 1-Townhouse'!$A:$R,P$1,0),2)</f>
        <v>6.19</v>
      </c>
      <c r="Q60" s="3" t="str">
        <f>FIXED(VLOOKUP($A60,'Small Sample 1-Townhouse'!$A:$R,Q$1,0),2)</f>
        <v>0.04</v>
      </c>
      <c r="R60" s="3" t="str">
        <f>FIXED(VLOOKUP($A60,'Small Sample 1-Townhouse'!$A:$R,R$1,0),2)</f>
        <v>196.49</v>
      </c>
      <c r="S60" s="9" t="str">
        <f>FIXED(VLOOKUP($A60,'Small Sample 1-Townhouse'!$A:$R,S$1,0),2)</f>
        <v>1.92</v>
      </c>
      <c r="T60" s="3" t="str">
        <f>FIXED(VLOOKUP($A60,'Small Sample 1-Townhouse'!$A:$R,T$1,0),2)</f>
        <v>1.31</v>
      </c>
      <c r="U60" s="3" t="str">
        <f>FIXED(VLOOKUP($A60,'Small Sample 1-Townhouse'!$A:$R,U$1,0),2)</f>
        <v>0.07</v>
      </c>
      <c r="V60" s="13" t="str">
        <f>FIXED(VLOOKUP($A60,'Small Sample 1-Townhouse'!$A:$R,V$1,0),2)</f>
        <v>7.28</v>
      </c>
      <c r="W60" s="9" t="str">
        <f>FIXED(VLOOKUP($A60,'Small Sample 1-Townhouse'!$A:$R,W$1,0),2)</f>
        <v>1.24</v>
      </c>
      <c r="X60" s="3" t="str">
        <f>FIXED(VLOOKUP($A60,'Small Sample 1-Townhouse'!$A:$R,X$1,0),2)</f>
        <v>5.88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2-Townhouse'!$A:$R,AA$1,0),2)</f>
        <v>1.26</v>
      </c>
      <c r="AB60" s="3" t="str">
        <f>FIXED(VLOOKUP($A60,'Small Sample 2-Townhouse'!$A:$R,AB$1,0),2)</f>
        <v>6.19</v>
      </c>
      <c r="AC60" s="3" t="str">
        <f>FIXED(VLOOKUP($A60,'Small Sample 2-Townhouse'!$A:$R,AC$1,0),2)</f>
        <v>0.04</v>
      </c>
      <c r="AD60" s="3" t="str">
        <f>FIXED(VLOOKUP($A60,'Small Sample 2-Townhouse'!$A:$R,AD$1,0),2)</f>
        <v>196.49</v>
      </c>
      <c r="AE60" s="9" t="str">
        <f>FIXED(VLOOKUP($A60,'Small Sample 2-Townhouse'!$A:$R,AE$1,0),2)</f>
        <v>1.95</v>
      </c>
      <c r="AF60" s="3" t="str">
        <f>FIXED(VLOOKUP($A60,'Small Sample 2-Townhouse'!$A:$R,AF$1,0),2)</f>
        <v>1.33</v>
      </c>
      <c r="AG60" s="3" t="str">
        <f>FIXED(VLOOKUP($A60,'Small Sample 2-Townhouse'!$A:$R,AG$1,0),2)</f>
        <v>0.07</v>
      </c>
      <c r="AH60" s="13" t="str">
        <f>FIXED(VLOOKUP($A60,'Small Sample 2-Townhouse'!$A:$R,AH$1,0),2)</f>
        <v>7.28</v>
      </c>
      <c r="AI60" s="9" t="str">
        <f>FIXED(VLOOKUP($A60,'Small Sample 2-Townhouse'!$A:$R,AI$1,0),2)</f>
        <v>1.20</v>
      </c>
      <c r="AJ60" s="3" t="str">
        <f>FIXED(VLOOKUP($A60,'Small Sample 2-Townhouse'!$A:$R,AJ$1,0),2)</f>
        <v>5.61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174</v>
      </c>
      <c r="B61" t="s">
        <v>181</v>
      </c>
      <c r="C61" s="9" t="str">
        <f>FIXED(VLOOKUP($A61,'Full Sample-Townhouse'!$A:$R,C$1,0),2)</f>
        <v>1.97</v>
      </c>
      <c r="D61" s="3" t="str">
        <f>FIXED(VLOOKUP($A61,'Full Sample-Townhouse'!$A:$R,D$1,0),2)</f>
        <v>1.34</v>
      </c>
      <c r="E61" s="3" t="str">
        <f>FIXED(VLOOKUP($A61,'Full Sample-Townhouse'!$A:$R,E$1,0),2)</f>
        <v>0.07</v>
      </c>
      <c r="F61" s="3" t="str">
        <f>FIXED(VLOOKUP($A61,'Full Sample-Townhouse'!$A:$R,F$1,0),2)</f>
        <v>7.28</v>
      </c>
      <c r="G61" s="9" t="str">
        <f>FIXED(VLOOKUP($A61,'Full Sample-Townhouse'!$A:$R,G$1,0),2)</f>
        <v>1.96</v>
      </c>
      <c r="H61" s="3" t="str">
        <f>FIXED(VLOOKUP($A61,'Full Sample-Townhouse'!$A:$R,H$1,0),2)</f>
        <v>1.34</v>
      </c>
      <c r="I61" s="3" t="str">
        <f>FIXED(VLOOKUP($A61,'Full Sample-Townhouse'!$A:$R,I$1,0),2)</f>
        <v>0.07</v>
      </c>
      <c r="J61" s="13" t="str">
        <f>FIXED(VLOOKUP($A61,'Full Sample-Townhouse'!$A:$R,J$1,0),2)</f>
        <v>7.28</v>
      </c>
      <c r="K61" s="9" t="str">
        <f>FIXED(VLOOKUP($A61,'Full Sample-Townhouse'!$A:$R,K$1,0),2)</f>
        <v>1.97</v>
      </c>
      <c r="L61" s="3" t="str">
        <f>FIXED(VLOOKUP($A61,'Full Sample-Townhouse'!$A:$R,L$1,0),2)</f>
        <v>1.33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1-Townhouse'!$A:$R,O$1,0),2)</f>
        <v>1.94</v>
      </c>
      <c r="P61" s="3" t="str">
        <f>FIXED(VLOOKUP($A61,'Small Sample 1-Townhouse'!$A:$R,P$1,0),2)</f>
        <v>1.32</v>
      </c>
      <c r="Q61" s="3" t="str">
        <f>FIXED(VLOOKUP($A61,'Small Sample 1-Townhouse'!$A:$R,Q$1,0),2)</f>
        <v>0.07</v>
      </c>
      <c r="R61" s="3" t="str">
        <f>FIXED(VLOOKUP($A61,'Small Sample 1-Townhouse'!$A:$R,R$1,0),2)</f>
        <v>7.28</v>
      </c>
      <c r="S61" s="9" t="str">
        <f>FIXED(VLOOKUP($A61,'Small Sample 1-Townhouse'!$A:$R,S$1,0),2)</f>
        <v>1.80</v>
      </c>
      <c r="T61" s="3" t="str">
        <f>FIXED(VLOOKUP($A61,'Small Sample 1-Townhouse'!$A:$R,T$1,0),2)</f>
        <v>1.19</v>
      </c>
      <c r="U61" s="3" t="str">
        <f>FIXED(VLOOKUP($A61,'Small Sample 1-Townhouse'!$A:$R,U$1,0),2)</f>
        <v>0.03</v>
      </c>
      <c r="V61" s="13" t="str">
        <f>FIXED(VLOOKUP($A61,'Small Sample 1-Townhouse'!$A:$R,V$1,0),2)</f>
        <v>6.80</v>
      </c>
      <c r="W61" s="9" t="str">
        <f>FIXED(VLOOKUP($A61,'Small Sample 1-Townhouse'!$A:$R,W$1,0),2)</f>
        <v>1.97</v>
      </c>
      <c r="X61" s="3" t="str">
        <f>FIXED(VLOOKUP($A61,'Small Sample 1-Townhouse'!$A:$R,X$1,0),2)</f>
        <v>1.33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2-Townhouse'!$A:$R,AA$1,0),2)</f>
        <v>1.94</v>
      </c>
      <c r="AB61" s="3" t="str">
        <f>FIXED(VLOOKUP($A61,'Small Sample 2-Townhouse'!$A:$R,AB$1,0),2)</f>
        <v>1.32</v>
      </c>
      <c r="AC61" s="3" t="str">
        <f>FIXED(VLOOKUP($A61,'Small Sample 2-Townhouse'!$A:$R,AC$1,0),2)</f>
        <v>0.07</v>
      </c>
      <c r="AD61" s="3" t="str">
        <f>FIXED(VLOOKUP($A61,'Small Sample 2-Townhouse'!$A:$R,AD$1,0),2)</f>
        <v>7.28</v>
      </c>
      <c r="AE61" s="9" t="str">
        <f>FIXED(VLOOKUP($A61,'Small Sample 2-Townhouse'!$A:$R,AE$1,0),2)</f>
        <v>1.84</v>
      </c>
      <c r="AF61" s="3" t="str">
        <f>FIXED(VLOOKUP($A61,'Small Sample 2-Townhouse'!$A:$R,AF$1,0),2)</f>
        <v>1.21</v>
      </c>
      <c r="AG61" s="3" t="str">
        <f>FIXED(VLOOKUP($A61,'Small Sample 2-Townhouse'!$A:$R,AG$1,0),2)</f>
        <v>0.03</v>
      </c>
      <c r="AH61" s="13" t="str">
        <f>FIXED(VLOOKUP($A61,'Small Sample 2-Townhouse'!$A:$R,AH$1,0),2)</f>
        <v>6.80</v>
      </c>
      <c r="AI61" s="9" t="str">
        <f>FIXED(VLOOKUP($A61,'Small Sample 2-Townhouse'!$A:$R,AI$1,0),2)</f>
        <v>1.93</v>
      </c>
      <c r="AJ61" s="3" t="str">
        <f>FIXED(VLOOKUP($A61,'Small Sample 2-Townhouse'!$A:$R,AJ$1,0),2)</f>
        <v>1.30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175</v>
      </c>
      <c r="B62" t="s">
        <v>182</v>
      </c>
      <c r="C62" s="9" t="str">
        <f>FIXED(VLOOKUP($A62,'Full Sample-Townhouse'!$A:$R,C$1,0),2)</f>
        <v>1.85</v>
      </c>
      <c r="D62" s="3" t="str">
        <f>FIXED(VLOOKUP($A62,'Full Sample-Townhouse'!$A:$R,D$1,0),2)</f>
        <v>1.22</v>
      </c>
      <c r="E62" s="3" t="str">
        <f>FIXED(VLOOKUP($A62,'Full Sample-Townhouse'!$A:$R,E$1,0),2)</f>
        <v>0.03</v>
      </c>
      <c r="F62" s="3" t="str">
        <f>FIXED(VLOOKUP($A62,'Full Sample-Townhouse'!$A:$R,F$1,0),2)</f>
        <v>6.80</v>
      </c>
      <c r="G62" s="9" t="str">
        <f>FIXED(VLOOKUP($A62,'Full Sample-Townhouse'!$A:$R,G$1,0),2)</f>
        <v>1.86</v>
      </c>
      <c r="H62" s="3" t="str">
        <f>FIXED(VLOOKUP($A62,'Full Sample-Townhouse'!$A:$R,H$1,0),2)</f>
        <v>1.22</v>
      </c>
      <c r="I62" s="3" t="str">
        <f>FIXED(VLOOKUP($A62,'Full Sample-Townhouse'!$A:$R,I$1,0),2)</f>
        <v>0.03</v>
      </c>
      <c r="J62" s="13" t="str">
        <f>FIXED(VLOOKUP($A62,'Full Sample-Townhouse'!$A:$R,J$1,0),2)</f>
        <v>6.80</v>
      </c>
      <c r="K62" s="9" t="str">
        <f>FIXED(VLOOKUP($A62,'Full Sample-Townhouse'!$A:$R,K$1,0),2)</f>
        <v>1.83</v>
      </c>
      <c r="L62" s="3" t="str">
        <f>FIXED(VLOOKUP($A62,'Full Sample-Townhouse'!$A:$R,L$1,0),2)</f>
        <v>1.21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1-Townhouse'!$A:$R,O$1,0),2)</f>
        <v>1.81</v>
      </c>
      <c r="P62" s="3" t="str">
        <f>FIXED(VLOOKUP($A62,'Small Sample 1-Townhouse'!$A:$R,P$1,0),2)</f>
        <v>1.20</v>
      </c>
      <c r="Q62" s="3" t="str">
        <f>FIXED(VLOOKUP($A62,'Small Sample 1-Townhouse'!$A:$R,Q$1,0),2)</f>
        <v>0.03</v>
      </c>
      <c r="R62" s="3" t="str">
        <f>FIXED(VLOOKUP($A62,'Small Sample 1-Townhouse'!$A:$R,R$1,0),2)</f>
        <v>6.80</v>
      </c>
      <c r="S62" s="9" t="str">
        <f>FIXED(VLOOKUP($A62,'Small Sample 1-Townhouse'!$A:$R,S$1,0),2)</f>
        <v>0.28</v>
      </c>
      <c r="T62" s="3" t="str">
        <f>FIXED(VLOOKUP($A62,'Small Sample 1-Townhouse'!$A:$R,T$1,0),2)</f>
        <v>0.17</v>
      </c>
      <c r="U62" s="3" t="str">
        <f>FIXED(VLOOKUP($A62,'Small Sample 1-Townhouse'!$A:$R,U$1,0),2)</f>
        <v>0.00</v>
      </c>
      <c r="V62" s="13" t="str">
        <f>FIXED(VLOOKUP($A62,'Small Sample 1-Townhouse'!$A:$R,V$1,0),2)</f>
        <v>1.00</v>
      </c>
      <c r="W62" s="9" t="str">
        <f>FIXED(VLOOKUP($A62,'Small Sample 1-Townhouse'!$A:$R,W$1,0),2)</f>
        <v>1.82</v>
      </c>
      <c r="X62" s="3" t="str">
        <f>FIXED(VLOOKUP($A62,'Small Sample 1-Townhouse'!$A:$R,X$1,0),2)</f>
        <v>1.21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2-Townhouse'!$A:$R,AA$1,0),2)</f>
        <v>1.81</v>
      </c>
      <c r="AB62" s="3" t="str">
        <f>FIXED(VLOOKUP($A62,'Small Sample 2-Townhouse'!$A:$R,AB$1,0),2)</f>
        <v>1.20</v>
      </c>
      <c r="AC62" s="3" t="str">
        <f>FIXED(VLOOKUP($A62,'Small Sample 2-Townhouse'!$A:$R,AC$1,0),2)</f>
        <v>0.03</v>
      </c>
      <c r="AD62" s="3" t="str">
        <f>FIXED(VLOOKUP($A62,'Small Sample 2-Townhouse'!$A:$R,AD$1,0),2)</f>
        <v>6.80</v>
      </c>
      <c r="AE62" s="9" t="str">
        <f>FIXED(VLOOKUP($A62,'Small Sample 2-Townhouse'!$A:$R,AE$1,0),2)</f>
        <v>0.28</v>
      </c>
      <c r="AF62" s="3" t="str">
        <f>FIXED(VLOOKUP($A62,'Small Sample 2-Townhouse'!$A:$R,AF$1,0),2)</f>
        <v>0.17</v>
      </c>
      <c r="AG62" s="3" t="str">
        <f>FIXED(VLOOKUP($A62,'Small Sample 2-Townhouse'!$A:$R,AG$1,0),2)</f>
        <v>0.00</v>
      </c>
      <c r="AH62" s="13" t="str">
        <f>FIXED(VLOOKUP($A62,'Small Sample 2-Townhouse'!$A:$R,AH$1,0),2)</f>
        <v>1.00</v>
      </c>
      <c r="AI62" s="9" t="str">
        <f>FIXED(VLOOKUP($A62,'Small Sample 2-Townhouse'!$A:$R,AI$1,0),2)</f>
        <v>1.75</v>
      </c>
      <c r="AJ62" s="3" t="str">
        <f>FIXED(VLOOKUP($A62,'Small Sample 2-Townhouse'!$A:$R,AJ$1,0),2)</f>
        <v>1.18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53</v>
      </c>
      <c r="B63" t="s">
        <v>183</v>
      </c>
      <c r="C63" s="9" t="str">
        <f>FIXED(VLOOKUP($A63,'Full Sample-Townhouse'!$A:$R,C$1,0),2)</f>
        <v>2,359,771.00</v>
      </c>
      <c r="D63" s="3" t="str">
        <f>FIXED(VLOOKUP($A63,'Full Sample-Townhouse'!$A:$R,D$1,0),2)</f>
        <v>6,929.86</v>
      </c>
      <c r="E63" s="3" t="str">
        <f>FIXED(VLOOKUP($A63,'Full Sample-Townhouse'!$A:$R,E$1,0),2)</f>
        <v>2,351,041.00</v>
      </c>
      <c r="F63" s="3" t="str">
        <f>FIXED(VLOOKUP($A63,'Full Sample-Townhouse'!$A:$R,F$1,0),2)</f>
        <v>2,400,056.00</v>
      </c>
      <c r="G63" s="9" t="str">
        <f>FIXED(VLOOKUP($A63,'Full Sample-Townhouse'!$A:$R,G$1,0),2)</f>
        <v>2,359,851.00</v>
      </c>
      <c r="H63" s="3" t="str">
        <f>FIXED(VLOOKUP($A63,'Full Sample-Townhouse'!$A:$R,H$1,0),2)</f>
        <v>6,988.94</v>
      </c>
      <c r="I63" s="3" t="str">
        <f>FIXED(VLOOKUP($A63,'Full Sample-Townhouse'!$A:$R,I$1,0),2)</f>
        <v>2,351,041.00</v>
      </c>
      <c r="J63" s="13" t="str">
        <f>FIXED(VLOOKUP($A63,'Full Sample-Townhouse'!$A:$R,J$1,0),2)</f>
        <v>2,400,056.00</v>
      </c>
      <c r="K63" s="9" t="str">
        <f>FIXED(VLOOKUP($A63,'Full Sample-Townhouse'!$A:$R,K$1,0),2)</f>
        <v>2,359,663.00</v>
      </c>
      <c r="L63" s="3" t="str">
        <f>FIXED(VLOOKUP($A63,'Full Sample-Townhouse'!$A:$R,L$1,0),2)</f>
        <v>6,847.80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1-Townhouse'!$A:$R,O$1,0),2)</f>
        <v>2,359,578.00</v>
      </c>
      <c r="P63" s="3" t="str">
        <f>FIXED(VLOOKUP($A63,'Small Sample 1-Townhouse'!$A:$R,P$1,0),2)</f>
        <v>6,889.68</v>
      </c>
      <c r="Q63" s="3" t="str">
        <f>FIXED(VLOOKUP($A63,'Small Sample 1-Townhouse'!$A:$R,Q$1,0),2)</f>
        <v>2,351,041.00</v>
      </c>
      <c r="R63" s="3" t="str">
        <f>FIXED(VLOOKUP($A63,'Small Sample 1-Townhouse'!$A:$R,R$1,0),2)</f>
        <v>2,400,056.00</v>
      </c>
      <c r="S63" s="9" t="str">
        <f>FIXED(VLOOKUP($A63,'Small Sample 1-Townhouse'!$A:$R,S$1,0),2)</f>
        <v>614,962.10</v>
      </c>
      <c r="T63" s="3" t="str">
        <f>FIXED(VLOOKUP($A63,'Small Sample 1-Townhouse'!$A:$R,T$1,0),2)</f>
        <v>11,099.77</v>
      </c>
      <c r="U63" s="3" t="str">
        <f>FIXED(VLOOKUP($A63,'Small Sample 1-Townhouse'!$A:$R,U$1,0),2)</f>
        <v>580,446.10</v>
      </c>
      <c r="V63" s="13" t="str">
        <f>FIXED(VLOOKUP($A63,'Small Sample 1-Townhouse'!$A:$R,V$1,0),2)</f>
        <v>637,819.70</v>
      </c>
      <c r="W63" s="9" t="str">
        <f>FIXED(VLOOKUP($A63,'Small Sample 1-Townhouse'!$A:$R,W$1,0),2)</f>
        <v>2,359,640.00</v>
      </c>
      <c r="X63" s="3" t="str">
        <f>FIXED(VLOOKUP($A63,'Small Sample 1-Townhouse'!$A:$R,X$1,0),2)</f>
        <v>6,856.46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2-Townhouse'!$A:$R,AA$1,0),2)</f>
        <v>2,359,578.00</v>
      </c>
      <c r="AB63" s="3" t="str">
        <f>FIXED(VLOOKUP($A63,'Small Sample 2-Townhouse'!$A:$R,AB$1,0),2)</f>
        <v>6,889.68</v>
      </c>
      <c r="AC63" s="3" t="str">
        <f>FIXED(VLOOKUP($A63,'Small Sample 2-Townhouse'!$A:$R,AC$1,0),2)</f>
        <v>2,351,041.00</v>
      </c>
      <c r="AD63" s="3" t="str">
        <f>FIXED(VLOOKUP($A63,'Small Sample 2-Townhouse'!$A:$R,AD$1,0),2)</f>
        <v>2,400,056.00</v>
      </c>
      <c r="AE63" s="9" t="str">
        <f>FIXED(VLOOKUP($A63,'Small Sample 2-Townhouse'!$A:$R,AE$1,0),2)</f>
        <v>614,345.90</v>
      </c>
      <c r="AF63" s="3" t="str">
        <f>FIXED(VLOOKUP($A63,'Small Sample 2-Townhouse'!$A:$R,AF$1,0),2)</f>
        <v>11,436.43</v>
      </c>
      <c r="AG63" s="3" t="str">
        <f>FIXED(VLOOKUP($A63,'Small Sample 2-Townhouse'!$A:$R,AG$1,0),2)</f>
        <v>580,446.10</v>
      </c>
      <c r="AH63" s="13" t="str">
        <f>FIXED(VLOOKUP($A63,'Small Sample 2-Townhouse'!$A:$R,AH$1,0),2)</f>
        <v>637,819.70</v>
      </c>
      <c r="AI63" s="9" t="str">
        <f>FIXED(VLOOKUP($A63,'Small Sample 2-Townhouse'!$A:$R,AI$1,0),2)</f>
        <v>2,359,246.00</v>
      </c>
      <c r="AJ63" s="3" t="str">
        <f>FIXED(VLOOKUP($A63,'Small Sample 2-Townhouse'!$A:$R,AJ$1,0),2)</f>
        <v>6,723.28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54</v>
      </c>
      <c r="B64" t="s">
        <v>184</v>
      </c>
      <c r="C64" s="9" t="str">
        <f>FIXED(VLOOKUP($A64,'Full Sample-Townhouse'!$A:$R,C$1,0),2)</f>
        <v>614,141.90</v>
      </c>
      <c r="D64" s="3" t="str">
        <f>FIXED(VLOOKUP($A64,'Full Sample-Townhouse'!$A:$R,D$1,0),2)</f>
        <v>11,656.90</v>
      </c>
      <c r="E64" s="3" t="str">
        <f>FIXED(VLOOKUP($A64,'Full Sample-Townhouse'!$A:$R,E$1,0),2)</f>
        <v>580,446.10</v>
      </c>
      <c r="F64" s="3" t="str">
        <f>FIXED(VLOOKUP($A64,'Full Sample-Townhouse'!$A:$R,F$1,0),2)</f>
        <v>637,819.70</v>
      </c>
      <c r="G64" s="9" t="str">
        <f>FIXED(VLOOKUP($A64,'Full Sample-Townhouse'!$A:$R,G$1,0),2)</f>
        <v>614,083.20</v>
      </c>
      <c r="H64" s="3" t="str">
        <f>FIXED(VLOOKUP($A64,'Full Sample-Townhouse'!$A:$R,H$1,0),2)</f>
        <v>11,551.72</v>
      </c>
      <c r="I64" s="3" t="str">
        <f>FIXED(VLOOKUP($A64,'Full Sample-Townhouse'!$A:$R,I$1,0),2)</f>
        <v>580,446.10</v>
      </c>
      <c r="J64" s="13" t="str">
        <f>FIXED(VLOOKUP($A64,'Full Sample-Townhouse'!$A:$R,J$1,0),2)</f>
        <v>637,819.70</v>
      </c>
      <c r="K64" s="9" t="str">
        <f>FIXED(VLOOKUP($A64,'Full Sample-Townhouse'!$A:$R,K$1,0),2)</f>
        <v>614,221.40</v>
      </c>
      <c r="L64" s="3" t="str">
        <f>FIXED(VLOOKUP($A64,'Full Sample-Townhouse'!$A:$R,L$1,0),2)</f>
        <v>11,797.98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1-Townhouse'!$A:$R,O$1,0),2)</f>
        <v>614,645.90</v>
      </c>
      <c r="P64" s="3" t="str">
        <f>FIXED(VLOOKUP($A64,'Small Sample 1-Townhouse'!$A:$R,P$1,0),2)</f>
        <v>11,418.35</v>
      </c>
      <c r="Q64" s="3" t="str">
        <f>FIXED(VLOOKUP($A64,'Small Sample 1-Townhouse'!$A:$R,Q$1,0),2)</f>
        <v>580,446.10</v>
      </c>
      <c r="R64" s="3" t="str">
        <f>FIXED(VLOOKUP($A64,'Small Sample 1-Townhouse'!$A:$R,R$1,0),2)</f>
        <v>637,819.70</v>
      </c>
      <c r="S64" s="9" t="str">
        <f>FIXED(VLOOKUP($A64,'Small Sample 1-Townhouse'!$A:$R,S$1,0),2)</f>
        <v>1.00</v>
      </c>
      <c r="T64" s="3" t="str">
        <f>FIXED(VLOOKUP($A64,'Small Sample 1-Townhouse'!$A:$R,T$1,0),2)</f>
        <v>0.00</v>
      </c>
      <c r="U64" s="3" t="str">
        <f>FIXED(VLOOKUP($A64,'Small Sample 1-Townhouse'!$A:$R,U$1,0),2)</f>
        <v>1.00</v>
      </c>
      <c r="V64" s="13" t="str">
        <f>FIXED(VLOOKUP($A64,'Small Sample 1-Townhouse'!$A:$R,V$1,0),2)</f>
        <v>1.00</v>
      </c>
      <c r="W64" s="9" t="str">
        <f>FIXED(VLOOKUP($A64,'Small Sample 1-Townhouse'!$A:$R,W$1,0),2)</f>
        <v>614,306.80</v>
      </c>
      <c r="X64" s="3" t="str">
        <f>FIXED(VLOOKUP($A64,'Small Sample 1-Townhouse'!$A:$R,X$1,0),2)</f>
        <v>11,741.53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2-Townhouse'!$A:$R,AA$1,0),2)</f>
        <v>614,645.90</v>
      </c>
      <c r="AB64" s="3" t="str">
        <f>FIXED(VLOOKUP($A64,'Small Sample 2-Townhouse'!$A:$R,AB$1,0),2)</f>
        <v>11,418.35</v>
      </c>
      <c r="AC64" s="3" t="str">
        <f>FIXED(VLOOKUP($A64,'Small Sample 2-Townhouse'!$A:$R,AC$1,0),2)</f>
        <v>580,446.10</v>
      </c>
      <c r="AD64" s="3" t="str">
        <f>FIXED(VLOOKUP($A64,'Small Sample 2-Townhouse'!$A:$R,AD$1,0),2)</f>
        <v>637,819.70</v>
      </c>
      <c r="AE64" s="9" t="str">
        <f>FIXED(VLOOKUP($A64,'Small Sample 2-Townhouse'!$A:$R,AE$1,0),2)</f>
        <v>1.00</v>
      </c>
      <c r="AF64" s="3" t="str">
        <f>FIXED(VLOOKUP($A64,'Small Sample 2-Townhouse'!$A:$R,AF$1,0),2)</f>
        <v>0.00</v>
      </c>
      <c r="AG64" s="3" t="str">
        <f>FIXED(VLOOKUP($A64,'Small Sample 2-Townhouse'!$A:$R,AG$1,0),2)</f>
        <v>1.00</v>
      </c>
      <c r="AH64" s="13" t="str">
        <f>FIXED(VLOOKUP($A64,'Small Sample 2-Townhouse'!$A:$R,AH$1,0),2)</f>
        <v>1.00</v>
      </c>
      <c r="AI64" s="9" t="str">
        <f>FIXED(VLOOKUP($A64,'Small Sample 2-Townhouse'!$A:$R,AI$1,0),2)</f>
        <v>615,154.60</v>
      </c>
      <c r="AJ64" s="3" t="str">
        <f>FIXED(VLOOKUP($A64,'Small Sample 2-Townhouse'!$A:$R,AJ$1,0),2)</f>
        <v>11,370.22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Sample-Townhouse'!$A:$R,C$1,0),2)</f>
        <v>0.20</v>
      </c>
      <c r="D65" s="3" t="str">
        <f>FIXED(VLOOKUP($A65,'Full Sample-Townhouse'!$A:$R,D$1,0),2)</f>
        <v>0.40</v>
      </c>
      <c r="E65" s="3" t="str">
        <f>FIXED(VLOOKUP($A65,'Full Sample-Townhouse'!$A:$R,E$1,0),2)</f>
        <v>0.00</v>
      </c>
      <c r="F65" s="3" t="str">
        <f>FIXED(VLOOKUP($A65,'Full Sample-Townhouse'!$A:$R,F$1,0),2)</f>
        <v>1.00</v>
      </c>
      <c r="G65" s="9" t="str">
        <f>FIXED(VLOOKUP($A65,'Full Sample-Townhouse'!$A:$R,G$1,0),2)</f>
        <v>0.20</v>
      </c>
      <c r="H65" s="3" t="str">
        <f>FIXED(VLOOKUP($A65,'Full Sample-Townhouse'!$A:$R,H$1,0),2)</f>
        <v>0.40</v>
      </c>
      <c r="I65" s="3" t="str">
        <f>FIXED(VLOOKUP($A65,'Full Sample-Townhouse'!$A:$R,I$1,0),2)</f>
        <v>0.00</v>
      </c>
      <c r="J65" s="13" t="str">
        <f>FIXED(VLOOKUP($A65,'Full Sample-Townhouse'!$A:$R,J$1,0),2)</f>
        <v>1.00</v>
      </c>
      <c r="K65" s="9" t="str">
        <f>FIXED(VLOOKUP($A65,'Full Sample-Townhouse'!$A:$R,K$1,0),2)</f>
        <v>0.20</v>
      </c>
      <c r="L65" s="3" t="str">
        <f>FIXED(VLOOKUP($A65,'Full Sample-Townhouse'!$A:$R,L$1,0),2)</f>
        <v>0.40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1-Townhouse'!$A:$R,O$1,0),2)</f>
        <v>0.21</v>
      </c>
      <c r="P65" s="3" t="str">
        <f>FIXED(VLOOKUP($A65,'Small Sample 1-Townhouse'!$A:$R,P$1,0),2)</f>
        <v>0.40</v>
      </c>
      <c r="Q65" s="3" t="str">
        <f>FIXED(VLOOKUP($A65,'Small Sample 1-Townhouse'!$A:$R,Q$1,0),2)</f>
        <v>0.00</v>
      </c>
      <c r="R65" s="3" t="str">
        <f>FIXED(VLOOKUP($A65,'Small Sample 1-Townhouse'!$A:$R,R$1,0),2)</f>
        <v>1.00</v>
      </c>
      <c r="S65" s="9" t="str">
        <f>FIXED(VLOOKUP($A65,'Small Sample 1-Townhouse'!$A:$R,S$1,0),2)</f>
        <v>0.01</v>
      </c>
      <c r="T65" s="3" t="str">
        <f>FIXED(VLOOKUP($A65,'Small Sample 1-Townhouse'!$A:$R,T$1,0),2)</f>
        <v>0.10</v>
      </c>
      <c r="U65" s="3" t="str">
        <f>FIXED(VLOOKUP($A65,'Small Sample 1-Townhouse'!$A:$R,U$1,0),2)</f>
        <v>0.00</v>
      </c>
      <c r="V65" s="13" t="str">
        <f>FIXED(VLOOKUP($A65,'Small Sample 1-Townhouse'!$A:$R,V$1,0),2)</f>
        <v>1.00</v>
      </c>
      <c r="W65" s="9" t="str">
        <f>FIXED(VLOOKUP($A65,'Small Sample 1-Townhouse'!$A:$R,W$1,0),2)</f>
        <v>0.20</v>
      </c>
      <c r="X65" s="3" t="str">
        <f>FIXED(VLOOKUP($A65,'Small Sample 1-Townhouse'!$A:$R,X$1,0),2)</f>
        <v>0.40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2-Townhouse'!$A:$R,AA$1,0),2)</f>
        <v>0.21</v>
      </c>
      <c r="AB65" s="3" t="str">
        <f>FIXED(VLOOKUP($A65,'Small Sample 2-Townhouse'!$A:$R,AB$1,0),2)</f>
        <v>0.40</v>
      </c>
      <c r="AC65" s="3" t="str">
        <f>FIXED(VLOOKUP($A65,'Small Sample 2-Townhouse'!$A:$R,AC$1,0),2)</f>
        <v>0.00</v>
      </c>
      <c r="AD65" s="3" t="str">
        <f>FIXED(VLOOKUP($A65,'Small Sample 2-Townhouse'!$A:$R,AD$1,0),2)</f>
        <v>1.00</v>
      </c>
      <c r="AE65" s="9" t="str">
        <f>FIXED(VLOOKUP($A65,'Small Sample 2-Townhouse'!$A:$R,AE$1,0),2)</f>
        <v>0.01</v>
      </c>
      <c r="AF65" s="3" t="str">
        <f>FIXED(VLOOKUP($A65,'Small Sample 2-Townhouse'!$A:$R,AF$1,0),2)</f>
        <v>0.10</v>
      </c>
      <c r="AG65" s="3" t="str">
        <f>FIXED(VLOOKUP($A65,'Small Sample 2-Townhouse'!$A:$R,AG$1,0),2)</f>
        <v>0.00</v>
      </c>
      <c r="AH65" s="13" t="str">
        <f>FIXED(VLOOKUP($A65,'Small Sample 2-Townhouse'!$A:$R,AH$1,0),2)</f>
        <v>1.00</v>
      </c>
      <c r="AI65" s="9" t="str">
        <f>FIXED(VLOOKUP($A65,'Small Sample 2-Townhouse'!$A:$R,AI$1,0),2)</f>
        <v>0.21</v>
      </c>
      <c r="AJ65" s="3" t="str">
        <f>FIXED(VLOOKUP($A65,'Small Sample 2-Townhouse'!$A:$R,AJ$1,0),2)</f>
        <v>0.40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9" t="str">
        <f>FIXED(VLOOKUP($A66,'Full Sample-Townhouse'!$A:$R,C$1,0),2)</f>
        <v>0.01</v>
      </c>
      <c r="D66" s="3" t="str">
        <f>FIXED(VLOOKUP($A66,'Full Sample-Townhouse'!$A:$R,D$1,0),2)</f>
        <v>0.10</v>
      </c>
      <c r="E66" s="3" t="str">
        <f>FIXED(VLOOKUP($A66,'Full Sample-Townhouse'!$A:$R,E$1,0),2)</f>
        <v>0.00</v>
      </c>
      <c r="F66" s="3" t="str">
        <f>FIXED(VLOOKUP($A66,'Full Sample-Townhouse'!$A:$R,F$1,0),2)</f>
        <v>1.00</v>
      </c>
      <c r="G66" s="9" t="str">
        <f>FIXED(VLOOKUP($A66,'Full Sample-Townhouse'!$A:$R,G$1,0),2)</f>
        <v>0.01</v>
      </c>
      <c r="H66" s="3" t="str">
        <f>FIXED(VLOOKUP($A66,'Full Sample-Townhouse'!$A:$R,H$1,0),2)</f>
        <v>0.10</v>
      </c>
      <c r="I66" s="3" t="str">
        <f>FIXED(VLOOKUP($A66,'Full Sample-Townhouse'!$A:$R,I$1,0),2)</f>
        <v>0.00</v>
      </c>
      <c r="J66" s="13" t="str">
        <f>FIXED(VLOOKUP($A66,'Full Sample-Townhouse'!$A:$R,J$1,0),2)</f>
        <v>1.00</v>
      </c>
      <c r="K66" s="9" t="str">
        <f>FIXED(VLOOKUP($A66,'Full Sample-Townhouse'!$A:$R,K$1,0),2)</f>
        <v>0.01</v>
      </c>
      <c r="L66" s="3" t="str">
        <f>FIXED(VLOOKUP($A66,'Full Sample-Townhouse'!$A:$R,L$1,0),2)</f>
        <v>0.11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FIXED(VLOOKUP($A66,'Small Sample 1-Townhouse'!$A:$R,O$1,0),2)</f>
        <v>0.01</v>
      </c>
      <c r="P66" s="3" t="str">
        <f>FIXED(VLOOKUP($A66,'Small Sample 1-Townhouse'!$A:$R,P$1,0),2)</f>
        <v>0.11</v>
      </c>
      <c r="Q66" s="3" t="str">
        <f>FIXED(VLOOKUP($A66,'Small Sample 1-Townhouse'!$A:$R,Q$1,0),2)</f>
        <v>0.00</v>
      </c>
      <c r="R66" s="3" t="str">
        <f>FIXED(VLOOKUP($A66,'Small Sample 1-Townhouse'!$A:$R,R$1,0),2)</f>
        <v>1.00</v>
      </c>
      <c r="S66" s="9" t="str">
        <f>FIXED(VLOOKUP($A66,'Small Sample 1-Townhouse'!$A:$R,S$1,0),2)</f>
        <v>0.00</v>
      </c>
      <c r="T66" s="3" t="str">
        <f>FIXED(VLOOKUP($A66,'Small Sample 1-Townhouse'!$A:$R,T$1,0),2)</f>
        <v>0.03</v>
      </c>
      <c r="U66" s="3" t="str">
        <f>FIXED(VLOOKUP($A66,'Small Sample 1-Townhouse'!$A:$R,U$1,0),2)</f>
        <v>0.00</v>
      </c>
      <c r="V66" s="13" t="str">
        <f>FIXED(VLOOKUP($A66,'Small Sample 1-Townhouse'!$A:$R,V$1,0),2)</f>
        <v>1.00</v>
      </c>
      <c r="W66" s="9" t="str">
        <f>FIXED(VLOOKUP($A66,'Small Sample 1-Townhouse'!$A:$R,W$1,0),2)</f>
        <v>0.01</v>
      </c>
      <c r="X66" s="3" t="str">
        <f>FIXED(VLOOKUP($A66,'Small Sample 1-Townhouse'!$A:$R,X$1,0),2)</f>
        <v>0.11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9" t="str">
        <f>FIXED(VLOOKUP($A66,'Small Sample 2-Townhouse'!$A:$R,AA$1,0),2)</f>
        <v>0.01</v>
      </c>
      <c r="AB66" s="3" t="str">
        <f>FIXED(VLOOKUP($A66,'Small Sample 2-Townhouse'!$A:$R,AB$1,0),2)</f>
        <v>0.11</v>
      </c>
      <c r="AC66" s="3" t="str">
        <f>FIXED(VLOOKUP($A66,'Small Sample 2-Townhouse'!$A:$R,AC$1,0),2)</f>
        <v>0.00</v>
      </c>
      <c r="AD66" s="3" t="str">
        <f>FIXED(VLOOKUP($A66,'Small Sample 2-Townhouse'!$A:$R,AD$1,0),2)</f>
        <v>1.00</v>
      </c>
      <c r="AE66" s="9" t="str">
        <f>FIXED(VLOOKUP($A66,'Small Sample 2-Townhouse'!$A:$R,AE$1,0),2)</f>
        <v>0.00</v>
      </c>
      <c r="AF66" s="3" t="str">
        <f>FIXED(VLOOKUP($A66,'Small Sample 2-Townhouse'!$A:$R,AF$1,0),2)</f>
        <v>0.03</v>
      </c>
      <c r="AG66" s="3" t="str">
        <f>FIXED(VLOOKUP($A66,'Small Sample 2-Townhouse'!$A:$R,AG$1,0),2)</f>
        <v>0.00</v>
      </c>
      <c r="AH66" s="13" t="str">
        <f>FIXED(VLOOKUP($A66,'Small Sample 2-Townhouse'!$A:$R,AH$1,0),2)</f>
        <v>1.00</v>
      </c>
      <c r="AI66" s="9" t="str">
        <f>FIXED(VLOOKUP($A66,'Small Sample 2-Townhouse'!$A:$R,AI$1,0),2)</f>
        <v>0.01</v>
      </c>
      <c r="AJ66" s="3" t="str">
        <f>FIXED(VLOOKUP($A66,'Small Sample 2-Townhouse'!$A:$R,AJ$1,0),2)</f>
        <v>0.12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9" t="str">
        <f>FIXED(VLOOKUP($A67,'Full Sample-Townhouse'!$A:$R,C$1,0),2)</f>
        <v>0.00</v>
      </c>
      <c r="D67" s="3" t="str">
        <f>FIXED(VLOOKUP($A67,'Full Sample-Townhouse'!$A:$R,D$1,0),2)</f>
        <v>0.02</v>
      </c>
      <c r="E67" s="3" t="str">
        <f>FIXED(VLOOKUP($A67,'Full Sample-Townhouse'!$A:$R,E$1,0),2)</f>
        <v>0.00</v>
      </c>
      <c r="F67" s="3" t="str">
        <f>FIXED(VLOOKUP($A67,'Full Sample-Townhouse'!$A:$R,F$1,0),2)</f>
        <v>1.00</v>
      </c>
      <c r="G67" s="9" t="str">
        <f>FIXED(VLOOKUP($A67,'Full Sample-Townhouse'!$A:$R,G$1,0),2)</f>
        <v>0.00</v>
      </c>
      <c r="H67" s="3" t="str">
        <f>FIXED(VLOOKUP($A67,'Full Sample-Townhouse'!$A:$R,H$1,0),2)</f>
        <v>0.03</v>
      </c>
      <c r="I67" s="3" t="str">
        <f>FIXED(VLOOKUP($A67,'Full Sample-Townhouse'!$A:$R,I$1,0),2)</f>
        <v>0.00</v>
      </c>
      <c r="J67" s="13" t="str">
        <f>FIXED(VLOOKUP($A67,'Full Sample-Townhouse'!$A:$R,J$1,0),2)</f>
        <v>1.00</v>
      </c>
      <c r="K67" s="9" t="str">
        <f>FIXED(VLOOKUP($A67,'Full Sample-Townhouse'!$A:$R,K$1,0),2)</f>
        <v>0.00</v>
      </c>
      <c r="L67" s="3" t="str">
        <f>FIXED(VLOOKUP($A67,'Full Sample-Townhouse'!$A:$R,L$1,0),2)</f>
        <v>0.02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FIXED(VLOOKUP($A67,'Small Sample 1-Townhouse'!$A:$R,O$1,0),2)</f>
        <v>0.00</v>
      </c>
      <c r="P67" s="3" t="str">
        <f>FIXED(VLOOKUP($A67,'Small Sample 1-Townhouse'!$A:$R,P$1,0),2)</f>
        <v>0.02</v>
      </c>
      <c r="Q67" s="3" t="str">
        <f>FIXED(VLOOKUP($A67,'Small Sample 1-Townhouse'!$A:$R,Q$1,0),2)</f>
        <v>0.00</v>
      </c>
      <c r="R67" s="3" t="str">
        <f>FIXED(VLOOKUP($A67,'Small Sample 1-Townhouse'!$A:$R,R$1,0),2)</f>
        <v>1.00</v>
      </c>
      <c r="S67" s="9" t="str">
        <f>FIXED(VLOOKUP($A67,'Small Sample 1-Townhouse'!$A:$R,S$1,0),2)</f>
        <v>0.08</v>
      </c>
      <c r="T67" s="3" t="str">
        <f>FIXED(VLOOKUP($A67,'Small Sample 1-Townhouse'!$A:$R,T$1,0),2)</f>
        <v>0.27</v>
      </c>
      <c r="U67" s="3" t="str">
        <f>FIXED(VLOOKUP($A67,'Small Sample 1-Townhouse'!$A:$R,U$1,0),2)</f>
        <v>0.00</v>
      </c>
      <c r="V67" s="13" t="str">
        <f>FIXED(VLOOKUP($A67,'Small Sample 1-Townhouse'!$A:$R,V$1,0),2)</f>
        <v>1.00</v>
      </c>
      <c r="W67" s="9" t="str">
        <f>FIXED(VLOOKUP($A67,'Small Sample 1-Townhouse'!$A:$R,W$1,0),2)</f>
        <v>0.00</v>
      </c>
      <c r="X67" s="3" t="str">
        <f>FIXED(VLOOKUP($A67,'Small Sample 1-Townhouse'!$A:$R,X$1,0),2)</f>
        <v>0.02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9" t="str">
        <f>FIXED(VLOOKUP($A67,'Small Sample 2-Townhouse'!$A:$R,AA$1,0),2)</f>
        <v>0.00</v>
      </c>
      <c r="AB67" s="3" t="str">
        <f>FIXED(VLOOKUP($A67,'Small Sample 2-Townhouse'!$A:$R,AB$1,0),2)</f>
        <v>0.02</v>
      </c>
      <c r="AC67" s="3" t="str">
        <f>FIXED(VLOOKUP($A67,'Small Sample 2-Townhouse'!$A:$R,AC$1,0),2)</f>
        <v>0.00</v>
      </c>
      <c r="AD67" s="3" t="str">
        <f>FIXED(VLOOKUP($A67,'Small Sample 2-Townhouse'!$A:$R,AD$1,0),2)</f>
        <v>1.00</v>
      </c>
      <c r="AE67" s="9" t="str">
        <f>FIXED(VLOOKUP($A67,'Small Sample 2-Townhouse'!$A:$R,AE$1,0),2)</f>
        <v>0.08</v>
      </c>
      <c r="AF67" s="3" t="str">
        <f>FIXED(VLOOKUP($A67,'Small Sample 2-Townhouse'!$A:$R,AF$1,0),2)</f>
        <v>0.26</v>
      </c>
      <c r="AG67" s="3" t="str">
        <f>FIXED(VLOOKUP($A67,'Small Sample 2-Townhouse'!$A:$R,AG$1,0),2)</f>
        <v>0.00</v>
      </c>
      <c r="AH67" s="13" t="str">
        <f>FIXED(VLOOKUP($A67,'Small Sample 2-Townhouse'!$A:$R,AH$1,0),2)</f>
        <v>1.00</v>
      </c>
      <c r="AI67" s="9" t="str">
        <f>FIXED(VLOOKUP($A67,'Small Sample 2-Townhouse'!$A:$R,AI$1,0),2)</f>
        <v>0.00</v>
      </c>
      <c r="AJ67" s="3" t="str">
        <f>FIXED(VLOOKUP($A67,'Small Sample 2-Townhouse'!$A:$R,AJ$1,0),2)</f>
        <v>0.02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9" t="str">
        <f>FIXED(VLOOKUP($A68,'Full Sample-Townhouse'!$A:$R,C$1,0),2)</f>
        <v>0.07</v>
      </c>
      <c r="D68" s="3" t="str">
        <f>FIXED(VLOOKUP($A68,'Full Sample-Townhouse'!$A:$R,D$1,0),2)</f>
        <v>0.26</v>
      </c>
      <c r="E68" s="3" t="str">
        <f>FIXED(VLOOKUP($A68,'Full Sample-Townhouse'!$A:$R,E$1,0),2)</f>
        <v>0.00</v>
      </c>
      <c r="F68" s="3" t="str">
        <f>FIXED(VLOOKUP($A68,'Full Sample-Townhouse'!$A:$R,F$1,0),2)</f>
        <v>1.00</v>
      </c>
      <c r="G68" s="9" t="str">
        <f>FIXED(VLOOKUP($A68,'Full Sample-Townhouse'!$A:$R,G$1,0),2)</f>
        <v>0.07</v>
      </c>
      <c r="H68" s="3" t="str">
        <f>FIXED(VLOOKUP($A68,'Full Sample-Townhouse'!$A:$R,H$1,0),2)</f>
        <v>0.26</v>
      </c>
      <c r="I68" s="3" t="str">
        <f>FIXED(VLOOKUP($A68,'Full Sample-Townhouse'!$A:$R,I$1,0),2)</f>
        <v>0.00</v>
      </c>
      <c r="J68" s="13" t="str">
        <f>FIXED(VLOOKUP($A68,'Full Sample-Townhouse'!$A:$R,J$1,0),2)</f>
        <v>1.00</v>
      </c>
      <c r="K68" s="9" t="str">
        <f>FIXED(VLOOKUP($A68,'Full Sample-Townhouse'!$A:$R,K$1,0),2)</f>
        <v>0.08</v>
      </c>
      <c r="L68" s="3" t="str">
        <f>FIXED(VLOOKUP($A68,'Full Sample-Townhouse'!$A:$R,L$1,0),2)</f>
        <v>0.26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9" t="str">
        <f>FIXED(VLOOKUP($A68,'Small Sample 1-Townhouse'!$A:$R,O$1,0),2)</f>
        <v>0.08</v>
      </c>
      <c r="P68" s="3" t="str">
        <f>FIXED(VLOOKUP($A68,'Small Sample 1-Townhouse'!$A:$R,P$1,0),2)</f>
        <v>0.27</v>
      </c>
      <c r="Q68" s="3" t="str">
        <f>FIXED(VLOOKUP($A68,'Small Sample 1-Townhouse'!$A:$R,Q$1,0),2)</f>
        <v>0.00</v>
      </c>
      <c r="R68" s="3" t="str">
        <f>FIXED(VLOOKUP($A68,'Small Sample 1-Townhouse'!$A:$R,R$1,0),2)</f>
        <v>1.00</v>
      </c>
      <c r="S68" s="9" t="str">
        <f>FIXED(VLOOKUP($A68,'Small Sample 1-Townhouse'!$A:$R,S$1,0),2)</f>
        <v>0.28</v>
      </c>
      <c r="T68" s="3" t="str">
        <f>FIXED(VLOOKUP($A68,'Small Sample 1-Townhouse'!$A:$R,T$1,0),2)</f>
        <v>0.45</v>
      </c>
      <c r="U68" s="3" t="str">
        <f>FIXED(VLOOKUP($A68,'Small Sample 1-Townhouse'!$A:$R,U$1,0),2)</f>
        <v>0.00</v>
      </c>
      <c r="V68" s="13" t="str">
        <f>FIXED(VLOOKUP($A68,'Small Sample 1-Townhouse'!$A:$R,V$1,0),2)</f>
        <v>1.00</v>
      </c>
      <c r="W68" s="9" t="str">
        <f>FIXED(VLOOKUP($A68,'Small Sample 1-Townhouse'!$A:$R,W$1,0),2)</f>
        <v>0.08</v>
      </c>
      <c r="X68" s="3" t="str">
        <f>FIXED(VLOOKUP($A68,'Small Sample 1-Townhouse'!$A:$R,X$1,0),2)</f>
        <v>0.26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9" t="str">
        <f>FIXED(VLOOKUP($A68,'Small Sample 2-Townhouse'!$A:$R,AA$1,0),2)</f>
        <v>0.08</v>
      </c>
      <c r="AB68" s="3" t="str">
        <f>FIXED(VLOOKUP($A68,'Small Sample 2-Townhouse'!$A:$R,AB$1,0),2)</f>
        <v>0.27</v>
      </c>
      <c r="AC68" s="3" t="str">
        <f>FIXED(VLOOKUP($A68,'Small Sample 2-Townhouse'!$A:$R,AC$1,0),2)</f>
        <v>0.00</v>
      </c>
      <c r="AD68" s="3" t="str">
        <f>FIXED(VLOOKUP($A68,'Small Sample 2-Townhouse'!$A:$R,AD$1,0),2)</f>
        <v>1.00</v>
      </c>
      <c r="AE68" s="9" t="str">
        <f>FIXED(VLOOKUP($A68,'Small Sample 2-Townhouse'!$A:$R,AE$1,0),2)</f>
        <v>0.30</v>
      </c>
      <c r="AF68" s="3" t="str">
        <f>FIXED(VLOOKUP($A68,'Small Sample 2-Townhouse'!$A:$R,AF$1,0),2)</f>
        <v>0.46</v>
      </c>
      <c r="AG68" s="3" t="str">
        <f>FIXED(VLOOKUP($A68,'Small Sample 2-Townhouse'!$A:$R,AG$1,0),2)</f>
        <v>0.00</v>
      </c>
      <c r="AH68" s="13" t="str">
        <f>FIXED(VLOOKUP($A68,'Small Sample 2-Townhouse'!$A:$R,AH$1,0),2)</f>
        <v>1.00</v>
      </c>
      <c r="AI68" s="9" t="str">
        <f>FIXED(VLOOKUP($A68,'Small Sample 2-Townhouse'!$A:$R,AI$1,0),2)</f>
        <v>0.08</v>
      </c>
      <c r="AJ68" s="3" t="str">
        <f>FIXED(VLOOKUP($A68,'Small Sample 2-Townhouse'!$A:$R,AJ$1,0),2)</f>
        <v>0.27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Sample-Townhouse'!$A:$R,C$1,0),2)</f>
        <v>0.31</v>
      </c>
      <c r="D69" s="3" t="str">
        <f>FIXED(VLOOKUP($A69,'Full Sample-Townhouse'!$A:$R,D$1,0),2)</f>
        <v>0.46</v>
      </c>
      <c r="E69" s="3" t="str">
        <f>FIXED(VLOOKUP($A69,'Full Sample-Townhouse'!$A:$R,E$1,0),2)</f>
        <v>0.00</v>
      </c>
      <c r="F69" s="3" t="str">
        <f>FIXED(VLOOKUP($A69,'Full Sample-Townhouse'!$A:$R,F$1,0),2)</f>
        <v>1.00</v>
      </c>
      <c r="G69" s="9" t="str">
        <f>FIXED(VLOOKUP($A69,'Full Sample-Townhouse'!$A:$R,G$1,0),2)</f>
        <v>0.31</v>
      </c>
      <c r="H69" s="3" t="str">
        <f>FIXED(VLOOKUP($A69,'Full Sample-Townhouse'!$A:$R,H$1,0),2)</f>
        <v>0.46</v>
      </c>
      <c r="I69" s="3" t="str">
        <f>FIXED(VLOOKUP($A69,'Full Sample-Townhouse'!$A:$R,I$1,0),2)</f>
        <v>0.00</v>
      </c>
      <c r="J69" s="13" t="str">
        <f>FIXED(VLOOKUP($A69,'Full Sample-Townhouse'!$A:$R,J$1,0),2)</f>
        <v>1.00</v>
      </c>
      <c r="K69" s="9" t="str">
        <f>FIXED(VLOOKUP($A69,'Full Sample-Townhouse'!$A:$R,K$1,0),2)</f>
        <v>0.31</v>
      </c>
      <c r="L69" s="3" t="str">
        <f>FIXED(VLOOKUP($A69,'Full Sample-Townhouse'!$A:$R,L$1,0),2)</f>
        <v>0.46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1-Townhouse'!$A:$R,O$1,0),2)</f>
        <v>0.29</v>
      </c>
      <c r="P69" s="3" t="str">
        <f>FIXED(VLOOKUP($A69,'Small Sample 1-Townhouse'!$A:$R,P$1,0),2)</f>
        <v>0.45</v>
      </c>
      <c r="Q69" s="3" t="str">
        <f>FIXED(VLOOKUP($A69,'Small Sample 1-Townhouse'!$A:$R,Q$1,0),2)</f>
        <v>0.00</v>
      </c>
      <c r="R69" s="3" t="str">
        <f>FIXED(VLOOKUP($A69,'Small Sample 1-Townhouse'!$A:$R,R$1,0),2)</f>
        <v>1.00</v>
      </c>
      <c r="S69" s="9" t="str">
        <f>FIXED(VLOOKUP($A69,'Small Sample 1-Townhouse'!$A:$R,S$1,0),2)</f>
        <v>0.01</v>
      </c>
      <c r="T69" s="3" t="str">
        <f>FIXED(VLOOKUP($A69,'Small Sample 1-Townhouse'!$A:$R,T$1,0),2)</f>
        <v>0.09</v>
      </c>
      <c r="U69" s="3" t="str">
        <f>FIXED(VLOOKUP($A69,'Small Sample 1-Townhouse'!$A:$R,U$1,0),2)</f>
        <v>0.00</v>
      </c>
      <c r="V69" s="13" t="str">
        <f>FIXED(VLOOKUP($A69,'Small Sample 1-Townhouse'!$A:$R,V$1,0),2)</f>
        <v>1.00</v>
      </c>
      <c r="W69" s="9" t="str">
        <f>FIXED(VLOOKUP($A69,'Small Sample 1-Townhouse'!$A:$R,W$1,0),2)</f>
        <v>0.30</v>
      </c>
      <c r="X69" s="3" t="str">
        <f>FIXED(VLOOKUP($A69,'Small Sample 1-Townhouse'!$A:$R,X$1,0),2)</f>
        <v>0.46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2-Townhouse'!$A:$R,AA$1,0),2)</f>
        <v>0.29</v>
      </c>
      <c r="AB69" s="3" t="str">
        <f>FIXED(VLOOKUP($A69,'Small Sample 2-Townhouse'!$A:$R,AB$1,0),2)</f>
        <v>0.45</v>
      </c>
      <c r="AC69" s="3" t="str">
        <f>FIXED(VLOOKUP($A69,'Small Sample 2-Townhouse'!$A:$R,AC$1,0),2)</f>
        <v>0.00</v>
      </c>
      <c r="AD69" s="3" t="str">
        <f>FIXED(VLOOKUP($A69,'Small Sample 2-Townhouse'!$A:$R,AD$1,0),2)</f>
        <v>1.00</v>
      </c>
      <c r="AE69" s="9" t="str">
        <f>FIXED(VLOOKUP($A69,'Small Sample 2-Townhouse'!$A:$R,AE$1,0),2)</f>
        <v>0.01</v>
      </c>
      <c r="AF69" s="3" t="str">
        <f>FIXED(VLOOKUP($A69,'Small Sample 2-Townhouse'!$A:$R,AF$1,0),2)</f>
        <v>0.09</v>
      </c>
      <c r="AG69" s="3" t="str">
        <f>FIXED(VLOOKUP($A69,'Small Sample 2-Townhouse'!$A:$R,AG$1,0),2)</f>
        <v>0.00</v>
      </c>
      <c r="AH69" s="13" t="str">
        <f>FIXED(VLOOKUP($A69,'Small Sample 2-Townhouse'!$A:$R,AH$1,0),2)</f>
        <v>1.00</v>
      </c>
      <c r="AI69" s="9" t="str">
        <f>FIXED(VLOOKUP($A69,'Small Sample 2-Townhouse'!$A:$R,AI$1,0),2)</f>
        <v>0.26</v>
      </c>
      <c r="AJ69" s="3" t="str">
        <f>FIXED(VLOOKUP($A69,'Small Sample 2-Townhouse'!$A:$R,AJ$1,0),2)</f>
        <v>0.44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Sample-Townhouse'!$A:$R,C$1,0),2)</f>
        <v>0.01</v>
      </c>
      <c r="D70" s="3" t="str">
        <f>FIXED(VLOOKUP($A70,'Full Sample-Townhouse'!$A:$R,D$1,0),2)</f>
        <v>0.09</v>
      </c>
      <c r="E70" s="3" t="str">
        <f>FIXED(VLOOKUP($A70,'Full Sample-Townhouse'!$A:$R,E$1,0),2)</f>
        <v>0.00</v>
      </c>
      <c r="F70" s="3" t="str">
        <f>FIXED(VLOOKUP($A70,'Full Sample-Townhouse'!$A:$R,F$1,0),2)</f>
        <v>1.00</v>
      </c>
      <c r="G70" s="9" t="str">
        <f>FIXED(VLOOKUP($A70,'Full Sample-Townhouse'!$A:$R,G$1,0),2)</f>
        <v>0.01</v>
      </c>
      <c r="H70" s="3" t="str">
        <f>FIXED(VLOOKUP($A70,'Full Sample-Townhouse'!$A:$R,H$1,0),2)</f>
        <v>0.08</v>
      </c>
      <c r="I70" s="3" t="str">
        <f>FIXED(VLOOKUP($A70,'Full Sample-Townhouse'!$A:$R,I$1,0),2)</f>
        <v>0.00</v>
      </c>
      <c r="J70" s="13" t="str">
        <f>FIXED(VLOOKUP($A70,'Full Sample-Townhouse'!$A:$R,J$1,0),2)</f>
        <v>1.00</v>
      </c>
      <c r="K70" s="9" t="str">
        <f>FIXED(VLOOKUP($A70,'Full Sample-Townhouse'!$A:$R,K$1,0),2)</f>
        <v>0.01</v>
      </c>
      <c r="L70" s="3" t="str">
        <f>FIXED(VLOOKUP($A70,'Full Sample-Townhouse'!$A:$R,L$1,0),2)</f>
        <v>0.09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1-Townhouse'!$A:$R,O$1,0),2)</f>
        <v>0.01</v>
      </c>
      <c r="P70" s="3" t="str">
        <f>FIXED(VLOOKUP($A70,'Small Sample 1-Townhouse'!$A:$R,P$1,0),2)</f>
        <v>0.09</v>
      </c>
      <c r="Q70" s="3" t="str">
        <f>FIXED(VLOOKUP($A70,'Small Sample 1-Townhouse'!$A:$R,Q$1,0),2)</f>
        <v>0.00</v>
      </c>
      <c r="R70" s="3" t="str">
        <f>FIXED(VLOOKUP($A70,'Small Sample 1-Townhouse'!$A:$R,R$1,0),2)</f>
        <v>1.00</v>
      </c>
      <c r="S70" s="9" t="str">
        <f>FIXED(VLOOKUP($A70,'Small Sample 1-Townhouse'!$A:$R,S$1,0),2)</f>
        <v>0.42</v>
      </c>
      <c r="T70" s="3" t="str">
        <f>FIXED(VLOOKUP($A70,'Small Sample 1-Townhouse'!$A:$R,T$1,0),2)</f>
        <v>0.49</v>
      </c>
      <c r="U70" s="3" t="str">
        <f>FIXED(VLOOKUP($A70,'Small Sample 1-Townhouse'!$A:$R,U$1,0),2)</f>
        <v>0.00</v>
      </c>
      <c r="V70" s="13" t="str">
        <f>FIXED(VLOOKUP($A70,'Small Sample 1-Townhouse'!$A:$R,V$1,0),2)</f>
        <v>1.00</v>
      </c>
      <c r="W70" s="9" t="str">
        <f>FIXED(VLOOKUP($A70,'Small Sample 1-Townhouse'!$A:$R,W$1,0),2)</f>
        <v>0.01</v>
      </c>
      <c r="X70" s="3" t="str">
        <f>FIXED(VLOOKUP($A70,'Small Sample 1-Townhouse'!$A:$R,X$1,0),2)</f>
        <v>0.09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2-Townhouse'!$A:$R,AA$1,0),2)</f>
        <v>0.01</v>
      </c>
      <c r="AB70" s="3" t="str">
        <f>FIXED(VLOOKUP($A70,'Small Sample 2-Townhouse'!$A:$R,AB$1,0),2)</f>
        <v>0.09</v>
      </c>
      <c r="AC70" s="3" t="str">
        <f>FIXED(VLOOKUP($A70,'Small Sample 2-Townhouse'!$A:$R,AC$1,0),2)</f>
        <v>0.00</v>
      </c>
      <c r="AD70" s="3" t="str">
        <f>FIXED(VLOOKUP($A70,'Small Sample 2-Townhouse'!$A:$R,AD$1,0),2)</f>
        <v>1.00</v>
      </c>
      <c r="AE70" s="9" t="str">
        <f>FIXED(VLOOKUP($A70,'Small Sample 2-Townhouse'!$A:$R,AE$1,0),2)</f>
        <v>0.40</v>
      </c>
      <c r="AF70" s="3" t="str">
        <f>FIXED(VLOOKUP($A70,'Small Sample 2-Townhouse'!$A:$R,AF$1,0),2)</f>
        <v>0.49</v>
      </c>
      <c r="AG70" s="3" t="str">
        <f>FIXED(VLOOKUP($A70,'Small Sample 2-Townhouse'!$A:$R,AG$1,0),2)</f>
        <v>0.00</v>
      </c>
      <c r="AH70" s="13" t="str">
        <f>FIXED(VLOOKUP($A70,'Small Sample 2-Townhouse'!$A:$R,AH$1,0),2)</f>
        <v>1.00</v>
      </c>
      <c r="AI70" s="9" t="str">
        <f>FIXED(VLOOKUP($A70,'Small Sample 2-Townhouse'!$A:$R,AI$1,0),2)</f>
        <v>0.01</v>
      </c>
      <c r="AJ70" s="3" t="str">
        <f>FIXED(VLOOKUP($A70,'Small Sample 2-Townhouse'!$A:$R,AJ$1,0),2)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Sample-Townhouse'!$A:$R,C$1,0),2)</f>
        <v>0.40</v>
      </c>
      <c r="D71" s="3" t="str">
        <f>FIXED(VLOOKUP($A71,'Full Sample-Townhouse'!$A:$R,D$1,0),2)</f>
        <v>0.49</v>
      </c>
      <c r="E71" s="3" t="str">
        <f>FIXED(VLOOKUP($A71,'Full Sample-Townhouse'!$A:$R,E$1,0),2)</f>
        <v>0.00</v>
      </c>
      <c r="F71" s="3" t="str">
        <f>FIXED(VLOOKUP($A71,'Full Sample-Townhouse'!$A:$R,F$1,0),2)</f>
        <v>1.00</v>
      </c>
      <c r="G71" s="9" t="str">
        <f>FIXED(VLOOKUP($A71,'Full Sample-Townhouse'!$A:$R,G$1,0),2)</f>
        <v>0.39</v>
      </c>
      <c r="H71" s="3" t="str">
        <f>FIXED(VLOOKUP($A71,'Full Sample-Townhouse'!$A:$R,H$1,0),2)</f>
        <v>0.49</v>
      </c>
      <c r="I71" s="3" t="str">
        <f>FIXED(VLOOKUP($A71,'Full Sample-Townhouse'!$A:$R,I$1,0),2)</f>
        <v>0.00</v>
      </c>
      <c r="J71" s="13" t="str">
        <f>FIXED(VLOOKUP($A71,'Full Sample-Townhouse'!$A:$R,J$1,0),2)</f>
        <v>1.00</v>
      </c>
      <c r="K71" s="9" t="str">
        <f>FIXED(VLOOKUP($A71,'Full Sample-Townhouse'!$A:$R,K$1,0),2)</f>
        <v>0.40</v>
      </c>
      <c r="L71" s="3" t="str">
        <f>FIXED(VLOOKUP($A71,'Full Sample-Townhouse'!$A:$R,L$1,0),2)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1-Townhouse'!$A:$R,O$1,0),2)</f>
        <v>0.41</v>
      </c>
      <c r="P71" s="3" t="str">
        <f>FIXED(VLOOKUP($A71,'Small Sample 1-Townhouse'!$A:$R,P$1,0),2)</f>
        <v>0.49</v>
      </c>
      <c r="Q71" s="3" t="str">
        <f>FIXED(VLOOKUP($A71,'Small Sample 1-Townhouse'!$A:$R,Q$1,0),2)</f>
        <v>0.00</v>
      </c>
      <c r="R71" s="3" t="str">
        <f>FIXED(VLOOKUP($A71,'Small Sample 1-Townhouse'!$A:$R,R$1,0),2)</f>
        <v>1.00</v>
      </c>
      <c r="S71" s="9" t="e">
        <f>FIXED(VLOOKUP($A71,'Small Sample 1-Townhouse'!$A:$R,S$1,0),2)</f>
        <v>#VALUE!</v>
      </c>
      <c r="T71" s="3" t="e">
        <f>FIXED(VLOOKUP($A71,'Small Sample 1-Townhouse'!$A:$R,T$1,0),2)</f>
        <v>#VALUE!</v>
      </c>
      <c r="U71" s="3" t="e">
        <f>FIXED(VLOOKUP($A71,'Small Sample 1-Townhouse'!$A:$R,U$1,0),2)</f>
        <v>#VALUE!</v>
      </c>
      <c r="V71" s="13" t="e">
        <f>FIXED(VLOOKUP($A71,'Small Sample 1-Townhouse'!$A:$R,V$1,0),2)</f>
        <v>#VALUE!</v>
      </c>
      <c r="W71" s="9" t="str">
        <f>FIXED(VLOOKUP($A71,'Small Sample 1-Townhouse'!$A:$R,W$1,0),2)</f>
        <v>0.41</v>
      </c>
      <c r="X71" s="3" t="str">
        <f>FIXED(VLOOKUP($A71,'Small Sample 1-Townhouse'!$A:$R,X$1,0),2)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2-Townhouse'!$A:$R,AA$1,0),2)</f>
        <v>0.41</v>
      </c>
      <c r="AB71" s="3" t="str">
        <f>FIXED(VLOOKUP($A71,'Small Sample 2-Townhouse'!$A:$R,AB$1,0),2)</f>
        <v>0.49</v>
      </c>
      <c r="AC71" s="3" t="str">
        <f>FIXED(VLOOKUP($A71,'Small Sample 2-Townhouse'!$A:$R,AC$1,0),2)</f>
        <v>0.00</v>
      </c>
      <c r="AD71" s="3" t="str">
        <f>FIXED(VLOOKUP($A71,'Small Sample 2-Townhouse'!$A:$R,AD$1,0),2)</f>
        <v>1.00</v>
      </c>
      <c r="AE71" s="9" t="e">
        <f>FIXED(VLOOKUP($A71,'Small Sample 2-Townhouse'!$A:$R,AE$1,0),2)</f>
        <v>#VALUE!</v>
      </c>
      <c r="AF71" s="3" t="e">
        <f>FIXED(VLOOKUP($A71,'Small Sample 2-Townhouse'!$A:$R,AF$1,0),2)</f>
        <v>#VALUE!</v>
      </c>
      <c r="AG71" s="3" t="e">
        <f>FIXED(VLOOKUP($A71,'Small Sample 2-Townhouse'!$A:$R,AG$1,0),2)</f>
        <v>#VALUE!</v>
      </c>
      <c r="AH71" s="13" t="e">
        <f>FIXED(VLOOKUP($A71,'Small Sample 2-Townhouse'!$A:$R,AH$1,0),2)</f>
        <v>#VALUE!</v>
      </c>
      <c r="AI71" s="9" t="str">
        <f>FIXED(VLOOKUP($A71,'Small Sample 2-Townhouse'!$A:$R,AI$1,0),2)</f>
        <v>0.43</v>
      </c>
      <c r="AJ71" s="3" t="str">
        <f>FIXED(VLOOKUP($A71,'Small Sample 2-Townhouse'!$A:$R,AJ$1,0),2)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Sample-Townhouse'!$A:$R,C$1,0),2)</f>
        <v>0.28</v>
      </c>
      <c r="D72" s="3" t="str">
        <f>FIXED(VLOOKUP($A72,'Full Sample-Townhouse'!$A:$R,D$1,0),2)</f>
        <v>0.17</v>
      </c>
      <c r="E72" s="3" t="str">
        <f>FIXED(VLOOKUP($A72,'Full Sample-Townhouse'!$A:$R,E$1,0),2)</f>
        <v>0.00</v>
      </c>
      <c r="F72" s="3" t="str">
        <f>FIXED(VLOOKUP($A72,'Full Sample-Townhouse'!$A:$R,F$1,0),2)</f>
        <v>1.00</v>
      </c>
      <c r="G72" s="9" t="str">
        <f>FIXED(VLOOKUP($A72,'Full Sample-Townhouse'!$A:$R,G$1,0),2)</f>
        <v>0.28</v>
      </c>
      <c r="H72" s="3" t="str">
        <f>FIXED(VLOOKUP($A72,'Full Sample-Townhouse'!$A:$R,H$1,0),2)</f>
        <v>0.17</v>
      </c>
      <c r="I72" s="3" t="str">
        <f>FIXED(VLOOKUP($A72,'Full Sample-Townhouse'!$A:$R,I$1,0),2)</f>
        <v>0.00</v>
      </c>
      <c r="J72" s="13" t="str">
        <f>FIXED(VLOOKUP($A72,'Full Sample-Townhouse'!$A:$R,J$1,0),2)</f>
        <v>1.00</v>
      </c>
      <c r="K72" s="9" t="str">
        <f>FIXED(VLOOKUP($A72,'Full Sample-Townhouse'!$A:$R,K$1,0),2)</f>
        <v>0.27</v>
      </c>
      <c r="L72" s="3" t="str">
        <f>FIXED(VLOOKUP($A72,'Full Sample-Townhouse'!$A:$R,L$1,0),2)</f>
        <v>0.18</v>
      </c>
      <c r="M72" s="3" t="str">
        <f>FIXED(VLOOKUP($A72,'Full Sample-No Sub'!$A:$R,M$1,0),2)</f>
        <v>0.00</v>
      </c>
      <c r="N72" s="13" t="str">
        <f>FIXED(VLOOKUP($A72,'Full Sample-No Sub'!$A:$R,N$1,0),2)</f>
        <v>0.92</v>
      </c>
      <c r="O72" s="9" t="str">
        <f>FIXED(VLOOKUP($A72,'Small Sample 1-Townhouse'!$A:$R,O$1,0),2)</f>
        <v>0.27</v>
      </c>
      <c r="P72" s="3" t="str">
        <f>FIXED(VLOOKUP($A72,'Small Sample 1-Townhouse'!$A:$R,P$1,0),2)</f>
        <v>0.18</v>
      </c>
      <c r="Q72" s="3" t="str">
        <f>FIXED(VLOOKUP($A72,'Small Sample 1-Townhouse'!$A:$R,Q$1,0),2)</f>
        <v>0.00</v>
      </c>
      <c r="R72" s="3" t="str">
        <f>FIXED(VLOOKUP($A72,'Small Sample 1-Townhouse'!$A:$R,R$1,0),2)</f>
        <v>1.00</v>
      </c>
      <c r="S72" s="9" t="str">
        <f>FIXED(VLOOKUP($A72,'Small Sample 1-Townhouse'!$A:$R,S$1,0),2)</f>
        <v>0.02</v>
      </c>
      <c r="T72" s="3" t="str">
        <f>FIXED(VLOOKUP($A72,'Small Sample 1-Townhouse'!$A:$R,T$1,0),2)</f>
        <v>0.03</v>
      </c>
      <c r="U72" s="3" t="str">
        <f>FIXED(VLOOKUP($A72,'Small Sample 1-Townhouse'!$A:$R,U$1,0),2)</f>
        <v>0.00</v>
      </c>
      <c r="V72" s="13" t="str">
        <f>FIXED(VLOOKUP($A72,'Small Sample 1-Townhouse'!$A:$R,V$1,0),2)</f>
        <v>0.19</v>
      </c>
      <c r="W72" s="9" t="str">
        <f>FIXED(VLOOKUP($A72,'Small Sample 1-Townhouse'!$A:$R,W$1,0),2)</f>
        <v>0.27</v>
      </c>
      <c r="X72" s="3" t="str">
        <f>FIXED(VLOOKUP($A72,'Small Sample 1-Townhouse'!$A:$R,X$1,0),2)</f>
        <v>0.18</v>
      </c>
      <c r="Y72" s="3" t="str">
        <f>FIXED(VLOOKUP($A72,'Small Sample 1-No Sub'!$A:$R,Y$1,0),2)</f>
        <v>0.00</v>
      </c>
      <c r="Z72" s="3" t="str">
        <f>FIXED(VLOOKUP($A72,'Small Sample 1-No Sub'!$A:$R,Z$1,0),2)</f>
        <v>0.92</v>
      </c>
      <c r="AA72" s="9" t="str">
        <f>FIXED(VLOOKUP($A72,'Small Sample 2-Townhouse'!$A:$R,AA$1,0),2)</f>
        <v>0.28</v>
      </c>
      <c r="AB72" s="3" t="str">
        <f>FIXED(VLOOKUP($A72,'Small Sample 2-Townhouse'!$A:$R,AB$1,0),2)</f>
        <v>0.18</v>
      </c>
      <c r="AC72" s="3" t="str">
        <f>FIXED(VLOOKUP($A72,'Small Sample 2-Townhouse'!$A:$R,AC$1,0),2)</f>
        <v>0.00</v>
      </c>
      <c r="AD72" s="3" t="str">
        <f>FIXED(VLOOKUP($A72,'Small Sample 2-Townhouse'!$A:$R,AD$1,0),2)</f>
        <v>1.00</v>
      </c>
      <c r="AE72" s="9" t="str">
        <f>FIXED(VLOOKUP($A72,'Small Sample 2-Townhouse'!$A:$R,AE$1,0),2)</f>
        <v>0.02</v>
      </c>
      <c r="AF72" s="3" t="str">
        <f>FIXED(VLOOKUP($A72,'Small Sample 2-Townhouse'!$A:$R,AF$1,0),2)</f>
        <v>0.03</v>
      </c>
      <c r="AG72" s="3" t="str">
        <f>FIXED(VLOOKUP($A72,'Small Sample 2-Townhouse'!$A:$R,AG$1,0),2)</f>
        <v>0.00</v>
      </c>
      <c r="AH72" s="13" t="str">
        <f>FIXED(VLOOKUP($A72,'Small Sample 2-Townhouse'!$A:$R,AH$1,0),2)</f>
        <v>0.78</v>
      </c>
      <c r="AI72" s="9" t="str">
        <f>FIXED(VLOOKUP($A72,'Small Sample 2-Townhouse'!$A:$R,AI$1,0),2)</f>
        <v>0.27</v>
      </c>
      <c r="AJ72" s="3" t="str">
        <f>FIXED(VLOOKUP($A72,'Small Sample 2-Townhouse'!$A:$R,AJ$1,0),2)</f>
        <v>0.18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Sample-Townhouse'!$A:$R,C$1,0),2)</f>
        <v>0.02</v>
      </c>
      <c r="D73" s="3" t="str">
        <f>FIXED(VLOOKUP($A73,'Full Sample-Townhouse'!$A:$R,D$1,0),2)</f>
        <v>0.04</v>
      </c>
      <c r="E73" s="3" t="str">
        <f>FIXED(VLOOKUP($A73,'Full Sample-Townhouse'!$A:$R,E$1,0),2)</f>
        <v>0.00</v>
      </c>
      <c r="F73" s="3" t="str">
        <f>FIXED(VLOOKUP($A73,'Full Sample-Townhouse'!$A:$R,F$1,0),2)</f>
        <v>0.78</v>
      </c>
      <c r="G73" s="9" t="str">
        <f>FIXED(VLOOKUP($A73,'Full Sample-Townhouse'!$A:$R,G$1,0),2)</f>
        <v>0.02</v>
      </c>
      <c r="H73" s="3" t="str">
        <f>FIXED(VLOOKUP($A73,'Full Sample-Townhouse'!$A:$R,H$1,0),2)</f>
        <v>0.03</v>
      </c>
      <c r="I73" s="3" t="str">
        <f>FIXED(VLOOKUP($A73,'Full Sample-Townhouse'!$A:$R,I$1,0),2)</f>
        <v>0.00</v>
      </c>
      <c r="J73" s="13" t="str">
        <f>FIXED(VLOOKUP($A73,'Full Sample-Townhouse'!$A:$R,J$1,0),2)</f>
        <v>0.78</v>
      </c>
      <c r="K73" s="9" t="str">
        <f>FIXED(VLOOKUP($A73,'Full Sample-Townhouse'!$A:$R,K$1,0),2)</f>
        <v>0.02</v>
      </c>
      <c r="L73" s="3" t="str">
        <f>FIXED(VLOOKUP($A73,'Full Sample-Townhouse'!$A:$R,L$1,0),2)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0.78</v>
      </c>
      <c r="O73" s="9" t="str">
        <f>FIXED(VLOOKUP($A73,'Small Sample 1-Townhouse'!$A:$R,O$1,0),2)</f>
        <v>0.02</v>
      </c>
      <c r="P73" s="3" t="str">
        <f>FIXED(VLOOKUP($A73,'Small Sample 1-Townhouse'!$A:$R,P$1,0),2)</f>
        <v>0.04</v>
      </c>
      <c r="Q73" s="3" t="str">
        <f>FIXED(VLOOKUP($A73,'Small Sample 1-Townhouse'!$A:$R,Q$1,0),2)</f>
        <v>0.00</v>
      </c>
      <c r="R73" s="3" t="str">
        <f>FIXED(VLOOKUP($A73,'Small Sample 1-Townhouse'!$A:$R,R$1,0),2)</f>
        <v>0.78</v>
      </c>
      <c r="S73" s="9" t="str">
        <f>FIXED(VLOOKUP($A73,'Small Sample 1-Townhouse'!$A:$R,S$1,0),2)</f>
        <v>0.44</v>
      </c>
      <c r="T73" s="3" t="str">
        <f>FIXED(VLOOKUP($A73,'Small Sample 1-Townhouse'!$A:$R,T$1,0),2)</f>
        <v>0.18</v>
      </c>
      <c r="U73" s="3" t="str">
        <f>FIXED(VLOOKUP($A73,'Small Sample 1-Townhouse'!$A:$R,U$1,0),2)</f>
        <v>0.00</v>
      </c>
      <c r="V73" s="13" t="str">
        <f>FIXED(VLOOKUP($A73,'Small Sample 1-Townhouse'!$A:$R,V$1,0),2)</f>
        <v>1.00</v>
      </c>
      <c r="W73" s="9" t="str">
        <f>FIXED(VLOOKUP($A73,'Small Sample 1-Townhouse'!$A:$R,W$1,0),2)</f>
        <v>0.02</v>
      </c>
      <c r="X73" s="3" t="str">
        <f>FIXED(VLOOKUP($A73,'Small Sample 1-Townhouse'!$A:$R,X$1,0),2)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0.78</v>
      </c>
      <c r="AA73" s="9" t="str">
        <f>FIXED(VLOOKUP($A73,'Small Sample 2-Townhouse'!$A:$R,AA$1,0),2)</f>
        <v>0.02</v>
      </c>
      <c r="AB73" s="3" t="str">
        <f>FIXED(VLOOKUP($A73,'Small Sample 2-Townhouse'!$A:$R,AB$1,0),2)</f>
        <v>0.03</v>
      </c>
      <c r="AC73" s="3" t="str">
        <f>FIXED(VLOOKUP($A73,'Small Sample 2-Townhouse'!$A:$R,AC$1,0),2)</f>
        <v>0.00</v>
      </c>
      <c r="AD73" s="3" t="str">
        <f>FIXED(VLOOKUP($A73,'Small Sample 2-Townhouse'!$A:$R,AD$1,0),2)</f>
        <v>0.78</v>
      </c>
      <c r="AE73" s="9" t="str">
        <f>FIXED(VLOOKUP($A73,'Small Sample 2-Townhouse'!$A:$R,AE$1,0),2)</f>
        <v>0.43</v>
      </c>
      <c r="AF73" s="3" t="str">
        <f>FIXED(VLOOKUP($A73,'Small Sample 2-Townhouse'!$A:$R,AF$1,0),2)</f>
        <v>0.18</v>
      </c>
      <c r="AG73" s="3" t="str">
        <f>FIXED(VLOOKUP($A73,'Small Sample 2-Townhouse'!$A:$R,AG$1,0),2)</f>
        <v>0.00</v>
      </c>
      <c r="AH73" s="13" t="str">
        <f>FIXED(VLOOKUP($A73,'Small Sample 2-Townhouse'!$A:$R,AH$1,0),2)</f>
        <v>1.00</v>
      </c>
      <c r="AI73" s="9" t="str">
        <f>FIXED(VLOOKUP($A73,'Small Sample 2-Townhouse'!$A:$R,AI$1,0),2)</f>
        <v>0.02</v>
      </c>
      <c r="AJ73" s="3" t="str">
        <f>FIXED(VLOOKUP($A73,'Small Sample 2-Townhouse'!$A:$R,AJ$1,0),2)</f>
        <v>0.04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Sample-Townhouse'!$A:$R,C$1,0),2)</f>
        <v>0.43</v>
      </c>
      <c r="D74" s="3" t="str">
        <f>FIXED(VLOOKUP($A74,'Full Sample-Townhouse'!$A:$R,D$1,0),2)</f>
        <v>0.18</v>
      </c>
      <c r="E74" s="3" t="str">
        <f>FIXED(VLOOKUP($A74,'Full Sample-Townhouse'!$A:$R,E$1,0),2)</f>
        <v>0.00</v>
      </c>
      <c r="F74" s="3" t="str">
        <f>FIXED(VLOOKUP($A74,'Full Sample-Townhouse'!$A:$R,F$1,0),2)</f>
        <v>1.00</v>
      </c>
      <c r="G74" s="9" t="str">
        <f>FIXED(VLOOKUP($A74,'Full Sample-Townhouse'!$A:$R,G$1,0),2)</f>
        <v>0.43</v>
      </c>
      <c r="H74" s="3" t="str">
        <f>FIXED(VLOOKUP($A74,'Full Sample-Townhouse'!$A:$R,H$1,0),2)</f>
        <v>0.18</v>
      </c>
      <c r="I74" s="3" t="str">
        <f>FIXED(VLOOKUP($A74,'Full Sample-Townhouse'!$A:$R,I$1,0),2)</f>
        <v>0.00</v>
      </c>
      <c r="J74" s="13" t="str">
        <f>FIXED(VLOOKUP($A74,'Full Sample-Townhouse'!$A:$R,J$1,0),2)</f>
        <v>1.00</v>
      </c>
      <c r="K74" s="9" t="str">
        <f>FIXED(VLOOKUP($A74,'Full Sample-Townhouse'!$A:$R,K$1,0),2)</f>
        <v>0.44</v>
      </c>
      <c r="L74" s="3" t="str">
        <f>FIXED(VLOOKUP($A74,'Full Sample-Townhouse'!$A:$R,L$1,0),2)</f>
        <v>0.19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1-Townhouse'!$A:$R,O$1,0),2)</f>
        <v>0.44</v>
      </c>
      <c r="P74" s="3" t="str">
        <f>FIXED(VLOOKUP($A74,'Small Sample 1-Townhouse'!$A:$R,P$1,0),2)</f>
        <v>0.18</v>
      </c>
      <c r="Q74" s="3" t="str">
        <f>FIXED(VLOOKUP($A74,'Small Sample 1-Townhouse'!$A:$R,Q$1,0),2)</f>
        <v>0.00</v>
      </c>
      <c r="R74" s="3" t="str">
        <f>FIXED(VLOOKUP($A74,'Small Sample 1-Townhouse'!$A:$R,R$1,0),2)</f>
        <v>1.00</v>
      </c>
      <c r="S74" s="9" t="str">
        <f>FIXED(VLOOKUP($A74,'Small Sample 1-Townhouse'!$A:$R,S$1,0),2)</f>
        <v>0.06</v>
      </c>
      <c r="T74" s="3" t="str">
        <f>FIXED(VLOOKUP($A74,'Small Sample 1-Townhouse'!$A:$R,T$1,0),2)</f>
        <v>0.07</v>
      </c>
      <c r="U74" s="3" t="str">
        <f>FIXED(VLOOKUP($A74,'Small Sample 1-Townhouse'!$A:$R,U$1,0),2)</f>
        <v>0.00</v>
      </c>
      <c r="V74" s="13" t="str">
        <f>FIXED(VLOOKUP($A74,'Small Sample 1-Townhouse'!$A:$R,V$1,0),2)</f>
        <v>0.56</v>
      </c>
      <c r="W74" s="9" t="str">
        <f>FIXED(VLOOKUP($A74,'Small Sample 1-Townhouse'!$A:$R,W$1,0),2)</f>
        <v>0.44</v>
      </c>
      <c r="X74" s="3" t="str">
        <f>FIXED(VLOOKUP($A74,'Small Sample 1-Townhouse'!$A:$R,X$1,0),2)</f>
        <v>0.19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2-Townhouse'!$A:$R,AA$1,0),2)</f>
        <v>0.44</v>
      </c>
      <c r="AB74" s="3" t="str">
        <f>FIXED(VLOOKUP($A74,'Small Sample 2-Townhouse'!$A:$R,AB$1,0),2)</f>
        <v>0.18</v>
      </c>
      <c r="AC74" s="3" t="str">
        <f>FIXED(VLOOKUP($A74,'Small Sample 2-Townhouse'!$A:$R,AC$1,0),2)</f>
        <v>0.00</v>
      </c>
      <c r="AD74" s="3" t="str">
        <f>FIXED(VLOOKUP($A74,'Small Sample 2-Townhouse'!$A:$R,AD$1,0),2)</f>
        <v>1.00</v>
      </c>
      <c r="AE74" s="9" t="str">
        <f>FIXED(VLOOKUP($A74,'Small Sample 2-Townhouse'!$A:$R,AE$1,0),2)</f>
        <v>0.06</v>
      </c>
      <c r="AF74" s="3" t="str">
        <f>FIXED(VLOOKUP($A74,'Small Sample 2-Townhouse'!$A:$R,AF$1,0),2)</f>
        <v>0.07</v>
      </c>
      <c r="AG74" s="3" t="str">
        <f>FIXED(VLOOKUP($A74,'Small Sample 2-Townhouse'!$A:$R,AG$1,0),2)</f>
        <v>0.00</v>
      </c>
      <c r="AH74" s="13" t="str">
        <f>FIXED(VLOOKUP($A74,'Small Sample 2-Townhouse'!$A:$R,AH$1,0),2)</f>
        <v>0.56</v>
      </c>
      <c r="AI74" s="9" t="str">
        <f>FIXED(VLOOKUP($A74,'Small Sample 2-Townhouse'!$A:$R,AI$1,0),2)</f>
        <v>0.46</v>
      </c>
      <c r="AJ74" s="3" t="str">
        <f>FIXED(VLOOKUP($A74,'Small Sample 2-Townhouse'!$A:$R,AJ$1,0),2)</f>
        <v>0.19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Sample-Townhouse'!$A:$R,C$1,0),2)</f>
        <v>0.06</v>
      </c>
      <c r="D75" s="3" t="str">
        <f>FIXED(VLOOKUP($A75,'Full Sample-Townhouse'!$A:$R,D$1,0),2)</f>
        <v>0.08</v>
      </c>
      <c r="E75" s="3" t="str">
        <f>FIXED(VLOOKUP($A75,'Full Sample-Townhouse'!$A:$R,E$1,0),2)</f>
        <v>0.00</v>
      </c>
      <c r="F75" s="3" t="str">
        <f>FIXED(VLOOKUP($A75,'Full Sample-Townhouse'!$A:$R,F$1,0),2)</f>
        <v>0.64</v>
      </c>
      <c r="G75" s="9" t="str">
        <f>FIXED(VLOOKUP($A75,'Full Sample-Townhouse'!$A:$R,G$1,0),2)</f>
        <v>0.06</v>
      </c>
      <c r="H75" s="3" t="str">
        <f>FIXED(VLOOKUP($A75,'Full Sample-Townhouse'!$A:$R,H$1,0),2)</f>
        <v>0.07</v>
      </c>
      <c r="I75" s="3" t="str">
        <f>FIXED(VLOOKUP($A75,'Full Sample-Townhouse'!$A:$R,I$1,0),2)</f>
        <v>0.00</v>
      </c>
      <c r="J75" s="13" t="str">
        <f>FIXED(VLOOKUP($A75,'Full Sample-Townhouse'!$A:$R,J$1,0),2)</f>
        <v>0.56</v>
      </c>
      <c r="K75" s="9" t="str">
        <f>FIXED(VLOOKUP($A75,'Full Sample-Townhouse'!$A:$R,K$1,0),2)</f>
        <v>0.06</v>
      </c>
      <c r="L75" s="3" t="str">
        <f>FIXED(VLOOKUP($A75,'Full Sample-Townhouse'!$A:$R,L$1,0),2)</f>
        <v>0.09</v>
      </c>
      <c r="M75" s="3" t="str">
        <f>FIXED(VLOOKUP($A75,'Full Sample-No Sub'!$A:$R,M$1,0),2)</f>
        <v>0.00</v>
      </c>
      <c r="N75" s="13" t="str">
        <f>FIXED(VLOOKUP($A75,'Full Sample-No Sub'!$A:$R,N$1,0),2)</f>
        <v>0.71</v>
      </c>
      <c r="O75" s="9" t="str">
        <f>FIXED(VLOOKUP($A75,'Small Sample 1-Townhouse'!$A:$R,O$1,0),2)</f>
        <v>0.06</v>
      </c>
      <c r="P75" s="3" t="str">
        <f>FIXED(VLOOKUP($A75,'Small Sample 1-Townhouse'!$A:$R,P$1,0),2)</f>
        <v>0.08</v>
      </c>
      <c r="Q75" s="3" t="str">
        <f>FIXED(VLOOKUP($A75,'Small Sample 1-Townhouse'!$A:$R,Q$1,0),2)</f>
        <v>0.00</v>
      </c>
      <c r="R75" s="3" t="str">
        <f>FIXED(VLOOKUP($A75,'Small Sample 1-Townhouse'!$A:$R,R$1,0),2)</f>
        <v>0.64</v>
      </c>
      <c r="S75" s="9" t="str">
        <f>FIXED(VLOOKUP($A75,'Small Sample 1-Townhouse'!$A:$R,S$1,0),2)</f>
        <v>0.81</v>
      </c>
      <c r="T75" s="3" t="str">
        <f>FIXED(VLOOKUP($A75,'Small Sample 1-Townhouse'!$A:$R,T$1,0),2)</f>
        <v>0.21</v>
      </c>
      <c r="U75" s="3" t="str">
        <f>FIXED(VLOOKUP($A75,'Small Sample 1-Townhouse'!$A:$R,U$1,0),2)</f>
        <v>0.07</v>
      </c>
      <c r="V75" s="13" t="str">
        <f>FIXED(VLOOKUP($A75,'Small Sample 1-Townhouse'!$A:$R,V$1,0),2)</f>
        <v>1.00</v>
      </c>
      <c r="W75" s="9" t="str">
        <f>FIXED(VLOOKUP($A75,'Small Sample 1-Townhouse'!$A:$R,W$1,0),2)</f>
        <v>0.06</v>
      </c>
      <c r="X75" s="3" t="str">
        <f>FIXED(VLOOKUP($A75,'Small Sample 1-Townhouse'!$A:$R,X$1,0),2)</f>
        <v>0.09</v>
      </c>
      <c r="Y75" s="3" t="str">
        <f>FIXED(VLOOKUP($A75,'Small Sample 1-No Sub'!$A:$R,Y$1,0),2)</f>
        <v>0.00</v>
      </c>
      <c r="Z75" s="3" t="str">
        <f>FIXED(VLOOKUP($A75,'Small Sample 1-No Sub'!$A:$R,Z$1,0),2)</f>
        <v>0.71</v>
      </c>
      <c r="AA75" s="9" t="str">
        <f>FIXED(VLOOKUP($A75,'Small Sample 2-Townhouse'!$A:$R,AA$1,0),2)</f>
        <v>0.06</v>
      </c>
      <c r="AB75" s="3" t="str">
        <f>FIXED(VLOOKUP($A75,'Small Sample 2-Townhouse'!$A:$R,AB$1,0),2)</f>
        <v>0.08</v>
      </c>
      <c r="AC75" s="3" t="str">
        <f>FIXED(VLOOKUP($A75,'Small Sample 2-Townhouse'!$A:$R,AC$1,0),2)</f>
        <v>0.00</v>
      </c>
      <c r="AD75" s="3" t="str">
        <f>FIXED(VLOOKUP($A75,'Small Sample 2-Townhouse'!$A:$R,AD$1,0),2)</f>
        <v>0.64</v>
      </c>
      <c r="AE75" s="9" t="str">
        <f>FIXED(VLOOKUP($A75,'Small Sample 2-Townhouse'!$A:$R,AE$1,0),2)</f>
        <v>0.81</v>
      </c>
      <c r="AF75" s="3" t="str">
        <f>FIXED(VLOOKUP($A75,'Small Sample 2-Townhouse'!$A:$R,AF$1,0),2)</f>
        <v>0.21</v>
      </c>
      <c r="AG75" s="3" t="str">
        <f>FIXED(VLOOKUP($A75,'Small Sample 2-Townhouse'!$A:$R,AG$1,0),2)</f>
        <v>0.07</v>
      </c>
      <c r="AH75" s="13" t="str">
        <f>FIXED(VLOOKUP($A75,'Small Sample 2-Townhouse'!$A:$R,AH$1,0),2)</f>
        <v>1.00</v>
      </c>
      <c r="AI75" s="9" t="str">
        <f>FIXED(VLOOKUP($A75,'Small Sample 2-Townhouse'!$A:$R,AI$1,0),2)</f>
        <v>0.06</v>
      </c>
      <c r="AJ75" s="3" t="str">
        <f>FIXED(VLOOKUP($A75,'Small Sample 2-Townhouse'!$A:$R,AJ$1,0),2)</f>
        <v>0.09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Sample-Townhouse'!$A:$R,C$1,0),2)</f>
        <v>0.82</v>
      </c>
      <c r="D76" s="3" t="str">
        <f>FIXED(VLOOKUP($A76,'Full Sample-Townhouse'!$A:$R,D$1,0),2)</f>
        <v>0.20</v>
      </c>
      <c r="E76" s="3" t="str">
        <f>FIXED(VLOOKUP($A76,'Full Sample-Townhouse'!$A:$R,E$1,0),2)</f>
        <v>0.07</v>
      </c>
      <c r="F76" s="3" t="str">
        <f>FIXED(VLOOKUP($A76,'Full Sample-Townhouse'!$A:$R,F$1,0),2)</f>
        <v>1.00</v>
      </c>
      <c r="G76" s="9" t="str">
        <f>FIXED(VLOOKUP($A76,'Full Sample-Townhouse'!$A:$R,G$1,0),2)</f>
        <v>0.82</v>
      </c>
      <c r="H76" s="3" t="str">
        <f>FIXED(VLOOKUP($A76,'Full Sample-Townhouse'!$A:$R,H$1,0),2)</f>
        <v>0.21</v>
      </c>
      <c r="I76" s="3" t="str">
        <f>FIXED(VLOOKUP($A76,'Full Sample-Townhouse'!$A:$R,I$1,0),2)</f>
        <v>0.07</v>
      </c>
      <c r="J76" s="13" t="str">
        <f>FIXED(VLOOKUP($A76,'Full Sample-Townhouse'!$A:$R,J$1,0),2)</f>
        <v>1.00</v>
      </c>
      <c r="K76" s="9" t="str">
        <f>FIXED(VLOOKUP($A76,'Full Sample-Townhouse'!$A:$R,K$1,0),2)</f>
        <v>0.83</v>
      </c>
      <c r="L76" s="3" t="str">
        <f>FIXED(VLOOKUP($A76,'Full Sample-Townhouse'!$A:$R,L$1,0),2)</f>
        <v>0.19</v>
      </c>
      <c r="M76" s="3" t="str">
        <f>FIXED(VLOOKUP($A76,'Full Sample-No Sub'!$A:$R,M$1,0),2)</f>
        <v>0.07</v>
      </c>
      <c r="N76" s="13" t="str">
        <f>FIXED(VLOOKUP($A76,'Full Sample-No Sub'!$A:$R,N$1,0),2)</f>
        <v>1.00</v>
      </c>
      <c r="O76" s="9" t="str">
        <f>FIXED(VLOOKUP($A76,'Small Sample 1-Townhouse'!$A:$R,O$1,0),2)</f>
        <v>0.82</v>
      </c>
      <c r="P76" s="3" t="str">
        <f>FIXED(VLOOKUP($A76,'Small Sample 1-Townhouse'!$A:$R,P$1,0),2)</f>
        <v>0.20</v>
      </c>
      <c r="Q76" s="3" t="str">
        <f>FIXED(VLOOKUP($A76,'Small Sample 1-Townhouse'!$A:$R,Q$1,0),2)</f>
        <v>0.07</v>
      </c>
      <c r="R76" s="3" t="str">
        <f>FIXED(VLOOKUP($A76,'Small Sample 1-Townhouse'!$A:$R,R$1,0),2)</f>
        <v>1.00</v>
      </c>
      <c r="S76" s="9" t="str">
        <f>FIXED(VLOOKUP($A76,'Small Sample 1-Townhouse'!$A:$R,S$1,0),2)</f>
        <v>0.19</v>
      </c>
      <c r="T76" s="3" t="str">
        <f>FIXED(VLOOKUP($A76,'Small Sample 1-Townhouse'!$A:$R,T$1,0),2)</f>
        <v>0.21</v>
      </c>
      <c r="U76" s="3" t="str">
        <f>FIXED(VLOOKUP($A76,'Small Sample 1-Townhouse'!$A:$R,U$1,0),2)</f>
        <v>0.00</v>
      </c>
      <c r="V76" s="13" t="str">
        <f>FIXED(VLOOKUP($A76,'Small Sample 1-Townhouse'!$A:$R,V$1,0),2)</f>
        <v>0.93</v>
      </c>
      <c r="W76" s="9" t="str">
        <f>FIXED(VLOOKUP($A76,'Small Sample 1-Townhouse'!$A:$R,W$1,0),2)</f>
        <v>0.83</v>
      </c>
      <c r="X76" s="3" t="str">
        <f>FIXED(VLOOKUP($A76,'Small Sample 1-Townhouse'!$A:$R,X$1,0),2)</f>
        <v>0.19</v>
      </c>
      <c r="Y76" s="3" t="str">
        <f>FIXED(VLOOKUP($A76,'Small Sample 1-No Sub'!$A:$R,Y$1,0),2)</f>
        <v>0.07</v>
      </c>
      <c r="Z76" s="3" t="str">
        <f>FIXED(VLOOKUP($A76,'Small Sample 1-No Sub'!$A:$R,Z$1,0),2)</f>
        <v>1.00</v>
      </c>
      <c r="AA76" s="9" t="str">
        <f>FIXED(VLOOKUP($A76,'Small Sample 2-Townhouse'!$A:$R,AA$1,0),2)</f>
        <v>0.82</v>
      </c>
      <c r="AB76" s="3" t="str">
        <f>FIXED(VLOOKUP($A76,'Small Sample 2-Townhouse'!$A:$R,AB$1,0),2)</f>
        <v>0.20</v>
      </c>
      <c r="AC76" s="3" t="str">
        <f>FIXED(VLOOKUP($A76,'Small Sample 2-Townhouse'!$A:$R,AC$1,0),2)</f>
        <v>0.07</v>
      </c>
      <c r="AD76" s="3" t="str">
        <f>FIXED(VLOOKUP($A76,'Small Sample 2-Townhouse'!$A:$R,AD$1,0),2)</f>
        <v>1.00</v>
      </c>
      <c r="AE76" s="9" t="str">
        <f>FIXED(VLOOKUP($A76,'Small Sample 2-Townhouse'!$A:$R,AE$1,0),2)</f>
        <v>0.19</v>
      </c>
      <c r="AF76" s="3" t="str">
        <f>FIXED(VLOOKUP($A76,'Small Sample 2-Townhouse'!$A:$R,AF$1,0),2)</f>
        <v>0.21</v>
      </c>
      <c r="AG76" s="3" t="str">
        <f>FIXED(VLOOKUP($A76,'Small Sample 2-Townhouse'!$A:$R,AG$1,0),2)</f>
        <v>0.00</v>
      </c>
      <c r="AH76" s="13" t="str">
        <f>FIXED(VLOOKUP($A76,'Small Sample 2-Townhouse'!$A:$R,AH$1,0),2)</f>
        <v>0.93</v>
      </c>
      <c r="AI76" s="9" t="str">
        <f>FIXED(VLOOKUP($A76,'Small Sample 2-Townhouse'!$A:$R,AI$1,0),2)</f>
        <v>0.82</v>
      </c>
      <c r="AJ76" s="3" t="str">
        <f>FIXED(VLOOKUP($A76,'Small Sample 2-Townhouse'!$A:$R,AJ$1,0),2)</f>
        <v>0.19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Sample-Townhouse'!$A:$R,C$1,0),2)</f>
        <v>0.18</v>
      </c>
      <c r="D77" s="3" t="str">
        <f>FIXED(VLOOKUP($A77,'Full Sample-Townhouse'!$A:$R,D$1,0),2)</f>
        <v>0.20</v>
      </c>
      <c r="E77" s="3" t="str">
        <f>FIXED(VLOOKUP($A77,'Full Sample-Townhouse'!$A:$R,E$1,0),2)</f>
        <v>0.00</v>
      </c>
      <c r="F77" s="3" t="str">
        <f>FIXED(VLOOKUP($A77,'Full Sample-Townhouse'!$A:$R,F$1,0),2)</f>
        <v>0.93</v>
      </c>
      <c r="G77" s="9" t="str">
        <f>FIXED(VLOOKUP($A77,'Full Sample-Townhouse'!$A:$R,G$1,0),2)</f>
        <v>0.18</v>
      </c>
      <c r="H77" s="3" t="str">
        <f>FIXED(VLOOKUP($A77,'Full Sample-Townhouse'!$A:$R,H$1,0),2)</f>
        <v>0.21</v>
      </c>
      <c r="I77" s="3" t="str">
        <f>FIXED(VLOOKUP($A77,'Full Sample-Townhouse'!$A:$R,I$1,0),2)</f>
        <v>0.00</v>
      </c>
      <c r="J77" s="13" t="str">
        <f>FIXED(VLOOKUP($A77,'Full Sample-Townhouse'!$A:$R,J$1,0),2)</f>
        <v>0.93</v>
      </c>
      <c r="K77" s="9" t="str">
        <f>FIXED(VLOOKUP($A77,'Full Sample-Townhouse'!$A:$R,K$1,0),2)</f>
        <v>0.17</v>
      </c>
      <c r="L77" s="3" t="str">
        <f>FIXED(VLOOKUP($A77,'Full Sample-Townhouse'!$A:$R,L$1,0),2)</f>
        <v>0.19</v>
      </c>
      <c r="M77" s="3" t="str">
        <f>FIXED(VLOOKUP($A77,'Full Sample-No Sub'!$A:$R,M$1,0),2)</f>
        <v>0.00</v>
      </c>
      <c r="N77" s="13" t="str">
        <f>FIXED(VLOOKUP($A77,'Full Sample-No Sub'!$A:$R,N$1,0),2)</f>
        <v>0.93</v>
      </c>
      <c r="O77" s="9" t="str">
        <f>FIXED(VLOOKUP($A77,'Small Sample 1-Townhouse'!$A:$R,O$1,0),2)</f>
        <v>0.18</v>
      </c>
      <c r="P77" s="3" t="str">
        <f>FIXED(VLOOKUP($A77,'Small Sample 1-Townhouse'!$A:$R,P$1,0),2)</f>
        <v>0.20</v>
      </c>
      <c r="Q77" s="3" t="str">
        <f>FIXED(VLOOKUP($A77,'Small Sample 1-Townhouse'!$A:$R,Q$1,0),2)</f>
        <v>0.00</v>
      </c>
      <c r="R77" s="3" t="str">
        <f>FIXED(VLOOKUP($A77,'Small Sample 1-Townhouse'!$A:$R,R$1,0),2)</f>
        <v>0.93</v>
      </c>
      <c r="S77" s="9" t="str">
        <f>FIXED(VLOOKUP($A77,'Small Sample 1-Townhouse'!$A:$R,S$1,0),2)</f>
        <v>0.52</v>
      </c>
      <c r="T77" s="3" t="str">
        <f>FIXED(VLOOKUP($A77,'Small Sample 1-Townhouse'!$A:$R,T$1,0),2)</f>
        <v>0.19</v>
      </c>
      <c r="U77" s="3" t="str">
        <f>FIXED(VLOOKUP($A77,'Small Sample 1-Townhouse'!$A:$R,U$1,0),2)</f>
        <v>0.00</v>
      </c>
      <c r="V77" s="13" t="str">
        <f>FIXED(VLOOKUP($A77,'Small Sample 1-Townhouse'!$A:$R,V$1,0),2)</f>
        <v>1.00</v>
      </c>
      <c r="W77" s="9" t="str">
        <f>FIXED(VLOOKUP($A77,'Small Sample 1-Townhouse'!$A:$R,W$1,0),2)</f>
        <v>0.17</v>
      </c>
      <c r="X77" s="3" t="str">
        <f>FIXED(VLOOKUP($A77,'Small Sample 1-Townhouse'!$A:$R,X$1,0),2)</f>
        <v>0.19</v>
      </c>
      <c r="Y77" s="3" t="str">
        <f>FIXED(VLOOKUP($A77,'Small Sample 1-No Sub'!$A:$R,Y$1,0),2)</f>
        <v>0.00</v>
      </c>
      <c r="Z77" s="3" t="str">
        <f>FIXED(VLOOKUP($A77,'Small Sample 1-No Sub'!$A:$R,Z$1,0),2)</f>
        <v>0.93</v>
      </c>
      <c r="AA77" s="9" t="str">
        <f>FIXED(VLOOKUP($A77,'Small Sample 2-Townhouse'!$A:$R,AA$1,0),2)</f>
        <v>0.18</v>
      </c>
      <c r="AB77" s="3" t="str">
        <f>FIXED(VLOOKUP($A77,'Small Sample 2-Townhouse'!$A:$R,AB$1,0),2)</f>
        <v>0.20</v>
      </c>
      <c r="AC77" s="3" t="str">
        <f>FIXED(VLOOKUP($A77,'Small Sample 2-Townhouse'!$A:$R,AC$1,0),2)</f>
        <v>0.00</v>
      </c>
      <c r="AD77" s="3" t="str">
        <f>FIXED(VLOOKUP($A77,'Small Sample 2-Townhouse'!$A:$R,AD$1,0),2)</f>
        <v>0.93</v>
      </c>
      <c r="AE77" s="9" t="str">
        <f>FIXED(VLOOKUP($A77,'Small Sample 2-Townhouse'!$A:$R,AE$1,0),2)</f>
        <v>0.53</v>
      </c>
      <c r="AF77" s="3" t="str">
        <f>FIXED(VLOOKUP($A77,'Small Sample 2-Townhouse'!$A:$R,AF$1,0),2)</f>
        <v>0.19</v>
      </c>
      <c r="AG77" s="3" t="str">
        <f>FIXED(VLOOKUP($A77,'Small Sample 2-Townhouse'!$A:$R,AG$1,0),2)</f>
        <v>0.00</v>
      </c>
      <c r="AH77" s="13" t="str">
        <f>FIXED(VLOOKUP($A77,'Small Sample 2-Townhouse'!$A:$R,AH$1,0),2)</f>
        <v>1.00</v>
      </c>
      <c r="AI77" s="9" t="str">
        <f>FIXED(VLOOKUP($A77,'Small Sample 2-Townhouse'!$A:$R,AI$1,0),2)</f>
        <v>0.18</v>
      </c>
      <c r="AJ77" s="3" t="str">
        <f>FIXED(VLOOKUP($A77,'Small Sample 2-Townhouse'!$A:$R,AJ$1,0),2)</f>
        <v>0.19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Sample-Townhouse'!$A:$R,C$1,0),2)</f>
        <v>0.55</v>
      </c>
      <c r="D78" s="3" t="str">
        <f>FIXED(VLOOKUP($A78,'Full Sample-Townhouse'!$A:$R,D$1,0),2)</f>
        <v>0.19</v>
      </c>
      <c r="E78" s="3" t="str">
        <f>FIXED(VLOOKUP($A78,'Full Sample-Townhouse'!$A:$R,E$1,0),2)</f>
        <v>0.00</v>
      </c>
      <c r="F78" s="3" t="str">
        <f>FIXED(VLOOKUP($A78,'Full Sample-Townhouse'!$A:$R,F$1,0),2)</f>
        <v>1.00</v>
      </c>
      <c r="G78" s="9" t="str">
        <f>FIXED(VLOOKUP($A78,'Full Sample-Townhouse'!$A:$R,G$1,0),2)</f>
        <v>0.53</v>
      </c>
      <c r="H78" s="3" t="str">
        <f>FIXED(VLOOKUP($A78,'Full Sample-Townhouse'!$A:$R,H$1,0),2)</f>
        <v>0.19</v>
      </c>
      <c r="I78" s="3" t="str">
        <f>FIXED(VLOOKUP($A78,'Full Sample-Townhouse'!$A:$R,I$1,0),2)</f>
        <v>0.00</v>
      </c>
      <c r="J78" s="13" t="str">
        <f>FIXED(VLOOKUP($A78,'Full Sample-Townhouse'!$A:$R,J$1,0),2)</f>
        <v>1.00</v>
      </c>
      <c r="K78" s="9" t="str">
        <f>FIXED(VLOOKUP($A78,'Full Sample-Townhouse'!$A:$R,K$1,0),2)</f>
        <v>0.57</v>
      </c>
      <c r="L78" s="3" t="str">
        <f>FIXED(VLOOKUP($A78,'Full Sample-Townhouse'!$A:$R,L$1,0),2)</f>
        <v>0.20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1-Townhouse'!$A:$R,O$1,0),2)</f>
        <v>0.55</v>
      </c>
      <c r="P78" s="3" t="str">
        <f>FIXED(VLOOKUP($A78,'Small Sample 1-Townhouse'!$A:$R,P$1,0),2)</f>
        <v>0.19</v>
      </c>
      <c r="Q78" s="3" t="str">
        <f>FIXED(VLOOKUP($A78,'Small Sample 1-Townhouse'!$A:$R,Q$1,0),2)</f>
        <v>0.00</v>
      </c>
      <c r="R78" s="3" t="str">
        <f>FIXED(VLOOKUP($A78,'Small Sample 1-Townhouse'!$A:$R,R$1,0),2)</f>
        <v>1.00</v>
      </c>
      <c r="S78" s="9" t="str">
        <f>FIXED(VLOOKUP($A78,'Small Sample 1-Townhouse'!$A:$R,S$1,0),2)</f>
        <v>0.48</v>
      </c>
      <c r="T78" s="3" t="str">
        <f>FIXED(VLOOKUP($A78,'Small Sample 1-Townhouse'!$A:$R,T$1,0),2)</f>
        <v>0.19</v>
      </c>
      <c r="U78" s="3" t="str">
        <f>FIXED(VLOOKUP($A78,'Small Sample 1-Townhouse'!$A:$R,U$1,0),2)</f>
        <v>0.00</v>
      </c>
      <c r="V78" s="13" t="str">
        <f>FIXED(VLOOKUP($A78,'Small Sample 1-Townhouse'!$A:$R,V$1,0),2)</f>
        <v>1.00</v>
      </c>
      <c r="W78" s="9" t="str">
        <f>FIXED(VLOOKUP($A78,'Small Sample 1-Townhouse'!$A:$R,W$1,0),2)</f>
        <v>0.57</v>
      </c>
      <c r="X78" s="3" t="str">
        <f>FIXED(VLOOKUP($A78,'Small Sample 1-Townhouse'!$A:$R,X$1,0),2)</f>
        <v>0.20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2-Townhouse'!$A:$R,AA$1,0),2)</f>
        <v>0.54</v>
      </c>
      <c r="AB78" s="3" t="str">
        <f>FIXED(VLOOKUP($A78,'Small Sample 2-Townhouse'!$A:$R,AB$1,0),2)</f>
        <v>0.19</v>
      </c>
      <c r="AC78" s="3" t="str">
        <f>FIXED(VLOOKUP($A78,'Small Sample 2-Townhouse'!$A:$R,AC$1,0),2)</f>
        <v>0.00</v>
      </c>
      <c r="AD78" s="3" t="str">
        <f>FIXED(VLOOKUP($A78,'Small Sample 2-Townhouse'!$A:$R,AD$1,0),2)</f>
        <v>1.00</v>
      </c>
      <c r="AE78" s="9" t="str">
        <f>FIXED(VLOOKUP($A78,'Small Sample 2-Townhouse'!$A:$R,AE$1,0),2)</f>
        <v>0.47</v>
      </c>
      <c r="AF78" s="3" t="str">
        <f>FIXED(VLOOKUP($A78,'Small Sample 2-Townhouse'!$A:$R,AF$1,0),2)</f>
        <v>0.19</v>
      </c>
      <c r="AG78" s="3" t="str">
        <f>FIXED(VLOOKUP($A78,'Small Sample 2-Townhouse'!$A:$R,AG$1,0),2)</f>
        <v>0.00</v>
      </c>
      <c r="AH78" s="13" t="str">
        <f>FIXED(VLOOKUP($A78,'Small Sample 2-Townhouse'!$A:$R,AH$1,0),2)</f>
        <v>1.00</v>
      </c>
      <c r="AI78" s="9" t="str">
        <f>FIXED(VLOOKUP($A78,'Small Sample 2-Townhouse'!$A:$R,AI$1,0),2)</f>
        <v>0.56</v>
      </c>
      <c r="AJ78" s="3" t="str">
        <f>FIXED(VLOOKUP($A78,'Small Sample 2-Townhouse'!$A:$R,AJ$1,0),2)</f>
        <v>0.20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Sample-Townhouse'!$A:$R,C$1,0),2)</f>
        <v>0.45</v>
      </c>
      <c r="D79" s="3" t="str">
        <f>FIXED(VLOOKUP($A79,'Full Sample-Townhouse'!$A:$R,D$1,0),2)</f>
        <v>0.19</v>
      </c>
      <c r="E79" s="3" t="str">
        <f>FIXED(VLOOKUP($A79,'Full Sample-Townhouse'!$A:$R,E$1,0),2)</f>
        <v>0.00</v>
      </c>
      <c r="F79" s="3" t="str">
        <f>FIXED(VLOOKUP($A79,'Full Sample-Townhouse'!$A:$R,F$1,0),2)</f>
        <v>1.00</v>
      </c>
      <c r="G79" s="9" t="str">
        <f>FIXED(VLOOKUP($A79,'Full Sample-Townhouse'!$A:$R,G$1,0),2)</f>
        <v>0.47</v>
      </c>
      <c r="H79" s="3" t="str">
        <f>FIXED(VLOOKUP($A79,'Full Sample-Townhouse'!$A:$R,H$1,0),2)</f>
        <v>0.19</v>
      </c>
      <c r="I79" s="3" t="str">
        <f>FIXED(VLOOKUP($A79,'Full Sample-Townhouse'!$A:$R,I$1,0),2)</f>
        <v>0.00</v>
      </c>
      <c r="J79" s="13" t="str">
        <f>FIXED(VLOOKUP($A79,'Full Sample-Townhouse'!$A:$R,J$1,0),2)</f>
        <v>1.00</v>
      </c>
      <c r="K79" s="9" t="str">
        <f>FIXED(VLOOKUP($A79,'Full Sample-Townhouse'!$A:$R,K$1,0),2)</f>
        <v>0.43</v>
      </c>
      <c r="L79" s="3" t="str">
        <f>FIXED(VLOOKUP($A79,'Full Sample-Townhouse'!$A:$R,L$1,0),2)</f>
        <v>0.20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1-Townhouse'!$A:$R,O$1,0),2)</f>
        <v>0.45</v>
      </c>
      <c r="P79" s="3" t="str">
        <f>FIXED(VLOOKUP($A79,'Small Sample 1-Townhouse'!$A:$R,P$1,0),2)</f>
        <v>0.19</v>
      </c>
      <c r="Q79" s="3" t="str">
        <f>FIXED(VLOOKUP($A79,'Small Sample 1-Townhouse'!$A:$R,Q$1,0),2)</f>
        <v>0.00</v>
      </c>
      <c r="R79" s="3" t="str">
        <f>FIXED(VLOOKUP($A79,'Small Sample 1-Townhouse'!$A:$R,R$1,0),2)</f>
        <v>1.00</v>
      </c>
      <c r="S79" s="9" t="str">
        <f>FIXED(VLOOKUP($A79,'Small Sample 1-Townhouse'!$A:$R,S$1,0),2)</f>
        <v>10.44</v>
      </c>
      <c r="T79" s="3" t="str">
        <f>FIXED(VLOOKUP($A79,'Small Sample 1-Townhouse'!$A:$R,T$1,0),2)</f>
        <v>38.46</v>
      </c>
      <c r="U79" s="3" t="str">
        <f>FIXED(VLOOKUP($A79,'Small Sample 1-Townhouse'!$A:$R,U$1,0),2)</f>
        <v>0.00</v>
      </c>
      <c r="V79" s="13" t="str">
        <f>FIXED(VLOOKUP($A79,'Small Sample 1-Townhouse'!$A:$R,V$1,0),2)</f>
        <v>631.00</v>
      </c>
      <c r="W79" s="9" t="str">
        <f>FIXED(VLOOKUP($A79,'Small Sample 1-Townhouse'!$A:$R,W$1,0),2)</f>
        <v>0.43</v>
      </c>
      <c r="X79" s="3" t="str">
        <f>FIXED(VLOOKUP($A79,'Small Sample 1-Townhouse'!$A:$R,X$1,0),2)</f>
        <v>0.20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2-Townhouse'!$A:$R,AA$1,0),2)</f>
        <v>0.46</v>
      </c>
      <c r="AB79" s="3" t="str">
        <f>FIXED(VLOOKUP($A79,'Small Sample 2-Townhouse'!$A:$R,AB$1,0),2)</f>
        <v>0.19</v>
      </c>
      <c r="AC79" s="3" t="str">
        <f>FIXED(VLOOKUP($A79,'Small Sample 2-Townhouse'!$A:$R,AC$1,0),2)</f>
        <v>0.00</v>
      </c>
      <c r="AD79" s="3" t="str">
        <f>FIXED(VLOOKUP($A79,'Small Sample 2-Townhouse'!$A:$R,AD$1,0),2)</f>
        <v>1.00</v>
      </c>
      <c r="AE79" s="9" t="str">
        <f>FIXED(VLOOKUP($A79,'Small Sample 2-Townhouse'!$A:$R,AE$1,0),2)</f>
        <v>11.46</v>
      </c>
      <c r="AF79" s="3" t="str">
        <f>FIXED(VLOOKUP($A79,'Small Sample 2-Townhouse'!$A:$R,AF$1,0),2)</f>
        <v>39.08</v>
      </c>
      <c r="AG79" s="3" t="str">
        <f>FIXED(VLOOKUP($A79,'Small Sample 2-Townhouse'!$A:$R,AG$1,0),2)</f>
        <v>0.00</v>
      </c>
      <c r="AH79" s="13" t="str">
        <f>FIXED(VLOOKUP($A79,'Small Sample 2-Townhouse'!$A:$R,AH$1,0),2)</f>
        <v>651.00</v>
      </c>
      <c r="AI79" s="9" t="str">
        <f>FIXED(VLOOKUP($A79,'Small Sample 2-Townhouse'!$A:$R,AI$1,0),2)</f>
        <v>0.44</v>
      </c>
      <c r="AJ79" s="3" t="str">
        <f>FIXED(VLOOKUP($A79,'Small Sample 2-Townhouse'!$A:$R,AJ$1,0),2)</f>
        <v>0.20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36">
        <f>'Full Sample-Townhouse'!B3</f>
        <v>27429</v>
      </c>
      <c r="D81" s="37"/>
      <c r="E81" s="37"/>
      <c r="F81" s="37"/>
      <c r="G81" s="36">
        <f>'Full Sample-Townhouse'!H3</f>
        <v>15783</v>
      </c>
      <c r="H81" s="37"/>
      <c r="I81" s="37"/>
      <c r="J81" s="38"/>
      <c r="K81" s="36">
        <f>'Full Sample-Townhouse'!N3</f>
        <v>11646</v>
      </c>
      <c r="L81" s="37"/>
      <c r="M81" s="37"/>
      <c r="N81" s="38"/>
      <c r="O81" s="36">
        <f>'Small Sample 1-Townhouse'!B3</f>
        <v>23359</v>
      </c>
      <c r="P81" s="37"/>
      <c r="Q81" s="37"/>
      <c r="R81" s="37"/>
      <c r="S81" s="36">
        <f>'Small Sample 1-Townhouse'!H3</f>
        <v>12089</v>
      </c>
      <c r="T81" s="37"/>
      <c r="U81" s="37"/>
      <c r="V81" s="38"/>
      <c r="W81" s="36">
        <f>'Small Sample 1-Townhouse'!N3</f>
        <v>11270</v>
      </c>
      <c r="X81" s="37"/>
      <c r="Y81" s="37"/>
      <c r="Z81" s="37"/>
      <c r="AA81" s="36">
        <f>'Small Sample 2-Townhouse'!B3</f>
        <v>23359</v>
      </c>
      <c r="AB81" s="37"/>
      <c r="AC81" s="37"/>
      <c r="AD81" s="37"/>
      <c r="AE81" s="36">
        <f>'Small Sample 2-Townhouse'!H3</f>
        <v>14694</v>
      </c>
      <c r="AF81" s="37"/>
      <c r="AG81" s="37"/>
      <c r="AH81" s="38"/>
      <c r="AI81" s="36">
        <f>'Small Sample 2-Townhouse'!N3</f>
        <v>8665</v>
      </c>
      <c r="AJ81" s="37"/>
      <c r="AK81" s="37"/>
      <c r="AL81" s="37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Sample-Townhouse'!$A:$R,C$1,0),2)</f>
        <v>26.52</v>
      </c>
      <c r="D85" s="3" t="str">
        <f>FIXED(VLOOKUP($A85,'Full Sample-Townhouse'!$A:$R,D$1,0),2)</f>
        <v>96.87</v>
      </c>
      <c r="E85" s="3" t="str">
        <f>FIXED(VLOOKUP($A85,'Full Sample-Townhouse'!$A:$R,E$1,0),2)</f>
        <v>0.00</v>
      </c>
      <c r="F85" s="3" t="str">
        <f>FIXED(VLOOKUP($A85,'Full Sample-Townhouse'!$A:$R,F$1,0),2)</f>
        <v>1,380.00</v>
      </c>
      <c r="G85" s="3" t="str">
        <f>FIXED(VLOOKUP($A85,'Full Sample-Townhouse'!$A:$R,G$1,0),2)</f>
        <v>22.52</v>
      </c>
      <c r="H85" s="3" t="str">
        <f>FIXED(VLOOKUP($A85,'Full Sample-Townhouse'!$A:$R,H$1,0),2)</f>
        <v>89.21</v>
      </c>
      <c r="I85" s="3" t="str">
        <f>FIXED(VLOOKUP($A85,'Full Sample-Townhouse'!$A:$R,I$1,0),2)</f>
        <v>0.00</v>
      </c>
      <c r="J85" s="3" t="str">
        <f>FIXED(VLOOKUP($A85,'Full Sample-Townhouse'!$A:$R,J$1,0),2)</f>
        <v>942.00</v>
      </c>
      <c r="K85" s="3" t="str">
        <f>FIXED(VLOOKUP($A85,'Full Sample-Townhouse'!$A:$R,K$1,0),2)</f>
        <v>31.94</v>
      </c>
      <c r="L85" s="3" t="str">
        <f>FIXED(VLOOKUP($A85,'Full Sample-Townhouse'!$A:$R,L$1,0),2)</f>
        <v>106.13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1-Townhouse'!$A:$R,O$1,0),2)</f>
        <v>25.16</v>
      </c>
      <c r="P85" s="3" t="str">
        <f>FIXED(VLOOKUP($A85,'Small Sample 1-Townhouse'!$A:$R,P$1,0),2)</f>
        <v>94.55</v>
      </c>
      <c r="Q85" s="3" t="str">
        <f>FIXED(VLOOKUP($A85,'Small Sample 1-Townhouse'!$A:$R,Q$1,0),2)</f>
        <v>0.00</v>
      </c>
      <c r="R85" s="3" t="str">
        <f>FIXED(VLOOKUP($A85,'Small Sample 1-Townhouse'!$A:$R,R$1,0),2)</f>
        <v>1,380.00</v>
      </c>
      <c r="S85" s="3" t="str">
        <f>FIXED(VLOOKUP($A85,'Small Sample 1-Townhouse'!$A:$R,S$1,0),2)</f>
        <v>680,429.40</v>
      </c>
      <c r="T85" s="3" t="str">
        <f>FIXED(VLOOKUP($A85,'Small Sample 1-Townhouse'!$A:$R,T$1,0),2)</f>
        <v>655,026.20</v>
      </c>
      <c r="U85" s="3" t="str">
        <f>FIXED(VLOOKUP($A85,'Small Sample 1-Townhouse'!$A:$R,U$1,0),2)</f>
        <v>99,684.44</v>
      </c>
      <c r="V85" s="3" t="str">
        <f>FIXED(VLOOKUP($A85,'Small Sample 1-Townhouse'!$A:$R,V$1,0),2)</f>
        <v>28,197,546.00</v>
      </c>
      <c r="W85" s="3" t="str">
        <f>FIXED(VLOOKUP($A85,'Small Sample 1-Townhouse'!$A:$R,W$1,0),2)</f>
        <v>31.17</v>
      </c>
      <c r="X85" s="3" t="str">
        <f>FIXED(VLOOKUP($A85,'Small Sample 1-Townhouse'!$A:$R,X$1,0),2)</f>
        <v>104.91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2-Townhouse'!$A:$R,AA$1,0),2)</f>
        <v>22.06</v>
      </c>
      <c r="AB85" s="3" t="str">
        <f>FIXED(VLOOKUP($A85,'Small Sample 2-Townhouse'!$A:$R,AB$1,0),2)</f>
        <v>88.49</v>
      </c>
      <c r="AC85" s="3" t="str">
        <f>FIXED(VLOOKUP($A85,'Small Sample 2-Townhouse'!$A:$R,AC$1,0),2)</f>
        <v>0.00</v>
      </c>
      <c r="AD85" s="3" t="str">
        <f>FIXED(VLOOKUP($A85,'Small Sample 2-Townhouse'!$A:$R,AD$1,0),2)</f>
        <v>1,042.00</v>
      </c>
      <c r="AE85" s="3" t="str">
        <f>FIXED(VLOOKUP($A85,'Small Sample 2-Townhouse'!$A:$R,AE$1,0),2)</f>
        <v>669,139.80</v>
      </c>
      <c r="AF85" s="3" t="str">
        <f>FIXED(VLOOKUP($A85,'Small Sample 2-Townhouse'!$A:$R,AF$1,0),2)</f>
        <v>626,922.80</v>
      </c>
      <c r="AG85" s="3" t="str">
        <f>FIXED(VLOOKUP($A85,'Small Sample 2-Townhouse'!$A:$R,AG$1,0),2)</f>
        <v>99,684.44</v>
      </c>
      <c r="AH85" s="3" t="str">
        <f>FIXED(VLOOKUP($A85,'Small Sample 2-Townhouse'!$A:$R,AH$1,0),2)</f>
        <v>28,197,546.00</v>
      </c>
      <c r="AI85" s="3" t="str">
        <f>FIXED(VLOOKUP($A85,'Small Sample 2-Townhouse'!$A:$R,AI$1,0),2)</f>
        <v>25.23</v>
      </c>
      <c r="AJ85" s="3" t="str">
        <f>FIXED(VLOOKUP($A85,'Small Sample 2-Townhouse'!$A:$R,AJ$1,0),2)</f>
        <v>94.83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Sample-Townhouse'!$A:$R,C$1,0),2)</f>
        <v>0.00</v>
      </c>
      <c r="D86" s="3" t="str">
        <f>FIXED(VLOOKUP($A86,'Full Sample-Townhouse'!$A:$R,D$1,0),2)</f>
        <v>0.04</v>
      </c>
      <c r="E86" s="3" t="str">
        <f>FIXED(VLOOKUP($A86,'Full Sample-Townhouse'!$A:$R,E$1,0),2)</f>
        <v>0.00</v>
      </c>
      <c r="F86" s="3" t="str">
        <f>FIXED(VLOOKUP($A86,'Full Sample-Townhouse'!$A:$R,F$1,0),2)</f>
        <v>1.00</v>
      </c>
      <c r="G86" s="3" t="str">
        <f>FIXED(VLOOKUP($A86,'Full Sample-Townhouse'!$A:$R,G$1,0),2)</f>
        <v>0.00</v>
      </c>
      <c r="H86" s="3" t="str">
        <f>FIXED(VLOOKUP($A86,'Full Sample-Townhouse'!$A:$R,H$1,0),2)</f>
        <v>0.04</v>
      </c>
      <c r="I86" s="3" t="str">
        <f>FIXED(VLOOKUP($A86,'Full Sample-Townhouse'!$A:$R,I$1,0),2)</f>
        <v>0.00</v>
      </c>
      <c r="J86" s="3" t="str">
        <f>FIXED(VLOOKUP($A86,'Full Sample-Townhouse'!$A:$R,J$1,0),2)</f>
        <v>1.00</v>
      </c>
      <c r="K86" s="3" t="str">
        <f>FIXED(VLOOKUP($A86,'Full Sample-Townhouse'!$A:$R,K$1,0),2)</f>
        <v>0.00</v>
      </c>
      <c r="L86" s="3" t="str">
        <f>FIXED(VLOOKUP($A86,'Full Sample-Townhouse'!$A:$R,L$1,0),2)</f>
        <v>0.04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1-Townhouse'!$A:$R,O$1,0),2)</f>
        <v>0.00</v>
      </c>
      <c r="P86" s="3" t="str">
        <f>FIXED(VLOOKUP($A86,'Small Sample 1-Townhouse'!$A:$R,P$1,0),2)</f>
        <v>0.03</v>
      </c>
      <c r="Q86" s="3" t="str">
        <f>FIXED(VLOOKUP($A86,'Small Sample 1-Townhouse'!$A:$R,Q$1,0),2)</f>
        <v>0.00</v>
      </c>
      <c r="R86" s="3" t="str">
        <f>FIXED(VLOOKUP($A86,'Small Sample 1-Townhouse'!$A:$R,R$1,0),2)</f>
        <v>1.00</v>
      </c>
      <c r="S86" s="3" t="str">
        <f>FIXED(VLOOKUP($A86,'Small Sample 1-Townhouse'!$A:$R,S$1,0),2)</f>
        <v>34.79</v>
      </c>
      <c r="T86" s="3" t="str">
        <f>FIXED(VLOOKUP($A86,'Small Sample 1-Townhouse'!$A:$R,T$1,0),2)</f>
        <v>15.67</v>
      </c>
      <c r="U86" s="3" t="str">
        <f>FIXED(VLOOKUP($A86,'Small Sample 1-Townhouse'!$A:$R,U$1,0),2)</f>
        <v>0.00</v>
      </c>
      <c r="V86" s="3" t="str">
        <f>FIXED(VLOOKUP($A86,'Small Sample 1-Townhouse'!$A:$R,V$1,0),2)</f>
        <v>90.00</v>
      </c>
      <c r="W86" s="3" t="str">
        <f>FIXED(VLOOKUP($A86,'Small Sample 1-Townhouse'!$A:$R,W$1,0),2)</f>
        <v>0.00</v>
      </c>
      <c r="X86" s="3" t="str">
        <f>FIXED(VLOOKUP($A86,'Small Sample 1-Townhouse'!$A:$R,X$1,0),2)</f>
        <v>0.04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2-Townhouse'!$A:$R,AA$1,0),2)</f>
        <v>0.00</v>
      </c>
      <c r="AB86" s="3" t="str">
        <f>FIXED(VLOOKUP($A86,'Small Sample 2-Townhouse'!$A:$R,AB$1,0),2)</f>
        <v>0.02</v>
      </c>
      <c r="AC86" s="3" t="str">
        <f>FIXED(VLOOKUP($A86,'Small Sample 2-Townhouse'!$A:$R,AC$1,0),2)</f>
        <v>0.00</v>
      </c>
      <c r="AD86" s="3" t="str">
        <f>FIXED(VLOOKUP($A86,'Small Sample 2-Townhouse'!$A:$R,AD$1,0),2)</f>
        <v>1.00</v>
      </c>
      <c r="AE86" s="3" t="str">
        <f>FIXED(VLOOKUP($A86,'Small Sample 2-Townhouse'!$A:$R,AE$1,0),2)</f>
        <v>34.19</v>
      </c>
      <c r="AF86" s="3" t="str">
        <f>FIXED(VLOOKUP($A86,'Small Sample 2-Townhouse'!$A:$R,AF$1,0),2)</f>
        <v>15.68</v>
      </c>
      <c r="AG86" s="3" t="str">
        <f>FIXED(VLOOKUP($A86,'Small Sample 2-Townhouse'!$A:$R,AG$1,0),2)</f>
        <v>0.00</v>
      </c>
      <c r="AH86" s="3" t="str">
        <f>FIXED(VLOOKUP($A86,'Small Sample 2-Townhouse'!$A:$R,AH$1,0),2)</f>
        <v>90.00</v>
      </c>
      <c r="AI86" s="3" t="str">
        <f>FIXED(VLOOKUP($A86,'Small Sample 2-Townhouse'!$A:$R,AI$1,0),2)</f>
        <v>0.00</v>
      </c>
      <c r="AJ86" s="3" t="str">
        <f>FIXED(VLOOKUP($A86,'Small Sample 2-Townhouse'!$A:$R,AJ$1,0),2)</f>
        <v>0.01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Sample-Townhouse'!$A:$R,C$1,0),2)</f>
        <v>1.45</v>
      </c>
      <c r="D87" s="3" t="str">
        <f>FIXED(VLOOKUP($A87,'Full Sample-Townhouse'!$A:$R,D$1,0),2)</f>
        <v>4.04</v>
      </c>
      <c r="E87" s="3" t="str">
        <f>FIXED(VLOOKUP($A87,'Full Sample-Townhouse'!$A:$R,E$1,0),2)</f>
        <v>0.00</v>
      </c>
      <c r="F87" s="3" t="str">
        <f>FIXED(VLOOKUP($A87,'Full Sample-Townhouse'!$A:$R,F$1,0),2)</f>
        <v>57.00</v>
      </c>
      <c r="G87" s="3" t="str">
        <f>FIXED(VLOOKUP($A87,'Full Sample-Townhouse'!$A:$R,G$1,0),2)</f>
        <v>1.37</v>
      </c>
      <c r="H87" s="3" t="str">
        <f>FIXED(VLOOKUP($A87,'Full Sample-Townhouse'!$A:$R,H$1,0),2)</f>
        <v>3.88</v>
      </c>
      <c r="I87" s="3" t="str">
        <f>FIXED(VLOOKUP($A87,'Full Sample-Townhouse'!$A:$R,I$1,0),2)</f>
        <v>0.00</v>
      </c>
      <c r="J87" s="3" t="str">
        <f>FIXED(VLOOKUP($A87,'Full Sample-Townhouse'!$A:$R,J$1,0),2)</f>
        <v>57.00</v>
      </c>
      <c r="K87" s="3" t="str">
        <f>FIXED(VLOOKUP($A87,'Full Sample-Townhouse'!$A:$R,K$1,0),2)</f>
        <v>1.54</v>
      </c>
      <c r="L87" s="3" t="str">
        <f>FIXED(VLOOKUP($A87,'Full Sample-Townhouse'!$A:$R,L$1,0),2)</f>
        <v>4.26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1-Townhouse'!$A:$R,O$1,0),2)</f>
        <v>1.47</v>
      </c>
      <c r="P87" s="3" t="str">
        <f>FIXED(VLOOKUP($A87,'Small Sample 1-Townhouse'!$A:$R,P$1,0),2)</f>
        <v>4.05</v>
      </c>
      <c r="Q87" s="3" t="str">
        <f>FIXED(VLOOKUP($A87,'Small Sample 1-Townhouse'!$A:$R,Q$1,0),2)</f>
        <v>0.00</v>
      </c>
      <c r="R87" s="3" t="str">
        <f>FIXED(VLOOKUP($A87,'Small Sample 1-Townhouse'!$A:$R,R$1,0),2)</f>
        <v>57.00</v>
      </c>
      <c r="S87" s="3" t="str">
        <f>FIXED(VLOOKUP($A87,'Small Sample 1-Townhouse'!$A:$R,S$1,0),2)</f>
        <v>951.45</v>
      </c>
      <c r="T87" s="3" t="str">
        <f>FIXED(VLOOKUP($A87,'Small Sample 1-Townhouse'!$A:$R,T$1,0),2)</f>
        <v>437.58</v>
      </c>
      <c r="U87" s="3" t="str">
        <f>FIXED(VLOOKUP($A87,'Small Sample 1-Townhouse'!$A:$R,U$1,0),2)</f>
        <v>195.00</v>
      </c>
      <c r="V87" s="3" t="str">
        <f>FIXED(VLOOKUP($A87,'Small Sample 1-Townhouse'!$A:$R,V$1,0),2)</f>
        <v>7,582.00</v>
      </c>
      <c r="W87" s="3" t="str">
        <f>FIXED(VLOOKUP($A87,'Small Sample 1-Townhouse'!$A:$R,W$1,0),2)</f>
        <v>1.54</v>
      </c>
      <c r="X87" s="3" t="str">
        <f>FIXED(VLOOKUP($A87,'Small Sample 1-Townhouse'!$A:$R,X$1,0),2)</f>
        <v>4.25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2-Townhouse'!$A:$R,AA$1,0),2)</f>
        <v>1.44</v>
      </c>
      <c r="AB87" s="3" t="str">
        <f>FIXED(VLOOKUP($A87,'Small Sample 2-Townhouse'!$A:$R,AB$1,0),2)</f>
        <v>4.08</v>
      </c>
      <c r="AC87" s="3" t="str">
        <f>FIXED(VLOOKUP($A87,'Small Sample 2-Townhouse'!$A:$R,AC$1,0),2)</f>
        <v>0.00</v>
      </c>
      <c r="AD87" s="3" t="str">
        <f>FIXED(VLOOKUP($A87,'Small Sample 2-Townhouse'!$A:$R,AD$1,0),2)</f>
        <v>57.00</v>
      </c>
      <c r="AE87" s="3" t="str">
        <f>FIXED(VLOOKUP($A87,'Small Sample 2-Townhouse'!$A:$R,AE$1,0),2)</f>
        <v>962.24</v>
      </c>
      <c r="AF87" s="3" t="str">
        <f>FIXED(VLOOKUP($A87,'Small Sample 2-Townhouse'!$A:$R,AF$1,0),2)</f>
        <v>435.84</v>
      </c>
      <c r="AG87" s="3" t="str">
        <f>FIXED(VLOOKUP($A87,'Small Sample 2-Townhouse'!$A:$R,AG$1,0),2)</f>
        <v>195.00</v>
      </c>
      <c r="AH87" s="3" t="str">
        <f>FIXED(VLOOKUP($A87,'Small Sample 2-Townhouse'!$A:$R,AH$1,0),2)</f>
        <v>7,582.00</v>
      </c>
      <c r="AI87" s="3" t="str">
        <f>FIXED(VLOOKUP($A87,'Small Sample 2-Townhouse'!$A:$R,AI$1,0),2)</f>
        <v>1.52</v>
      </c>
      <c r="AJ87" s="3" t="str">
        <f>FIXED(VLOOKUP($A87,'Small Sample 2-Townhouse'!$A:$R,AJ$1,0),2)</f>
        <v>4.36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Sample-Townhouse'!$A:$R,C$1,0),2)</f>
        <v>4.97</v>
      </c>
      <c r="D88" s="3" t="str">
        <f>FIXED(VLOOKUP($A88,'Full Sample-Townhouse'!$A:$R,D$1,0),2)</f>
        <v>6.91</v>
      </c>
      <c r="E88" s="3" t="str">
        <f>FIXED(VLOOKUP($A88,'Full Sample-Townhouse'!$A:$R,E$1,0),2)</f>
        <v>0.01</v>
      </c>
      <c r="F88" s="3" t="str">
        <f>FIXED(VLOOKUP($A88,'Full Sample-Townhouse'!$A:$R,F$1,0),2)</f>
        <v>111.97</v>
      </c>
      <c r="G88" s="3" t="str">
        <f>FIXED(VLOOKUP($A88,'Full Sample-Townhouse'!$A:$R,G$1,0),2)</f>
        <v>4.95</v>
      </c>
      <c r="H88" s="3" t="str">
        <f>FIXED(VLOOKUP($A88,'Full Sample-Townhouse'!$A:$R,H$1,0),2)</f>
        <v>6.86</v>
      </c>
      <c r="I88" s="3" t="str">
        <f>FIXED(VLOOKUP($A88,'Full Sample-Townhouse'!$A:$R,I$1,0),2)</f>
        <v>0.01</v>
      </c>
      <c r="J88" s="3" t="str">
        <f>FIXED(VLOOKUP($A88,'Full Sample-Townhouse'!$A:$R,J$1,0),2)</f>
        <v>52.78</v>
      </c>
      <c r="K88" s="3" t="str">
        <f>FIXED(VLOOKUP($A88,'Full Sample-Townhouse'!$A:$R,K$1,0),2)</f>
        <v>4.99</v>
      </c>
      <c r="L88" s="3" t="str">
        <f>FIXED(VLOOKUP($A88,'Full Sample-Townhouse'!$A:$R,L$1,0),2)</f>
        <v>6.98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1-Townhouse'!$A:$R,O$1,0),2)</f>
        <v>4.79</v>
      </c>
      <c r="P88" s="3" t="str">
        <f>FIXED(VLOOKUP($A88,'Small Sample 1-Townhouse'!$A:$R,P$1,0),2)</f>
        <v>6.79</v>
      </c>
      <c r="Q88" s="3" t="str">
        <f>FIXED(VLOOKUP($A88,'Small Sample 1-Townhouse'!$A:$R,Q$1,0),2)</f>
        <v>0.01</v>
      </c>
      <c r="R88" s="3" t="str">
        <f>FIXED(VLOOKUP($A88,'Small Sample 1-Townhouse'!$A:$R,R$1,0),2)</f>
        <v>111.97</v>
      </c>
      <c r="S88" s="3" t="str">
        <f>FIXED(VLOOKUP($A88,'Small Sample 1-Townhouse'!$A:$R,S$1,0),2)</f>
        <v>1.70</v>
      </c>
      <c r="T88" s="3" t="str">
        <f>FIXED(VLOOKUP($A88,'Small Sample 1-Townhouse'!$A:$R,T$1,0),2)</f>
        <v>2.24</v>
      </c>
      <c r="U88" s="3" t="str">
        <f>FIXED(VLOOKUP($A88,'Small Sample 1-Townhouse'!$A:$R,U$1,0),2)</f>
        <v>0.00</v>
      </c>
      <c r="V88" s="3" t="str">
        <f>FIXED(VLOOKUP($A88,'Small Sample 1-Townhouse'!$A:$R,V$1,0),2)</f>
        <v>12.79</v>
      </c>
      <c r="W88" s="3" t="str">
        <f>FIXED(VLOOKUP($A88,'Small Sample 1-Townhouse'!$A:$R,W$1,0),2)</f>
        <v>4.95</v>
      </c>
      <c r="X88" s="3" t="str">
        <f>FIXED(VLOOKUP($A88,'Small Sample 1-Townhouse'!$A:$R,X$1,0),2)</f>
        <v>6.96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2-Townhouse'!$A:$R,AA$1,0),2)</f>
        <v>4.79</v>
      </c>
      <c r="AB88" s="3" t="str">
        <f>FIXED(VLOOKUP($A88,'Small Sample 2-Townhouse'!$A:$R,AB$1,0),2)</f>
        <v>6.79</v>
      </c>
      <c r="AC88" s="3" t="str">
        <f>FIXED(VLOOKUP($A88,'Small Sample 2-Townhouse'!$A:$R,AC$1,0),2)</f>
        <v>0.01</v>
      </c>
      <c r="AD88" s="3" t="str">
        <f>FIXED(VLOOKUP($A88,'Small Sample 2-Townhouse'!$A:$R,AD$1,0),2)</f>
        <v>111.97</v>
      </c>
      <c r="AE88" s="3" t="str">
        <f>FIXED(VLOOKUP($A88,'Small Sample 2-Townhouse'!$A:$R,AE$1,0),2)</f>
        <v>1.79</v>
      </c>
      <c r="AF88" s="3" t="str">
        <f>FIXED(VLOOKUP($A88,'Small Sample 2-Townhouse'!$A:$R,AF$1,0),2)</f>
        <v>2.31</v>
      </c>
      <c r="AG88" s="3" t="str">
        <f>FIXED(VLOOKUP($A88,'Small Sample 2-Townhouse'!$A:$R,AG$1,0),2)</f>
        <v>0.00</v>
      </c>
      <c r="AH88" s="3" t="str">
        <f>FIXED(VLOOKUP($A88,'Small Sample 2-Townhouse'!$A:$R,AH$1,0),2)</f>
        <v>12.79</v>
      </c>
      <c r="AI88" s="3" t="str">
        <f>FIXED(VLOOKUP($A88,'Small Sample 2-Townhouse'!$A:$R,AI$1,0),2)</f>
        <v>4.66</v>
      </c>
      <c r="AJ88" s="3" t="str">
        <f>FIXED(VLOOKUP($A88,'Small Sample 2-Townhouse'!$A:$R,AJ$1,0),2)</f>
        <v>6.75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Sample-Townhouse'!$A:$R,C$1,0),2)</f>
        <v>311.57</v>
      </c>
      <c r="D89" s="3" t="str">
        <f>FIXED(VLOOKUP($A89,'Full Sample-Townhouse'!$A:$R,D$1,0),2)</f>
        <v>571.60</v>
      </c>
      <c r="E89" s="3" t="str">
        <f>FIXED(VLOOKUP($A89,'Full Sample-Townhouse'!$A:$R,E$1,0),2)</f>
        <v>0.00</v>
      </c>
      <c r="F89" s="3" t="str">
        <f>FIXED(VLOOKUP($A89,'Full Sample-Townhouse'!$A:$R,F$1,0),2)</f>
        <v>4,021.00</v>
      </c>
      <c r="G89" s="3" t="str">
        <f>FIXED(VLOOKUP($A89,'Full Sample-Townhouse'!$A:$R,G$1,0),2)</f>
        <v>0.00</v>
      </c>
      <c r="H89" s="3" t="str">
        <f>FIXED(VLOOKUP($A89,'Full Sample-Townhouse'!$A:$R,H$1,0),2)</f>
        <v>0.00</v>
      </c>
      <c r="I89" s="3" t="str">
        <f>FIXED(VLOOKUP($A89,'Full Sample-Townhouse'!$A:$R,I$1,0),2)</f>
        <v>0.00</v>
      </c>
      <c r="J89" s="3" t="str">
        <f>FIXED(VLOOKUP($A89,'Full Sample-Townhouse'!$A:$R,J$1,0),2)</f>
        <v>0.00</v>
      </c>
      <c r="K89" s="3" t="str">
        <f>FIXED(VLOOKUP($A89,'Full Sample-Townhouse'!$A:$R,K$1,0),2)</f>
        <v>311.57</v>
      </c>
      <c r="L89" s="3" t="str">
        <f>FIXED(VLOOKUP($A89,'Full Sample-Townhouse'!$A:$R,L$1,0),2)</f>
        <v>571.60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1-Townhouse'!$A:$R,O$1,0),2)</f>
        <v>316.43</v>
      </c>
      <c r="P89" s="3" t="str">
        <f>FIXED(VLOOKUP($A89,'Small Sample 1-Townhouse'!$A:$R,P$1,0),2)</f>
        <v>574.36</v>
      </c>
      <c r="Q89" s="3" t="str">
        <f>FIXED(VLOOKUP($A89,'Small Sample 1-Townhouse'!$A:$R,Q$1,0),2)</f>
        <v>0.00</v>
      </c>
      <c r="R89" s="3" t="str">
        <f>FIXED(VLOOKUP($A89,'Small Sample 1-Townhouse'!$A:$R,R$1,0),2)</f>
        <v>4,021.00</v>
      </c>
      <c r="S89" s="3" t="str">
        <f>FIXED(VLOOKUP($A89,'Small Sample 1-Townhouse'!$A:$R,S$1,0),2)</f>
        <v>1.48</v>
      </c>
      <c r="T89" s="3" t="str">
        <f>FIXED(VLOOKUP($A89,'Small Sample 1-Townhouse'!$A:$R,T$1,0),2)</f>
        <v>0.55</v>
      </c>
      <c r="U89" s="3" t="str">
        <f>FIXED(VLOOKUP($A89,'Small Sample 1-Townhouse'!$A:$R,U$1,0),2)</f>
        <v>0.00</v>
      </c>
      <c r="V89" s="3" t="str">
        <f>FIXED(VLOOKUP($A89,'Small Sample 1-Townhouse'!$A:$R,V$1,0),2)</f>
        <v>4.00</v>
      </c>
      <c r="W89" s="3" t="str">
        <f>FIXED(VLOOKUP($A89,'Small Sample 1-Townhouse'!$A:$R,W$1,0),2)</f>
        <v>316.43</v>
      </c>
      <c r="X89" s="3" t="str">
        <f>FIXED(VLOOKUP($A89,'Small Sample 1-Townhouse'!$A:$R,X$1,0),2)</f>
        <v>574.36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2-Townhouse'!$A:$R,AA$1,0),2)</f>
        <v>304.84</v>
      </c>
      <c r="AB89" s="3" t="str">
        <f>FIXED(VLOOKUP($A89,'Small Sample 2-Townhouse'!$A:$R,AB$1,0),2)</f>
        <v>565.72</v>
      </c>
      <c r="AC89" s="3" t="str">
        <f>FIXED(VLOOKUP($A89,'Small Sample 2-Townhouse'!$A:$R,AC$1,0),2)</f>
        <v>0.00</v>
      </c>
      <c r="AD89" s="3" t="str">
        <f>FIXED(VLOOKUP($A89,'Small Sample 2-Townhouse'!$A:$R,AD$1,0),2)</f>
        <v>4,021.00</v>
      </c>
      <c r="AE89" s="3" t="str">
        <f>FIXED(VLOOKUP($A89,'Small Sample 2-Townhouse'!$A:$R,AE$1,0),2)</f>
        <v>1.50</v>
      </c>
      <c r="AF89" s="3" t="str">
        <f>FIXED(VLOOKUP($A89,'Small Sample 2-Townhouse'!$A:$R,AF$1,0),2)</f>
        <v>0.55</v>
      </c>
      <c r="AG89" s="3" t="str">
        <f>FIXED(VLOOKUP($A89,'Small Sample 2-Townhouse'!$A:$R,AG$1,0),2)</f>
        <v>0.00</v>
      </c>
      <c r="AH89" s="3" t="str">
        <f>FIXED(VLOOKUP($A89,'Small Sample 2-Townhouse'!$A:$R,AH$1,0),2)</f>
        <v>5.00</v>
      </c>
      <c r="AI89" s="3" t="str">
        <f>FIXED(VLOOKUP($A89,'Small Sample 2-Townhouse'!$A:$R,AI$1,0),2)</f>
        <v>304.84</v>
      </c>
      <c r="AJ89" s="3" t="str">
        <f>FIXED(VLOOKUP($A89,'Small Sample 2-Townhouse'!$A:$R,AJ$1,0),2)</f>
        <v>565.72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Sample-Townhouse'!$A:$R,C$1,0),2)</f>
        <v>#N/A</v>
      </c>
      <c r="D90" s="3" t="e">
        <f>FIXED(VLOOKUP($A90,'Full Sample-Townhouse'!$A:$R,D$1,0),2)</f>
        <v>#N/A</v>
      </c>
      <c r="E90" s="3" t="e">
        <f>FIXED(VLOOKUP($A90,'Full Sample-Townhouse'!$A:$R,E$1,0),2)</f>
        <v>#N/A</v>
      </c>
      <c r="F90" s="3" t="e">
        <f>FIXED(VLOOKUP($A90,'Full Sample-Townhouse'!$A:$R,F$1,0),2)</f>
        <v>#N/A</v>
      </c>
      <c r="G90" s="3" t="e">
        <f>FIXED(VLOOKUP($A90,'Full Sample-Townhouse'!$A:$R,G$1,0),2)</f>
        <v>#N/A</v>
      </c>
      <c r="H90" s="3" t="e">
        <f>FIXED(VLOOKUP($A90,'Full Sample-Townhouse'!$A:$R,H$1,0),2)</f>
        <v>#N/A</v>
      </c>
      <c r="I90" s="3" t="e">
        <f>FIXED(VLOOKUP($A90,'Full Sample-Townhouse'!$A:$R,I$1,0),2)</f>
        <v>#N/A</v>
      </c>
      <c r="J90" s="3" t="e">
        <f>FIXED(VLOOKUP($A90,'Full Sample-Townhouse'!$A:$R,J$1,0),2)</f>
        <v>#N/A</v>
      </c>
      <c r="K90" s="3" t="e">
        <f>FIXED(VLOOKUP($A90,'Full Sample-Townhouse'!$A:$R,K$1,0),2)</f>
        <v>#N/A</v>
      </c>
      <c r="L90" s="3" t="e">
        <f>FIXED(VLOOKUP($A90,'Full Sample-Townhouse'!$A:$R,L$1,0),2)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1-Townhouse'!$A:$R,O$1,0),2)</f>
        <v>#N/A</v>
      </c>
      <c r="P90" s="3" t="e">
        <f>FIXED(VLOOKUP($A90,'Small Sample 1-Townhouse'!$A:$R,P$1,0),2)</f>
        <v>#N/A</v>
      </c>
      <c r="Q90" s="3" t="e">
        <f>FIXED(VLOOKUP($A90,'Small Sample 1-Townhouse'!$A:$R,Q$1,0),2)</f>
        <v>#N/A</v>
      </c>
      <c r="R90" s="3" t="e">
        <f>FIXED(VLOOKUP($A90,'Small Sample 1-Townhouse'!$A:$R,R$1,0),2)</f>
        <v>#N/A</v>
      </c>
      <c r="S90" s="3" t="e">
        <f>FIXED(VLOOKUP($A90,'Small Sample 1-Townhouse'!$A:$R,S$1,0),2)</f>
        <v>#N/A</v>
      </c>
      <c r="T90" s="3" t="e">
        <f>FIXED(VLOOKUP($A90,'Small Sample 1-Townhouse'!$A:$R,T$1,0),2)</f>
        <v>#N/A</v>
      </c>
      <c r="U90" s="3" t="e">
        <f>FIXED(VLOOKUP($A90,'Small Sample 1-Townhouse'!$A:$R,U$1,0),2)</f>
        <v>#N/A</v>
      </c>
      <c r="V90" s="3" t="e">
        <f>FIXED(VLOOKUP($A90,'Small Sample 1-Townhouse'!$A:$R,V$1,0),2)</f>
        <v>#N/A</v>
      </c>
      <c r="W90" s="3" t="e">
        <f>FIXED(VLOOKUP($A90,'Small Sample 1-Townhouse'!$A:$R,W$1,0),2)</f>
        <v>#N/A</v>
      </c>
      <c r="X90" s="3" t="e">
        <f>FIXED(VLOOKUP($A90,'Small Sample 1-Townhouse'!$A:$R,X$1,0),2)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2-Townhouse'!$A:$R,AA$1,0),2)</f>
        <v>#N/A</v>
      </c>
      <c r="AB90" s="3" t="e">
        <f>FIXED(VLOOKUP($A90,'Small Sample 2-Townhouse'!$A:$R,AB$1,0),2)</f>
        <v>#N/A</v>
      </c>
      <c r="AC90" s="3" t="e">
        <f>FIXED(VLOOKUP($A90,'Small Sample 2-Townhouse'!$A:$R,AC$1,0),2)</f>
        <v>#N/A</v>
      </c>
      <c r="AD90" s="3" t="e">
        <f>FIXED(VLOOKUP($A90,'Small Sample 2-Townhouse'!$A:$R,AD$1,0),2)</f>
        <v>#N/A</v>
      </c>
      <c r="AE90" s="3" t="e">
        <f>FIXED(VLOOKUP($A90,'Small Sample 2-Townhouse'!$A:$R,AE$1,0),2)</f>
        <v>#N/A</v>
      </c>
      <c r="AF90" s="3" t="e">
        <f>FIXED(VLOOKUP($A90,'Small Sample 2-Townhouse'!$A:$R,AF$1,0),2)</f>
        <v>#N/A</v>
      </c>
      <c r="AG90" s="3" t="e">
        <f>FIXED(VLOOKUP($A90,'Small Sample 2-Townhouse'!$A:$R,AG$1,0),2)</f>
        <v>#N/A</v>
      </c>
      <c r="AH90" s="3" t="e">
        <f>FIXED(VLOOKUP($A90,'Small Sample 2-Townhouse'!$A:$R,AH$1,0),2)</f>
        <v>#N/A</v>
      </c>
      <c r="AI90" s="3" t="e">
        <f>FIXED(VLOOKUP($A90,'Small Sample 2-Townhouse'!$A:$R,AI$1,0),2)</f>
        <v>#N/A</v>
      </c>
      <c r="AJ90" s="3" t="e">
        <f>FIXED(VLOOKUP($A90,'Small Sample 2-Townhouse'!$A:$R,AJ$1,0),2)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Sample-Townhouse'!$A:$R,C$1,0),2)</f>
        <v>1.00</v>
      </c>
      <c r="D91" s="3" t="str">
        <f>FIXED(VLOOKUP($A91,'Full Sample-Townhouse'!$A:$R,D$1,0),2)</f>
        <v>0.00</v>
      </c>
      <c r="E91" s="3" t="str">
        <f>FIXED(VLOOKUP($A91,'Full Sample-Townhouse'!$A:$R,E$1,0),2)</f>
        <v>1.00</v>
      </c>
      <c r="F91" s="3" t="str">
        <f>FIXED(VLOOKUP($A91,'Full Sample-Townhouse'!$A:$R,F$1,0),2)</f>
        <v>1.00</v>
      </c>
      <c r="G91" s="3" t="str">
        <f>FIXED(VLOOKUP($A91,'Full Sample-Townhouse'!$A:$R,G$1,0),2)</f>
        <v>1.00</v>
      </c>
      <c r="H91" s="3" t="str">
        <f>FIXED(VLOOKUP($A91,'Full Sample-Townhouse'!$A:$R,H$1,0),2)</f>
        <v>0.00</v>
      </c>
      <c r="I91" s="3" t="str">
        <f>FIXED(VLOOKUP($A91,'Full Sample-Townhouse'!$A:$R,I$1,0),2)</f>
        <v>1.00</v>
      </c>
      <c r="J91" s="3" t="str">
        <f>FIXED(VLOOKUP($A91,'Full Sample-Townhouse'!$A:$R,J$1,0),2)</f>
        <v>1.00</v>
      </c>
      <c r="K91" s="3" t="str">
        <f>FIXED(VLOOKUP($A91,'Full Sample-Townhouse'!$A:$R,K$1,0),2)</f>
        <v>1.00</v>
      </c>
      <c r="L91" s="3" t="str">
        <f>FIXED(VLOOKUP($A91,'Full Sample-Townhouse'!$A:$R,L$1,0),2)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1-Townhouse'!$A:$R,O$1,0),2)</f>
        <v>1.00</v>
      </c>
      <c r="P91" s="3" t="str">
        <f>FIXED(VLOOKUP($A91,'Small Sample 1-Townhouse'!$A:$R,P$1,0),2)</f>
        <v>0.00</v>
      </c>
      <c r="Q91" s="3" t="str">
        <f>FIXED(VLOOKUP($A91,'Small Sample 1-Townhouse'!$A:$R,Q$1,0),2)</f>
        <v>1.00</v>
      </c>
      <c r="R91" s="3" t="str">
        <f>FIXED(VLOOKUP($A91,'Small Sample 1-Townhouse'!$A:$R,R$1,0),2)</f>
        <v>1.00</v>
      </c>
      <c r="S91" s="3" t="str">
        <f>FIXED(VLOOKUP($A91,'Small Sample 1-Townhouse'!$A:$R,S$1,0),2)</f>
        <v>0.00</v>
      </c>
      <c r="T91" s="3" t="str">
        <f>FIXED(VLOOKUP($A91,'Small Sample 1-Townhouse'!$A:$R,T$1,0),2)</f>
        <v>0.00</v>
      </c>
      <c r="U91" s="3" t="str">
        <f>FIXED(VLOOKUP($A91,'Small Sample 1-Townhouse'!$A:$R,U$1,0),2)</f>
        <v>0.00</v>
      </c>
      <c r="V91" s="3" t="str">
        <f>FIXED(VLOOKUP($A91,'Small Sample 1-Townhouse'!$A:$R,V$1,0),2)</f>
        <v>0.00</v>
      </c>
      <c r="W91" s="3" t="str">
        <f>FIXED(VLOOKUP($A91,'Small Sample 1-Townhouse'!$A:$R,W$1,0),2)</f>
        <v>1.00</v>
      </c>
      <c r="X91" s="3" t="str">
        <f>FIXED(VLOOKUP($A91,'Small Sample 1-Townhouse'!$A:$R,X$1,0),2)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2-Townhouse'!$A:$R,AA$1,0),2)</f>
        <v>1.00</v>
      </c>
      <c r="AB91" s="3" t="str">
        <f>FIXED(VLOOKUP($A91,'Small Sample 2-Townhouse'!$A:$R,AB$1,0),2)</f>
        <v>0.00</v>
      </c>
      <c r="AC91" s="3" t="str">
        <f>FIXED(VLOOKUP($A91,'Small Sample 2-Townhouse'!$A:$R,AC$1,0),2)</f>
        <v>1.00</v>
      </c>
      <c r="AD91" s="3" t="str">
        <f>FIXED(VLOOKUP($A91,'Small Sample 2-Townhouse'!$A:$R,AD$1,0),2)</f>
        <v>1.00</v>
      </c>
      <c r="AE91" s="3" t="str">
        <f>FIXED(VLOOKUP($A91,'Small Sample 2-Townhouse'!$A:$R,AE$1,0),2)</f>
        <v>0.00</v>
      </c>
      <c r="AF91" s="3" t="str">
        <f>FIXED(VLOOKUP($A91,'Small Sample 2-Townhouse'!$A:$R,AF$1,0),2)</f>
        <v>0.00</v>
      </c>
      <c r="AG91" s="3" t="str">
        <f>FIXED(VLOOKUP($A91,'Small Sample 2-Townhouse'!$A:$R,AG$1,0),2)</f>
        <v>0.00</v>
      </c>
      <c r="AH91" s="3" t="str">
        <f>FIXED(VLOOKUP($A91,'Small Sample 2-Townhouse'!$A:$R,AH$1,0),2)</f>
        <v>0.00</v>
      </c>
      <c r="AI91" s="3" t="str">
        <f>FIXED(VLOOKUP($A91,'Small Sample 2-Townhouse'!$A:$R,AI$1,0),2)</f>
        <v>1.00</v>
      </c>
      <c r="AJ91" s="3" t="str">
        <f>FIXED(VLOOKUP($A91,'Small Sample 2-Townhouse'!$A:$R,AJ$1,0),2)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Sample-Townhouse'!$A:$R,C$1,0),2)</f>
        <v>0.00</v>
      </c>
      <c r="D92" s="3" t="str">
        <f>FIXED(VLOOKUP($A92,'Full Sample-Townhouse'!$A:$R,D$1,0),2)</f>
        <v>0.00</v>
      </c>
      <c r="E92" s="3" t="str">
        <f>FIXED(VLOOKUP($A92,'Full Sample-Townhouse'!$A:$R,E$1,0),2)</f>
        <v>0.00</v>
      </c>
      <c r="F92" s="3" t="str">
        <f>FIXED(VLOOKUP($A92,'Full Sample-Townhouse'!$A:$R,F$1,0),2)</f>
        <v>0.00</v>
      </c>
      <c r="G92" s="3" t="str">
        <f>FIXED(VLOOKUP($A92,'Full Sample-Townhouse'!$A:$R,G$1,0),2)</f>
        <v>0.00</v>
      </c>
      <c r="H92" s="3" t="str">
        <f>FIXED(VLOOKUP($A92,'Full Sample-Townhouse'!$A:$R,H$1,0),2)</f>
        <v>0.00</v>
      </c>
      <c r="I92" s="3" t="str">
        <f>FIXED(VLOOKUP($A92,'Full Sample-Townhouse'!$A:$R,I$1,0),2)</f>
        <v>0.00</v>
      </c>
      <c r="J92" s="3" t="str">
        <f>FIXED(VLOOKUP($A92,'Full Sample-Townhouse'!$A:$R,J$1,0),2)</f>
        <v>0.00</v>
      </c>
      <c r="K92" s="3" t="str">
        <f>FIXED(VLOOKUP($A92,'Full Sample-Townhouse'!$A:$R,K$1,0),2)</f>
        <v>0.00</v>
      </c>
      <c r="L92" s="3" t="str">
        <f>FIXED(VLOOKUP($A92,'Full Sample-Townhouse'!$A:$R,L$1,0),2)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1-Townhouse'!$A:$R,O$1,0),2)</f>
        <v>0.00</v>
      </c>
      <c r="P92" s="3" t="str">
        <f>FIXED(VLOOKUP($A92,'Small Sample 1-Townhouse'!$A:$R,P$1,0),2)</f>
        <v>0.00</v>
      </c>
      <c r="Q92" s="3" t="str">
        <f>FIXED(VLOOKUP($A92,'Small Sample 1-Townhouse'!$A:$R,Q$1,0),2)</f>
        <v>0.00</v>
      </c>
      <c r="R92" s="3" t="str">
        <f>FIXED(VLOOKUP($A92,'Small Sample 1-Townhouse'!$A:$R,R$1,0),2)</f>
        <v>0.00</v>
      </c>
      <c r="S92" s="3" t="str">
        <f>FIXED(VLOOKUP($A92,'Small Sample 1-Townhouse'!$A:$R,S$1,0),2)</f>
        <v>0.28</v>
      </c>
      <c r="T92" s="3" t="str">
        <f>FIXED(VLOOKUP($A92,'Small Sample 1-Townhouse'!$A:$R,T$1,0),2)</f>
        <v>0.45</v>
      </c>
      <c r="U92" s="3" t="str">
        <f>FIXED(VLOOKUP($A92,'Small Sample 1-Townhouse'!$A:$R,U$1,0),2)</f>
        <v>0.00</v>
      </c>
      <c r="V92" s="3" t="str">
        <f>FIXED(VLOOKUP($A92,'Small Sample 1-Townhouse'!$A:$R,V$1,0),2)</f>
        <v>1.00</v>
      </c>
      <c r="W92" s="3" t="str">
        <f>FIXED(VLOOKUP($A92,'Small Sample 1-Townhouse'!$A:$R,W$1,0),2)</f>
        <v>0.00</v>
      </c>
      <c r="X92" s="3" t="str">
        <f>FIXED(VLOOKUP($A92,'Small Sample 1-Townhouse'!$A:$R,X$1,0),2)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2-Townhouse'!$A:$R,AA$1,0),2)</f>
        <v>0.00</v>
      </c>
      <c r="AB92" s="3" t="str">
        <f>FIXED(VLOOKUP($A92,'Small Sample 2-Townhouse'!$A:$R,AB$1,0),2)</f>
        <v>0.00</v>
      </c>
      <c r="AC92" s="3" t="str">
        <f>FIXED(VLOOKUP($A92,'Small Sample 2-Townhouse'!$A:$R,AC$1,0),2)</f>
        <v>0.00</v>
      </c>
      <c r="AD92" s="3" t="str">
        <f>FIXED(VLOOKUP($A92,'Small Sample 2-Townhouse'!$A:$R,AD$1,0),2)</f>
        <v>0.00</v>
      </c>
      <c r="AE92" s="3" t="str">
        <f>FIXED(VLOOKUP($A92,'Small Sample 2-Townhouse'!$A:$R,AE$1,0),2)</f>
        <v>0.28</v>
      </c>
      <c r="AF92" s="3" t="str">
        <f>FIXED(VLOOKUP($A92,'Small Sample 2-Townhouse'!$A:$R,AF$1,0),2)</f>
        <v>0.45</v>
      </c>
      <c r="AG92" s="3" t="str">
        <f>FIXED(VLOOKUP($A92,'Small Sample 2-Townhouse'!$A:$R,AG$1,0),2)</f>
        <v>0.00</v>
      </c>
      <c r="AH92" s="3" t="str">
        <f>FIXED(VLOOKUP($A92,'Small Sample 2-Townhouse'!$A:$R,AH$1,0),2)</f>
        <v>1.00</v>
      </c>
      <c r="AI92" s="3" t="str">
        <f>FIXED(VLOOKUP($A92,'Small Sample 2-Townhouse'!$A:$R,AI$1,0),2)</f>
        <v>0.00</v>
      </c>
      <c r="AJ92" s="3" t="str">
        <f>FIXED(VLOOKUP($A92,'Small Sample 2-Townhouse'!$A:$R,AJ$1,0),2)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AA81:AD81"/>
    <mergeCell ref="AE81:AH81"/>
    <mergeCell ref="AI81:AL81"/>
    <mergeCell ref="W5:Z5"/>
    <mergeCell ref="AA5:AD5"/>
    <mergeCell ref="AE5:AH5"/>
    <mergeCell ref="AI5:AL5"/>
    <mergeCell ref="W81:Z81"/>
    <mergeCell ref="C81:F81"/>
    <mergeCell ref="G81:J81"/>
    <mergeCell ref="K81:N81"/>
    <mergeCell ref="O81:R81"/>
    <mergeCell ref="S81:V81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D15F-8EBF-48AA-8B88-9B10C98A89A3}">
  <sheetPr codeName="Sheet26">
    <pageSetUpPr fitToPage="1"/>
  </sheetPr>
  <dimension ref="A1:BU92"/>
  <sheetViews>
    <sheetView topLeftCell="A3" workbookViewId="0">
      <selection activeCell="B19" sqref="B1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1.7109375" style="3" bestFit="1" customWidth="1"/>
    <col min="5" max="5" width="12.4257812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2.42578125" style="3" hidden="1" customWidth="1"/>
    <col min="10" max="10" width="12.7109375" style="3" hidden="1" customWidth="1"/>
    <col min="11" max="12" width="11.7109375" style="3" bestFit="1" customWidth="1"/>
    <col min="13" max="13" width="12.42578125" style="3" hidden="1" customWidth="1"/>
    <col min="14" max="14" width="12.7109375" style="3" hidden="1" customWidth="1"/>
    <col min="15" max="16" width="11.7109375" bestFit="1" customWidth="1"/>
    <col min="17" max="17" width="12.42578125" hidden="1" customWidth="1"/>
    <col min="18" max="18" width="12.7109375" hidden="1" customWidth="1"/>
    <col min="19" max="20" width="11.7109375" bestFit="1" customWidth="1"/>
    <col min="21" max="21" width="12.4257812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1" width="11.7109375" bestFit="1" customWidth="1"/>
    <col min="32" max="32" width="10.14062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8.42578125" hidden="1" customWidth="1"/>
    <col min="40" max="40" width="10.140625" bestFit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28" t="s">
        <v>188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</row>
    <row r="3" spans="1:40" ht="23.25" x14ac:dyDescent="0.35">
      <c r="A3" s="28" t="s">
        <v>189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301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300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ht="30.75" customHeight="1" x14ac:dyDescent="0.25">
      <c r="A5" s="5"/>
      <c r="B5" s="5"/>
      <c r="C5" s="41" t="s">
        <v>92</v>
      </c>
      <c r="D5" s="42"/>
      <c r="E5" s="42"/>
      <c r="F5" s="42"/>
      <c r="G5" s="43" t="s">
        <v>94</v>
      </c>
      <c r="H5" s="44"/>
      <c r="I5" s="44"/>
      <c r="J5" s="45"/>
      <c r="K5" s="41" t="s">
        <v>93</v>
      </c>
      <c r="L5" s="42"/>
      <c r="M5" s="42"/>
      <c r="N5" s="46"/>
      <c r="O5" s="41" t="s">
        <v>92</v>
      </c>
      <c r="P5" s="42"/>
      <c r="Q5" s="42"/>
      <c r="R5" s="42"/>
      <c r="S5" s="43" t="s">
        <v>94</v>
      </c>
      <c r="T5" s="44"/>
      <c r="U5" s="44"/>
      <c r="V5" s="45"/>
      <c r="W5" s="41" t="s">
        <v>93</v>
      </c>
      <c r="X5" s="42"/>
      <c r="Y5" s="42"/>
      <c r="Z5" s="42"/>
      <c r="AA5" s="41" t="s">
        <v>92</v>
      </c>
      <c r="AB5" s="42"/>
      <c r="AC5" s="42"/>
      <c r="AD5" s="42"/>
      <c r="AE5" s="43" t="s">
        <v>94</v>
      </c>
      <c r="AF5" s="44"/>
      <c r="AG5" s="44"/>
      <c r="AH5" s="45"/>
      <c r="AI5" s="41" t="s">
        <v>93</v>
      </c>
      <c r="AJ5" s="42"/>
      <c r="AK5" s="42"/>
      <c r="AL5" s="42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Sample-Single Family'!$A:$R,C$1,0),2)</f>
        <v>1,266,274.00</v>
      </c>
      <c r="D7" s="3" t="str">
        <f>FIXED(VLOOKUP($A7,'Full Sample-Single Family'!$A:$R,D$1,0),2)</f>
        <v>1,031,415.00</v>
      </c>
      <c r="E7" s="3" t="str">
        <f>FIXED(VLOOKUP($A7,'Full Sample-Single Family'!$A:$R,E$1,0),2)</f>
        <v>168,375.10</v>
      </c>
      <c r="F7" s="3" t="str">
        <f>FIXED(VLOOKUP($A7,'Full Sample-Single Family'!$A:$R,F$1,0),2)</f>
        <v>23,293,838.00</v>
      </c>
      <c r="G7" s="9" t="str">
        <f>FIXED(VLOOKUP($A7,'Full Sample-Single Family'!$A:$R,G$1,0),2)</f>
        <v>1,189,371.00</v>
      </c>
      <c r="H7" s="3" t="str">
        <f>FIXED(VLOOKUP($A7,'Full Sample-Single Family'!$A:$R,H$1,0),2)</f>
        <v>977,274.50</v>
      </c>
      <c r="I7" s="3" t="str">
        <f>FIXED(VLOOKUP($A7,'Full Sample-Single Family'!$A:$R,I$1,0),2)</f>
        <v>168,375.10</v>
      </c>
      <c r="J7" s="13" t="str">
        <f>FIXED(VLOOKUP($A7,'Full Sample-Single Family'!$A:$R,J$1,0),2)</f>
        <v>23,293,838.00</v>
      </c>
      <c r="K7" s="9" t="str">
        <f>FIXED(VLOOKUP($A7,'Full Sample-Single Family'!$A:$R,K$1,0),2)</f>
        <v>1,371,403.00</v>
      </c>
      <c r="L7" s="3" t="str">
        <f>FIXED(VLOOKUP($A7,'Full Sample-Single Family'!$A:$R,L$1,0),2)</f>
        <v>1,092,456.00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1-Single Family'!$A:$R,O$1,0),2)</f>
        <v>1,291,919.00</v>
      </c>
      <c r="P7" s="3" t="str">
        <f>FIXED(VLOOKUP($A7,'Small Sample 1-Single Family'!$A:$R,P$1,0),2)</f>
        <v>1,055,822.00</v>
      </c>
      <c r="Q7" s="3" t="str">
        <f>FIXED(VLOOKUP($A7,'Small Sample 1-Single Family'!$A:$R,Q$1,0),2)</f>
        <v>168,375.10</v>
      </c>
      <c r="R7" s="3" t="str">
        <f>FIXED(VLOOKUP($A7,'Small Sample 1-Single Family'!$A:$R,R$1,0),2)</f>
        <v>23,293,838.00</v>
      </c>
      <c r="S7" s="9" t="str">
        <f>FIXED(VLOOKUP($A7,'Small Sample 1-Single Family'!$A:$R,S$1,0),2)</f>
        <v>1,215,747.00</v>
      </c>
      <c r="T7" s="3" t="str">
        <f>FIXED(VLOOKUP($A7,'Small Sample 1-Single Family'!$A:$R,T$1,0),2)</f>
        <v>1,007,921.00</v>
      </c>
      <c r="U7" s="3" t="str">
        <f>FIXED(VLOOKUP($A7,'Small Sample 1-Single Family'!$A:$R,U$1,0),2)</f>
        <v>168,375.10</v>
      </c>
      <c r="V7" s="13" t="str">
        <f>FIXED(VLOOKUP($A7,'Small Sample 1-Single Family'!$A:$R,V$1,0),2)</f>
        <v>23,293,838.00</v>
      </c>
      <c r="W7" s="9" t="str">
        <f>FIXED(VLOOKUP($A7,'Small Sample 1-Single Family'!$A:$R,W$1,0),2)</f>
        <v>1,378,284.00</v>
      </c>
      <c r="X7" s="3" t="str">
        <f>FIXED(VLOOKUP($A7,'Small Sample 1-Single Family'!$A:$R,X$1,0),2)</f>
        <v>1,101,329.00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2-Single Family'!$A:$R,AA$1,0),2)</f>
        <v>1,266,966.00</v>
      </c>
      <c r="AB7" s="3" t="str">
        <f>FIXED(VLOOKUP($A7,'Small Sample 2-Single Family'!$A:$R,AB$1,0),2)</f>
        <v>1,041,501.00</v>
      </c>
      <c r="AC7" s="3" t="str">
        <f>FIXED(VLOOKUP($A7,'Small Sample 2-Single Family'!$A:$R,AC$1,0),2)</f>
        <v>168,375.10</v>
      </c>
      <c r="AD7" s="3" t="str">
        <f>FIXED(VLOOKUP($A7,'Small Sample 2-Single Family'!$A:$R,AD$1,0),2)</f>
        <v>23,293,838.00</v>
      </c>
      <c r="AE7" s="9" t="str">
        <f>FIXED(VLOOKUP($A7,'Small Sample 2-Single Family'!$A:$R,AE$1,0),2)</f>
        <v>1,192,847.00</v>
      </c>
      <c r="AF7" s="3" t="str">
        <f>FIXED(VLOOKUP($A7,'Small Sample 2-Single Family'!$A:$R,AF$1,0),2)</f>
        <v>965,876.50</v>
      </c>
      <c r="AG7" s="3" t="str">
        <f>FIXED(VLOOKUP($A7,'Small Sample 2-Single Family'!$A:$R,AG$1,0),2)</f>
        <v>168,375.10</v>
      </c>
      <c r="AH7" s="13" t="str">
        <f>FIXED(VLOOKUP($A7,'Small Sample 2-Single Family'!$A:$R,AH$1,0),2)</f>
        <v>23,293,838.00</v>
      </c>
      <c r="AI7" s="9" t="str">
        <f>FIXED(VLOOKUP($A7,'Small Sample 2-Single Family'!$A:$R,AI$1,0),2)</f>
        <v>1,390,884.00</v>
      </c>
      <c r="AJ7" s="3" t="str">
        <f>FIXED(VLOOKUP($A7,'Small Sample 2-Single Family'!$A:$R,AJ$1,0),2)</f>
        <v>1,146,360.00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302</v>
      </c>
    </row>
    <row r="8" spans="1:40" x14ac:dyDescent="0.25">
      <c r="A8" t="s">
        <v>20</v>
      </c>
      <c r="B8" t="s">
        <v>104</v>
      </c>
      <c r="C8" s="9" t="str">
        <f>FIXED(VLOOKUP($A8,'Full Sample-Single Family'!$A:$R,C$1,0),2)</f>
        <v>1,252,725.00</v>
      </c>
      <c r="D8" s="3" t="str">
        <f>FIXED(VLOOKUP($A8,'Full Sample-Single Family'!$A:$R,D$1,0),2)</f>
        <v>958,835.80</v>
      </c>
      <c r="E8" s="3" t="str">
        <f>FIXED(VLOOKUP($A8,'Full Sample-Single Family'!$A:$R,E$1,0),2)</f>
        <v>180,401.90</v>
      </c>
      <c r="F8" s="3" t="str">
        <f>FIXED(VLOOKUP($A8,'Full Sample-Single Family'!$A:$R,F$1,0),2)</f>
        <v>22,166,108.00</v>
      </c>
      <c r="G8" s="9" t="str">
        <f>FIXED(VLOOKUP($A8,'Full Sample-Single Family'!$A:$R,G$1,0),2)</f>
        <v>1,164,472.00</v>
      </c>
      <c r="H8" s="3" t="str">
        <f>FIXED(VLOOKUP($A8,'Full Sample-Single Family'!$A:$R,H$1,0),2)</f>
        <v>899,936.90</v>
      </c>
      <c r="I8" s="3" t="str">
        <f>FIXED(VLOOKUP($A8,'Full Sample-Single Family'!$A:$R,I$1,0),2)</f>
        <v>180,401.90</v>
      </c>
      <c r="J8" s="13" t="str">
        <f>FIXED(VLOOKUP($A8,'Full Sample-Single Family'!$A:$R,J$1,0),2)</f>
        <v>21,058,570.00</v>
      </c>
      <c r="K8" s="9" t="str">
        <f>FIXED(VLOOKUP($A8,'Full Sample-Single Family'!$A:$R,K$1,0),2)</f>
        <v>1,373,371.00</v>
      </c>
      <c r="L8" s="3" t="str">
        <f>FIXED(VLOOKUP($A8,'Full Sample-Single Family'!$A:$R,L$1,0),2)</f>
        <v>1,021,725.00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1-Single Family'!$A:$R,O$1,0),2)</f>
        <v>1,279,680.00</v>
      </c>
      <c r="P8" s="3" t="str">
        <f>FIXED(VLOOKUP($A8,'Small Sample 1-Single Family'!$A:$R,P$1,0),2)</f>
        <v>981,352.20</v>
      </c>
      <c r="Q8" s="3" t="str">
        <f>FIXED(VLOOKUP($A8,'Small Sample 1-Single Family'!$A:$R,Q$1,0),2)</f>
        <v>180,401.90</v>
      </c>
      <c r="R8" s="3" t="str">
        <f>FIXED(VLOOKUP($A8,'Small Sample 1-Single Family'!$A:$R,R$1,0),2)</f>
        <v>22,166,108.00</v>
      </c>
      <c r="S8" s="9" t="str">
        <f>FIXED(VLOOKUP($A8,'Small Sample 1-Single Family'!$A:$R,S$1,0),2)</f>
        <v>1,190,401.00</v>
      </c>
      <c r="T8" s="3" t="str">
        <f>FIXED(VLOOKUP($A8,'Small Sample 1-Single Family'!$A:$R,T$1,0),2)</f>
        <v>928,004.90</v>
      </c>
      <c r="U8" s="3" t="str">
        <f>FIXED(VLOOKUP($A8,'Small Sample 1-Single Family'!$A:$R,U$1,0),2)</f>
        <v>180,401.90</v>
      </c>
      <c r="V8" s="13" t="str">
        <f>FIXED(VLOOKUP($A8,'Small Sample 1-Single Family'!$A:$R,V$1,0),2)</f>
        <v>21,058,570.00</v>
      </c>
      <c r="W8" s="9" t="str">
        <f>FIXED(VLOOKUP($A8,'Small Sample 1-Single Family'!$A:$R,W$1,0),2)</f>
        <v>1,380,906.00</v>
      </c>
      <c r="X8" s="3" t="str">
        <f>FIXED(VLOOKUP($A8,'Small Sample 1-Single Family'!$A:$R,X$1,0),2)</f>
        <v>1,029,252.00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2-Single Family'!$A:$R,AA$1,0),2)</f>
        <v>1,250,472.00</v>
      </c>
      <c r="AB8" s="3" t="str">
        <f>FIXED(VLOOKUP($A8,'Small Sample 2-Single Family'!$A:$R,AB$1,0),2)</f>
        <v>962,380.50</v>
      </c>
      <c r="AC8" s="3" t="str">
        <f>FIXED(VLOOKUP($A8,'Small Sample 2-Single Family'!$A:$R,AC$1,0),2)</f>
        <v>180,401.90</v>
      </c>
      <c r="AD8" s="3" t="str">
        <f>FIXED(VLOOKUP($A8,'Small Sample 2-Single Family'!$A:$R,AD$1,0),2)</f>
        <v>22,166,108.00</v>
      </c>
      <c r="AE8" s="9" t="str">
        <f>FIXED(VLOOKUP($A8,'Small Sample 2-Single Family'!$A:$R,AE$1,0),2)</f>
        <v>1,167,401.00</v>
      </c>
      <c r="AF8" s="3" t="str">
        <f>FIXED(VLOOKUP($A8,'Small Sample 2-Single Family'!$A:$R,AF$1,0),2)</f>
        <v>884,732.30</v>
      </c>
      <c r="AG8" s="3" t="str">
        <f>FIXED(VLOOKUP($A8,'Small Sample 2-Single Family'!$A:$R,AG$1,0),2)</f>
        <v>180,401.90</v>
      </c>
      <c r="AH8" s="13" t="str">
        <f>FIXED(VLOOKUP($A8,'Small Sample 2-Single Family'!$A:$R,AH$1,0),2)</f>
        <v>21,058,570.00</v>
      </c>
      <c r="AI8" s="9" t="str">
        <f>FIXED(VLOOKUP($A8,'Small Sample 2-Single Family'!$A:$R,AI$1,0),2)</f>
        <v>1,389,357.00</v>
      </c>
      <c r="AJ8" s="3" t="str">
        <f>FIXED(VLOOKUP($A8,'Small Sample 2-Single Family'!$A:$R,AJ$1,0),2)</f>
        <v>1,065,490.00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Sample-Single Family'!$A:$R,C$1,0),2)</f>
        <v>10,908.83</v>
      </c>
      <c r="D9" s="3" t="str">
        <f>FIXED(VLOOKUP($A9,'Full Sample-Single Family'!$A:$R,D$1,0),2)</f>
        <v>121,238.60</v>
      </c>
      <c r="E9" s="3" t="str">
        <f>FIXED(VLOOKUP($A9,'Full Sample-Single Family'!$A:$R,E$1,0),2)</f>
        <v>-2,010,000.00</v>
      </c>
      <c r="F9" s="3" t="str">
        <f>FIXED(VLOOKUP($A9,'Full Sample-Single Family'!$A:$R,F$1,0),2)</f>
        <v>6,900,000.00</v>
      </c>
      <c r="G9" s="9" t="str">
        <f>FIXED(VLOOKUP($A9,'Full Sample-Single Family'!$A:$R,G$1,0),2)</f>
        <v>20,455.11</v>
      </c>
      <c r="H9" s="3" t="str">
        <f>FIXED(VLOOKUP($A9,'Full Sample-Single Family'!$A:$R,H$1,0),2)</f>
        <v>94,762.67</v>
      </c>
      <c r="I9" s="3" t="str">
        <f>FIXED(VLOOKUP($A9,'Full Sample-Single Family'!$A:$R,I$1,0),2)</f>
        <v>-1,850,000.00</v>
      </c>
      <c r="J9" s="13" t="str">
        <f>FIXED(VLOOKUP($A9,'Full Sample-Single Family'!$A:$R,J$1,0),2)</f>
        <v>2,950,000.00</v>
      </c>
      <c r="K9" s="9" t="str">
        <f>FIXED(VLOOKUP($A9,'Full Sample-Single Family'!$A:$R,K$1,0),2)</f>
        <v>-2,141.30</v>
      </c>
      <c r="L9" s="3" t="str">
        <f>FIXED(VLOOKUP($A9,'Full Sample-Single Family'!$A:$R,L$1,0),2)</f>
        <v>149,075.40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1-Single Family'!$A:$R,O$1,0),2)</f>
        <v>9,803.95</v>
      </c>
      <c r="P9" s="3" t="str">
        <f>FIXED(VLOOKUP($A9,'Small Sample 1-Single Family'!$A:$R,P$1,0),2)</f>
        <v>125,178.50</v>
      </c>
      <c r="Q9" s="3" t="str">
        <f>FIXED(VLOOKUP($A9,'Small Sample 1-Single Family'!$A:$R,Q$1,0),2)</f>
        <v>-2,010,000.00</v>
      </c>
      <c r="R9" s="3" t="str">
        <f>FIXED(VLOOKUP($A9,'Small Sample 1-Single Family'!$A:$R,R$1,0),2)</f>
        <v>6,900,000.00</v>
      </c>
      <c r="S9" s="9" t="str">
        <f>FIXED(VLOOKUP($A9,'Small Sample 1-Single Family'!$A:$R,S$1,0),2)</f>
        <v>20,843.83</v>
      </c>
      <c r="T9" s="3" t="str">
        <f>FIXED(VLOOKUP($A9,'Small Sample 1-Single Family'!$A:$R,T$1,0),2)</f>
        <v>96,902.59</v>
      </c>
      <c r="U9" s="3" t="str">
        <f>FIXED(VLOOKUP($A9,'Small Sample 1-Single Family'!$A:$R,U$1,0),2)</f>
        <v>-1,850,000.00</v>
      </c>
      <c r="V9" s="13" t="str">
        <f>FIXED(VLOOKUP($A9,'Small Sample 1-Single Family'!$A:$R,V$1,0),2)</f>
        <v>2,950,000.00</v>
      </c>
      <c r="W9" s="9" t="str">
        <f>FIXED(VLOOKUP($A9,'Small Sample 1-Single Family'!$A:$R,W$1,0),2)</f>
        <v>-2,713.29</v>
      </c>
      <c r="X9" s="3" t="str">
        <f>FIXED(VLOOKUP($A9,'Small Sample 1-Single Family'!$A:$R,X$1,0),2)</f>
        <v>149,988.00</v>
      </c>
      <c r="Y9" s="3"/>
      <c r="Z9" s="3"/>
      <c r="AA9" s="9" t="str">
        <f>FIXED(VLOOKUP($A9,'Small Sample 2-Single Family'!$A:$R,AA$1,0),2)</f>
        <v>13,434.83</v>
      </c>
      <c r="AB9" s="3" t="str">
        <f>FIXED(VLOOKUP($A9,'Small Sample 2-Single Family'!$A:$R,AB$1,0),2)</f>
        <v>126,269.20</v>
      </c>
      <c r="AC9" s="3" t="str">
        <f>FIXED(VLOOKUP($A9,'Small Sample 2-Single Family'!$A:$R,AC$1,0),2)</f>
        <v>-2,010,000.00</v>
      </c>
      <c r="AD9" s="3" t="str">
        <f>FIXED(VLOOKUP($A9,'Small Sample 2-Single Family'!$A:$R,AD$1,0),2)</f>
        <v>6,900,000.00</v>
      </c>
      <c r="AE9" s="9" t="str">
        <f>FIXED(VLOOKUP($A9,'Small Sample 2-Single Family'!$A:$R,AE$1,0),2)</f>
        <v>20,885.26</v>
      </c>
      <c r="AF9" s="3" t="str">
        <f>FIXED(VLOOKUP($A9,'Small Sample 2-Single Family'!$A:$R,AF$1,0),2)</f>
        <v>97,148.71</v>
      </c>
      <c r="AG9" s="3" t="str">
        <f>FIXED(VLOOKUP($A9,'Small Sample 2-Single Family'!$A:$R,AG$1,0),2)</f>
        <v>-1,850,000.00</v>
      </c>
      <c r="AH9" s="13" t="str">
        <f>FIXED(VLOOKUP($A9,'Small Sample 2-Single Family'!$A:$R,AH$1,0),2)</f>
        <v>2,950,000.00</v>
      </c>
      <c r="AI9" s="9" t="str">
        <f>FIXED(VLOOKUP($A9,'Small Sample 2-Single Family'!$A:$R,AI$1,0),2)</f>
        <v>978.77</v>
      </c>
      <c r="AJ9" s="3" t="str">
        <f>FIXED(VLOOKUP($A9,'Small Sample 2-Single Family'!$A:$R,AJ$1,0),2)</f>
        <v>163,021.00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Sample-Single Family'!$A:$R,C$1,0),2)</f>
        <v>1.30</v>
      </c>
      <c r="D10" s="3" t="str">
        <f>FIXED(VLOOKUP($A10,'Full Sample-Single Family'!$A:$R,D$1,0),2)</f>
        <v>0.54</v>
      </c>
      <c r="E10" s="3" t="str">
        <f>FIXED(VLOOKUP($A10,'Full Sample-Single Family'!$A:$R,E$1,0),2)</f>
        <v>1.00</v>
      </c>
      <c r="F10" s="3" t="str">
        <f>FIXED(VLOOKUP($A10,'Full Sample-Single Family'!$A:$R,F$1,0),2)</f>
        <v>4.00</v>
      </c>
      <c r="G10" s="9" t="str">
        <f>FIXED(VLOOKUP($A10,'Full Sample-Single Family'!$A:$R,G$1,0),2)</f>
        <v>1.29</v>
      </c>
      <c r="H10" s="3" t="str">
        <f>FIXED(VLOOKUP($A10,'Full Sample-Single Family'!$A:$R,H$1,0),2)</f>
        <v>0.53</v>
      </c>
      <c r="I10" s="3" t="str">
        <f>FIXED(VLOOKUP($A10,'Full Sample-Single Family'!$A:$R,I$1,0),2)</f>
        <v>1.00</v>
      </c>
      <c r="J10" s="13" t="str">
        <f>FIXED(VLOOKUP($A10,'Full Sample-Single Family'!$A:$R,J$1,0),2)</f>
        <v>4.00</v>
      </c>
      <c r="K10" s="9" t="str">
        <f>FIXED(VLOOKUP($A10,'Full Sample-Single Family'!$A:$R,K$1,0),2)</f>
        <v>1.32</v>
      </c>
      <c r="L10" s="3" t="str">
        <f>FIXED(VLOOKUP($A10,'Full Sample-Single Family'!$A:$R,L$1,0),2)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1-Single Family'!$A:$R,O$1,0),2)</f>
        <v>1.17</v>
      </c>
      <c r="P10" s="3" t="str">
        <f>FIXED(VLOOKUP($A10,'Small Sample 1-Single Family'!$A:$R,P$1,0),2)</f>
        <v>0.41</v>
      </c>
      <c r="Q10" s="3" t="str">
        <f>FIXED(VLOOKUP($A10,'Small Sample 1-Single Family'!$A:$R,Q$1,0),2)</f>
        <v>1.00</v>
      </c>
      <c r="R10" s="3" t="str">
        <f>FIXED(VLOOKUP($A10,'Small Sample 1-Single Family'!$A:$R,R$1,0),2)</f>
        <v>4.00</v>
      </c>
      <c r="S10" s="9" t="str">
        <f>FIXED(VLOOKUP($A10,'Small Sample 1-Single Family'!$A:$R,S$1,0),2)</f>
        <v>1.07</v>
      </c>
      <c r="T10" s="3" t="str">
        <f>FIXED(VLOOKUP($A10,'Small Sample 1-Single Family'!$A:$R,T$1,0),2)</f>
        <v>0.26</v>
      </c>
      <c r="U10" s="3" t="str">
        <f>FIXED(VLOOKUP($A10,'Small Sample 1-Single Family'!$A:$R,U$1,0),2)</f>
        <v>1.00</v>
      </c>
      <c r="V10" s="13" t="str">
        <f>FIXED(VLOOKUP($A10,'Small Sample 1-Single Family'!$A:$R,V$1,0),2)</f>
        <v>3.00</v>
      </c>
      <c r="W10" s="9" t="str">
        <f>FIXED(VLOOKUP($A10,'Small Sample 1-Single Family'!$A:$R,W$1,0),2)</f>
        <v>1.28</v>
      </c>
      <c r="X10" s="3" t="str">
        <f>FIXED(VLOOKUP($A10,'Small Sample 1-Single Family'!$A:$R,X$1,0),2)</f>
        <v>0.51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2-Single Family'!$A:$R,AA$1,0),2)</f>
        <v>1.17</v>
      </c>
      <c r="AB10" s="3" t="str">
        <f>FIXED(VLOOKUP($A10,'Small Sample 2-Single Family'!$A:$R,AB$1,0),2)</f>
        <v>0.41</v>
      </c>
      <c r="AC10" s="3" t="str">
        <f>FIXED(VLOOKUP($A10,'Small Sample 2-Single Family'!$A:$R,AC$1,0),2)</f>
        <v>1.00</v>
      </c>
      <c r="AD10" s="3" t="str">
        <f>FIXED(VLOOKUP($A10,'Small Sample 2-Single Family'!$A:$R,AD$1,0),2)</f>
        <v>4.00</v>
      </c>
      <c r="AE10" s="9" t="str">
        <f>FIXED(VLOOKUP($A10,'Small Sample 2-Single Family'!$A:$R,AE$1,0),2)</f>
        <v>1.23</v>
      </c>
      <c r="AF10" s="3" t="str">
        <f>FIXED(VLOOKUP($A10,'Small Sample 2-Single Family'!$A:$R,AF$1,0),2)</f>
        <v>0.47</v>
      </c>
      <c r="AG10" s="3" t="str">
        <f>FIXED(VLOOKUP($A10,'Small Sample 2-Single Family'!$A:$R,AG$1,0),2)</f>
        <v>1.00</v>
      </c>
      <c r="AH10" s="13" t="str">
        <f>FIXED(VLOOKUP($A10,'Small Sample 2-Single Family'!$A:$R,AH$1,0),2)</f>
        <v>4.00</v>
      </c>
      <c r="AI10" s="9" t="str">
        <f>FIXED(VLOOKUP($A10,'Small Sample 2-Single Family'!$A:$R,AI$1,0),2)</f>
        <v>1.06</v>
      </c>
      <c r="AJ10" s="3" t="str">
        <f>FIXED(VLOOKUP($A10,'Small Sample 2-Single Family'!$A:$R,AJ$1,0),2)</f>
        <v>0.25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Sample-Single Family'!$A:$R,C$1,0),2)</f>
        <v>0.42</v>
      </c>
      <c r="D11" s="3" t="str">
        <f>FIXED(VLOOKUP($A11,'Full Sample-Single Family'!$A:$R,D$1,0),2)</f>
        <v>0.49</v>
      </c>
      <c r="E11" s="3" t="str">
        <f>FIXED(VLOOKUP($A11,'Full Sample-Single Family'!$A:$R,E$1,0),2)</f>
        <v>0.00</v>
      </c>
      <c r="F11" s="3" t="str">
        <f>FIXED(VLOOKUP($A11,'Full Sample-Single Family'!$A:$R,F$1,0),2)</f>
        <v>1.00</v>
      </c>
      <c r="G11" s="9" t="str">
        <f>FIXED(VLOOKUP($A11,'Full Sample-Single Family'!$A:$R,G$1,0),2)</f>
        <v>0.00</v>
      </c>
      <c r="H11" s="3" t="str">
        <f>FIXED(VLOOKUP($A11,'Full Sample-Single Family'!$A:$R,H$1,0),2)</f>
        <v>0.00</v>
      </c>
      <c r="I11" s="3" t="str">
        <f>FIXED(VLOOKUP($A11,'Full Sample-Single Family'!$A:$R,I$1,0),2)</f>
        <v>0.00</v>
      </c>
      <c r="J11" s="13" t="str">
        <f>FIXED(VLOOKUP($A11,'Full Sample-Single Family'!$A:$R,J$1,0),2)</f>
        <v>0.00</v>
      </c>
      <c r="K11" s="9" t="str">
        <f>FIXED(VLOOKUP($A11,'Full Sample-Single Family'!$A:$R,K$1,0),2)</f>
        <v>1.00</v>
      </c>
      <c r="L11" s="3" t="str">
        <f>FIXED(VLOOKUP($A11,'Full Sample-Single Family'!$A:$R,L$1,0),2)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1-Single Family'!$A:$R,O$1,0),2)</f>
        <v>0.47</v>
      </c>
      <c r="P11" s="3" t="str">
        <f>FIXED(VLOOKUP($A11,'Small Sample 1-Single Family'!$A:$R,P$1,0),2)</f>
        <v>0.50</v>
      </c>
      <c r="Q11" s="3" t="str">
        <f>FIXED(VLOOKUP($A11,'Small Sample 1-Single Family'!$A:$R,Q$1,0),2)</f>
        <v>0.00</v>
      </c>
      <c r="R11" s="3" t="str">
        <f>FIXED(VLOOKUP($A11,'Small Sample 1-Single Family'!$A:$R,R$1,0),2)</f>
        <v>1.00</v>
      </c>
      <c r="S11" s="9" t="str">
        <f>FIXED(VLOOKUP($A11,'Small Sample 1-Single Family'!$A:$R,S$1,0),2)</f>
        <v>0.00</v>
      </c>
      <c r="T11" s="3" t="str">
        <f>FIXED(VLOOKUP($A11,'Small Sample 1-Single Family'!$A:$R,T$1,0),2)</f>
        <v>0.00</v>
      </c>
      <c r="U11" s="3" t="str">
        <f>FIXED(VLOOKUP($A11,'Small Sample 1-Single Family'!$A:$R,U$1,0),2)</f>
        <v>0.00</v>
      </c>
      <c r="V11" s="13" t="str">
        <f>FIXED(VLOOKUP($A11,'Small Sample 1-Single Family'!$A:$R,V$1,0),2)</f>
        <v>0.00</v>
      </c>
      <c r="W11" s="9" t="str">
        <f>FIXED(VLOOKUP($A11,'Small Sample 1-Single Family'!$A:$R,W$1,0),2)</f>
        <v>1.00</v>
      </c>
      <c r="X11" s="3" t="str">
        <f>FIXED(VLOOKUP($A11,'Small Sample 1-Single Family'!$A:$R,X$1,0),2)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2-Single Family'!$A:$R,AA$1,0),2)</f>
        <v>0.37</v>
      </c>
      <c r="AB11" s="3" t="str">
        <f>FIXED(VLOOKUP($A11,'Small Sample 2-Single Family'!$A:$R,AB$1,0),2)</f>
        <v>0.48</v>
      </c>
      <c r="AC11" s="3" t="str">
        <f>FIXED(VLOOKUP($A11,'Small Sample 2-Single Family'!$A:$R,AC$1,0),2)</f>
        <v>0.00</v>
      </c>
      <c r="AD11" s="3" t="str">
        <f>FIXED(VLOOKUP($A11,'Small Sample 2-Single Family'!$A:$R,AD$1,0),2)</f>
        <v>1.00</v>
      </c>
      <c r="AE11" s="9" t="str">
        <f>FIXED(VLOOKUP($A11,'Small Sample 2-Single Family'!$A:$R,AE$1,0),2)</f>
        <v>0.00</v>
      </c>
      <c r="AF11" s="3" t="str">
        <f>FIXED(VLOOKUP($A11,'Small Sample 2-Single Family'!$A:$R,AF$1,0),2)</f>
        <v>0.00</v>
      </c>
      <c r="AG11" s="3" t="str">
        <f>FIXED(VLOOKUP($A11,'Small Sample 2-Single Family'!$A:$R,AG$1,0),2)</f>
        <v>0.00</v>
      </c>
      <c r="AH11" s="13" t="str">
        <f>FIXED(VLOOKUP($A11,'Small Sample 2-Single Family'!$A:$R,AH$1,0),2)</f>
        <v>0.00</v>
      </c>
      <c r="AI11" s="9" t="str">
        <f>FIXED(VLOOKUP($A11,'Small Sample 2-Single Family'!$A:$R,AI$1,0),2)</f>
        <v>1.00</v>
      </c>
      <c r="AJ11" s="3" t="str">
        <f>FIXED(VLOOKUP($A11,'Small Sample 2-Single Family'!$A:$R,AJ$1,0),2)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Sample-Single Family'!$A:$R,C$1,0),2)</f>
        <v>0.37</v>
      </c>
      <c r="D12" s="3" t="str">
        <f>FIXED(VLOOKUP($A12,'Full Sample-Single Family'!$A:$R,D$1,0),2)</f>
        <v>0.48</v>
      </c>
      <c r="E12" s="3" t="str">
        <f>FIXED(VLOOKUP($A12,'Full Sample-Single Family'!$A:$R,E$1,0),2)</f>
        <v>0.00</v>
      </c>
      <c r="F12" s="3" t="str">
        <f>FIXED(VLOOKUP($A12,'Full Sample-Single Family'!$A:$R,F$1,0),2)</f>
        <v>1.00</v>
      </c>
      <c r="G12" s="9" t="str">
        <f>FIXED(VLOOKUP($A12,'Full Sample-Single Family'!$A:$R,G$1,0),2)</f>
        <v>0.00</v>
      </c>
      <c r="H12" s="3" t="str">
        <f>FIXED(VLOOKUP($A12,'Full Sample-Single Family'!$A:$R,H$1,0),2)</f>
        <v>0.04</v>
      </c>
      <c r="I12" s="3" t="str">
        <f>FIXED(VLOOKUP($A12,'Full Sample-Single Family'!$A:$R,I$1,0),2)</f>
        <v>0.00</v>
      </c>
      <c r="J12" s="13" t="str">
        <f>FIXED(VLOOKUP($A12,'Full Sample-Single Family'!$A:$R,J$1,0),2)</f>
        <v>1.00</v>
      </c>
      <c r="K12" s="9" t="str">
        <f>FIXED(VLOOKUP($A12,'Full Sample-Single Family'!$A:$R,K$1,0),2)</f>
        <v>0.87</v>
      </c>
      <c r="L12" s="3" t="str">
        <f>FIXED(VLOOKUP($A12,'Full Sample-Single Family'!$A:$R,L$1,0),2)</f>
        <v>0.34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1-Single Family'!$A:$R,O$1,0),2)</f>
        <v>0.41</v>
      </c>
      <c r="P12" s="3" t="str">
        <f>FIXED(VLOOKUP($A12,'Small Sample 1-Single Family'!$A:$R,P$1,0),2)</f>
        <v>0.49</v>
      </c>
      <c r="Q12" s="3" t="str">
        <f>FIXED(VLOOKUP($A12,'Small Sample 1-Single Family'!$A:$R,Q$1,0),2)</f>
        <v>0.00</v>
      </c>
      <c r="R12" s="3" t="str">
        <f>FIXED(VLOOKUP($A12,'Small Sample 1-Single Family'!$A:$R,R$1,0),2)</f>
        <v>1.00</v>
      </c>
      <c r="S12" s="9" t="str">
        <f>FIXED(VLOOKUP($A12,'Small Sample 1-Single Family'!$A:$R,S$1,0),2)</f>
        <v>0.00</v>
      </c>
      <c r="T12" s="3" t="str">
        <f>FIXED(VLOOKUP($A12,'Small Sample 1-Single Family'!$A:$R,T$1,0),2)</f>
        <v>0.04</v>
      </c>
      <c r="U12" s="3" t="str">
        <f>FIXED(VLOOKUP($A12,'Small Sample 1-Single Family'!$A:$R,U$1,0),2)</f>
        <v>0.00</v>
      </c>
      <c r="V12" s="13" t="str">
        <f>FIXED(VLOOKUP($A12,'Small Sample 1-Single Family'!$A:$R,V$1,0),2)</f>
        <v>1.00</v>
      </c>
      <c r="W12" s="9" t="str">
        <f>FIXED(VLOOKUP($A12,'Small Sample 1-Single Family'!$A:$R,W$1,0),2)</f>
        <v>0.86</v>
      </c>
      <c r="X12" s="3" t="str">
        <f>FIXED(VLOOKUP($A12,'Small Sample 1-Single Family'!$A:$R,X$1,0),2)</f>
        <v>0.34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2-Single Family'!$A:$R,AA$1,0),2)</f>
        <v>0.33</v>
      </c>
      <c r="AB12" s="3" t="str">
        <f>FIXED(VLOOKUP($A12,'Small Sample 2-Single Family'!$A:$R,AB$1,0),2)</f>
        <v>0.47</v>
      </c>
      <c r="AC12" s="3" t="str">
        <f>FIXED(VLOOKUP($A12,'Small Sample 2-Single Family'!$A:$R,AC$1,0),2)</f>
        <v>0.00</v>
      </c>
      <c r="AD12" s="3" t="str">
        <f>FIXED(VLOOKUP($A12,'Small Sample 2-Single Family'!$A:$R,AD$1,0),2)</f>
        <v>1.00</v>
      </c>
      <c r="AE12" s="9" t="str">
        <f>FIXED(VLOOKUP($A12,'Small Sample 2-Single Family'!$A:$R,AE$1,0),2)</f>
        <v>0.00</v>
      </c>
      <c r="AF12" s="3" t="str">
        <f>FIXED(VLOOKUP($A12,'Small Sample 2-Single Family'!$A:$R,AF$1,0),2)</f>
        <v>0.03</v>
      </c>
      <c r="AG12" s="3" t="str">
        <f>FIXED(VLOOKUP($A12,'Small Sample 2-Single Family'!$A:$R,AG$1,0),2)</f>
        <v>0.00</v>
      </c>
      <c r="AH12" s="13" t="str">
        <f>FIXED(VLOOKUP($A12,'Small Sample 2-Single Family'!$A:$R,AH$1,0),2)</f>
        <v>1.00</v>
      </c>
      <c r="AI12" s="9" t="str">
        <f>FIXED(VLOOKUP($A12,'Small Sample 2-Single Family'!$A:$R,AI$1,0),2)</f>
        <v>0.87</v>
      </c>
      <c r="AJ12" s="3" t="str">
        <f>FIXED(VLOOKUP($A12,'Small Sample 2-Single Family'!$A:$R,AJ$1,0),2)</f>
        <v>0.33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Sample-Single Family'!$A:$R,C$1,0),2)</f>
        <v>42.32</v>
      </c>
      <c r="D13" s="3" t="str">
        <f>FIXED(VLOOKUP($A13,'Full Sample-Single Family'!$A:$R,D$1,0),2)</f>
        <v>56.52</v>
      </c>
      <c r="E13" s="3" t="str">
        <f>FIXED(VLOOKUP($A13,'Full Sample-Single Family'!$A:$R,E$1,0),2)</f>
        <v>0.00</v>
      </c>
      <c r="F13" s="3" t="str">
        <f>FIXED(VLOOKUP($A13,'Full Sample-Single Family'!$A:$R,F$1,0),2)</f>
        <v>1,402.00</v>
      </c>
      <c r="G13" s="9" t="str">
        <f>FIXED(VLOOKUP($A13,'Full Sample-Single Family'!$A:$R,G$1,0),2)</f>
        <v>51.59</v>
      </c>
      <c r="H13" s="3" t="str">
        <f>FIXED(VLOOKUP($A13,'Full Sample-Single Family'!$A:$R,H$1,0),2)</f>
        <v>59.84</v>
      </c>
      <c r="I13" s="3" t="str">
        <f>FIXED(VLOOKUP($A13,'Full Sample-Single Family'!$A:$R,I$1,0),2)</f>
        <v>0.00</v>
      </c>
      <c r="J13" s="13" t="str">
        <f>FIXED(VLOOKUP($A13,'Full Sample-Single Family'!$A:$R,J$1,0),2)</f>
        <v>1,402.00</v>
      </c>
      <c r="K13" s="9" t="str">
        <f>FIXED(VLOOKUP($A13,'Full Sample-Single Family'!$A:$R,K$1,0),2)</f>
        <v>29.65</v>
      </c>
      <c r="L13" s="3" t="str">
        <f>FIXED(VLOOKUP($A13,'Full Sample-Single Family'!$A:$R,L$1,0),2)</f>
        <v>48.86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1-Single Family'!$A:$R,O$1,0),2)</f>
        <v>41.15</v>
      </c>
      <c r="P13" s="3" t="str">
        <f>FIXED(VLOOKUP($A13,'Small Sample 1-Single Family'!$A:$R,P$1,0),2)</f>
        <v>55.68</v>
      </c>
      <c r="Q13" s="3" t="str">
        <f>FIXED(VLOOKUP($A13,'Small Sample 1-Single Family'!$A:$R,Q$1,0),2)</f>
        <v>0.00</v>
      </c>
      <c r="R13" s="3" t="str">
        <f>FIXED(VLOOKUP($A13,'Small Sample 1-Single Family'!$A:$R,R$1,0),2)</f>
        <v>739.00</v>
      </c>
      <c r="S13" s="9" t="str">
        <f>FIXED(VLOOKUP($A13,'Small Sample 1-Single Family'!$A:$R,S$1,0),2)</f>
        <v>51.43</v>
      </c>
      <c r="T13" s="3" t="str">
        <f>FIXED(VLOOKUP($A13,'Small Sample 1-Single Family'!$A:$R,T$1,0),2)</f>
        <v>59.32</v>
      </c>
      <c r="U13" s="3" t="str">
        <f>FIXED(VLOOKUP($A13,'Small Sample 1-Single Family'!$A:$R,U$1,0),2)</f>
        <v>0.00</v>
      </c>
      <c r="V13" s="13" t="str">
        <f>FIXED(VLOOKUP($A13,'Small Sample 1-Single Family'!$A:$R,V$1,0),2)</f>
        <v>739.00</v>
      </c>
      <c r="W13" s="9" t="str">
        <f>FIXED(VLOOKUP($A13,'Small Sample 1-Single Family'!$A:$R,W$1,0),2)</f>
        <v>29.49</v>
      </c>
      <c r="X13" s="3" t="str">
        <f>FIXED(VLOOKUP($A13,'Small Sample 1-Single Family'!$A:$R,X$1,0),2)</f>
        <v>48.69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2-Single Family'!$A:$R,AA$1,0),2)</f>
        <v>44.59</v>
      </c>
      <c r="AB13" s="3" t="str">
        <f>FIXED(VLOOKUP($A13,'Small Sample 2-Single Family'!$A:$R,AB$1,0),2)</f>
        <v>58.28</v>
      </c>
      <c r="AC13" s="3" t="str">
        <f>FIXED(VLOOKUP($A13,'Small Sample 2-Single Family'!$A:$R,AC$1,0),2)</f>
        <v>0.00</v>
      </c>
      <c r="AD13" s="3" t="str">
        <f>FIXED(VLOOKUP($A13,'Small Sample 2-Single Family'!$A:$R,AD$1,0),2)</f>
        <v>1,402.00</v>
      </c>
      <c r="AE13" s="9" t="str">
        <f>FIXED(VLOOKUP($A13,'Small Sample 2-Single Family'!$A:$R,AE$1,0),2)</f>
        <v>52.40</v>
      </c>
      <c r="AF13" s="3" t="str">
        <f>FIXED(VLOOKUP($A13,'Small Sample 2-Single Family'!$A:$R,AF$1,0),2)</f>
        <v>60.49</v>
      </c>
      <c r="AG13" s="3" t="str">
        <f>FIXED(VLOOKUP($A13,'Small Sample 2-Single Family'!$A:$R,AG$1,0),2)</f>
        <v>0.00</v>
      </c>
      <c r="AH13" s="13" t="str">
        <f>FIXED(VLOOKUP($A13,'Small Sample 2-Single Family'!$A:$R,AH$1,0),2)</f>
        <v>1,402.00</v>
      </c>
      <c r="AI13" s="9" t="str">
        <f>FIXED(VLOOKUP($A13,'Small Sample 2-Single Family'!$A:$R,AI$1,0),2)</f>
        <v>31.54</v>
      </c>
      <c r="AJ13" s="3" t="str">
        <f>FIXED(VLOOKUP($A13,'Small Sample 2-Single Family'!$A:$R,AJ$1,0),2)</f>
        <v>51.83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312</v>
      </c>
      <c r="C14" s="9" t="str">
        <f>FIXED(VLOOKUP($A14,'Full Sample-Single Family'!$A:$R,C$1,0),2)</f>
        <v>2,019.04</v>
      </c>
      <c r="D14" s="3" t="str">
        <f>FIXED(VLOOKUP($A14,'Full Sample-Single Family'!$A:$R,D$1,0),2)</f>
        <v>2.01</v>
      </c>
      <c r="E14" s="3" t="str">
        <f>FIXED(VLOOKUP($A14,'Full Sample-Single Family'!$A:$R,E$1,0),2)</f>
        <v>2,016.00</v>
      </c>
      <c r="F14" s="3" t="str">
        <f>FIXED(VLOOKUP($A14,'Full Sample-Single Family'!$A:$R,F$1,0),2)</f>
        <v>2,023.00</v>
      </c>
      <c r="G14" s="9" t="str">
        <f>FIXED(VLOOKUP($A14,'Full Sample-Single Family'!$A:$R,G$1,0),2)</f>
        <v>2,017.57</v>
      </c>
      <c r="H14" s="3" t="str">
        <f>FIXED(VLOOKUP($A14,'Full Sample-Single Family'!$A:$R,H$1,0),2)</f>
        <v>1.18</v>
      </c>
      <c r="I14" s="3" t="str">
        <f>FIXED(VLOOKUP($A14,'Full Sample-Single Family'!$A:$R,I$1,0),2)</f>
        <v>2,016.00</v>
      </c>
      <c r="J14" s="13" t="str">
        <f>FIXED(VLOOKUP($A14,'Full Sample-Single Family'!$A:$R,J$1,0),2)</f>
        <v>2,020.00</v>
      </c>
      <c r="K14" s="9" t="str">
        <f>FIXED(VLOOKUP($A14,'Full Sample-Single Family'!$A:$R,K$1,0),2)</f>
        <v>2,021.04</v>
      </c>
      <c r="L14" s="3" t="str">
        <f>FIXED(VLOOKUP($A14,'Full Sample-Single Family'!$A:$R,L$1,0),2)</f>
        <v>0.83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1-Single Family'!$A:$R,O$1,0),2)</f>
        <v>2,019.24</v>
      </c>
      <c r="P14" s="3" t="str">
        <f>FIXED(VLOOKUP($A14,'Small Sample 1-Single Family'!$A:$R,P$1,0),2)</f>
        <v>2.00</v>
      </c>
      <c r="Q14" s="3" t="str">
        <f>FIXED(VLOOKUP($A14,'Small Sample 1-Single Family'!$A:$R,Q$1,0),2)</f>
        <v>2,016.00</v>
      </c>
      <c r="R14" s="3" t="str">
        <f>FIXED(VLOOKUP($A14,'Small Sample 1-Single Family'!$A:$R,R$1,0),2)</f>
        <v>2,023.00</v>
      </c>
      <c r="S14" s="9" t="str">
        <f>FIXED(VLOOKUP($A14,'Small Sample 1-Single Family'!$A:$R,S$1,0),2)</f>
        <v>2,017.63</v>
      </c>
      <c r="T14" s="3" t="str">
        <f>FIXED(VLOOKUP($A14,'Small Sample 1-Single Family'!$A:$R,T$1,0),2)</f>
        <v>1.19</v>
      </c>
      <c r="U14" s="3" t="str">
        <f>FIXED(VLOOKUP($A14,'Small Sample 1-Single Family'!$A:$R,U$1,0),2)</f>
        <v>2,016.00</v>
      </c>
      <c r="V14" s="13" t="str">
        <f>FIXED(VLOOKUP($A14,'Small Sample 1-Single Family'!$A:$R,V$1,0),2)</f>
        <v>2,020.00</v>
      </c>
      <c r="W14" s="9" t="str">
        <f>FIXED(VLOOKUP($A14,'Small Sample 1-Single Family'!$A:$R,W$1,0),2)</f>
        <v>2,021.06</v>
      </c>
      <c r="X14" s="3" t="str">
        <f>FIXED(VLOOKUP($A14,'Small Sample 1-Single Family'!$A:$R,X$1,0),2)</f>
        <v>0.82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2-Single Family'!$A:$R,AA$1,0),2)</f>
        <v>2,018.82</v>
      </c>
      <c r="AB14" s="3" t="str">
        <f>FIXED(VLOOKUP($A14,'Small Sample 2-Single Family'!$A:$R,AB$1,0),2)</f>
        <v>2.00</v>
      </c>
      <c r="AC14" s="3" t="str">
        <f>FIXED(VLOOKUP($A14,'Small Sample 2-Single Family'!$A:$R,AC$1,0),2)</f>
        <v>2,016.00</v>
      </c>
      <c r="AD14" s="3" t="str">
        <f>FIXED(VLOOKUP($A14,'Small Sample 2-Single Family'!$A:$R,AD$1,0),2)</f>
        <v>2,023.00</v>
      </c>
      <c r="AE14" s="9" t="str">
        <f>FIXED(VLOOKUP($A14,'Small Sample 2-Single Family'!$A:$R,AE$1,0),2)</f>
        <v>2,017.51</v>
      </c>
      <c r="AF14" s="3" t="str">
        <f>FIXED(VLOOKUP($A14,'Small Sample 2-Single Family'!$A:$R,AF$1,0),2)</f>
        <v>1.17</v>
      </c>
      <c r="AG14" s="3" t="str">
        <f>FIXED(VLOOKUP($A14,'Small Sample 2-Single Family'!$A:$R,AG$1,0),2)</f>
        <v>2,016.00</v>
      </c>
      <c r="AH14" s="13" t="str">
        <f>FIXED(VLOOKUP($A14,'Small Sample 2-Single Family'!$A:$R,AH$1,0),2)</f>
        <v>2,020.00</v>
      </c>
      <c r="AI14" s="9" t="str">
        <f>FIXED(VLOOKUP($A14,'Small Sample 2-Single Family'!$A:$R,AI$1,0),2)</f>
        <v>2,021.02</v>
      </c>
      <c r="AJ14" s="3" t="str">
        <f>FIXED(VLOOKUP($A14,'Small Sample 2-Single Family'!$A:$R,AJ$1,0),2)</f>
        <v>0.83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Sample-Single Family'!$A:$R,C$1,0),2)</f>
        <v>2.39</v>
      </c>
      <c r="D15" s="3" t="str">
        <f>FIXED(VLOOKUP($A15,'Full Sample-Single Family'!$A:$R,D$1,0),2)</f>
        <v>0.98</v>
      </c>
      <c r="E15" s="3" t="str">
        <f>FIXED(VLOOKUP($A15,'Full Sample-Single Family'!$A:$R,E$1,0),2)</f>
        <v>0.00</v>
      </c>
      <c r="F15" s="3" t="str">
        <f>FIXED(VLOOKUP($A15,'Full Sample-Single Family'!$A:$R,F$1,0),2)</f>
        <v>17.00</v>
      </c>
      <c r="G15" s="9" t="str">
        <f>FIXED(VLOOKUP($A15,'Full Sample-Single Family'!$A:$R,G$1,0),2)</f>
        <v>2.35</v>
      </c>
      <c r="H15" s="3" t="str">
        <f>FIXED(VLOOKUP($A15,'Full Sample-Single Family'!$A:$R,H$1,0),2)</f>
        <v>0.94</v>
      </c>
      <c r="I15" s="3" t="str">
        <f>FIXED(VLOOKUP($A15,'Full Sample-Single Family'!$A:$R,I$1,0),2)</f>
        <v>0.00</v>
      </c>
      <c r="J15" s="13" t="str">
        <f>FIXED(VLOOKUP($A15,'Full Sample-Single Family'!$A:$R,J$1,0),2)</f>
        <v>17.00</v>
      </c>
      <c r="K15" s="9" t="str">
        <f>FIXED(VLOOKUP($A15,'Full Sample-Single Family'!$A:$R,K$1,0),2)</f>
        <v>2.44</v>
      </c>
      <c r="L15" s="3" t="str">
        <f>FIXED(VLOOKUP($A15,'Full Sample-Single Family'!$A:$R,L$1,0),2)</f>
        <v>1.02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1-Single Family'!$A:$R,O$1,0),2)</f>
        <v>2.40</v>
      </c>
      <c r="P15" s="3" t="str">
        <f>FIXED(VLOOKUP($A15,'Small Sample 1-Single Family'!$A:$R,P$1,0),2)</f>
        <v>0.99</v>
      </c>
      <c r="Q15" s="3" t="str">
        <f>FIXED(VLOOKUP($A15,'Small Sample 1-Single Family'!$A:$R,Q$1,0),2)</f>
        <v>0.00</v>
      </c>
      <c r="R15" s="3" t="str">
        <f>FIXED(VLOOKUP($A15,'Small Sample 1-Single Family'!$A:$R,R$1,0),2)</f>
        <v>17.00</v>
      </c>
      <c r="S15" s="9" t="str">
        <f>FIXED(VLOOKUP($A15,'Small Sample 1-Single Family'!$A:$R,S$1,0),2)</f>
        <v>2.36</v>
      </c>
      <c r="T15" s="3" t="str">
        <f>FIXED(VLOOKUP($A15,'Small Sample 1-Single Family'!$A:$R,T$1,0),2)</f>
        <v>0.96</v>
      </c>
      <c r="U15" s="3" t="str">
        <f>FIXED(VLOOKUP($A15,'Small Sample 1-Single Family'!$A:$R,U$1,0),2)</f>
        <v>0.00</v>
      </c>
      <c r="V15" s="13" t="str">
        <f>FIXED(VLOOKUP($A15,'Small Sample 1-Single Family'!$A:$R,V$1,0),2)</f>
        <v>17.00</v>
      </c>
      <c r="W15" s="9" t="str">
        <f>FIXED(VLOOKUP($A15,'Small Sample 1-Single Family'!$A:$R,W$1,0),2)</f>
        <v>2.45</v>
      </c>
      <c r="X15" s="3" t="str">
        <f>FIXED(VLOOKUP($A15,'Small Sample 1-Single Family'!$A:$R,X$1,0),2)</f>
        <v>1.02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2-Single Family'!$A:$R,AA$1,0),2)</f>
        <v>2.39</v>
      </c>
      <c r="AB15" s="3" t="str">
        <f>FIXED(VLOOKUP($A15,'Small Sample 2-Single Family'!$A:$R,AB$1,0),2)</f>
        <v>0.98</v>
      </c>
      <c r="AC15" s="3" t="str">
        <f>FIXED(VLOOKUP($A15,'Small Sample 2-Single Family'!$A:$R,AC$1,0),2)</f>
        <v>0.00</v>
      </c>
      <c r="AD15" s="3" t="str">
        <f>FIXED(VLOOKUP($A15,'Small Sample 2-Single Family'!$A:$R,AD$1,0),2)</f>
        <v>17.00</v>
      </c>
      <c r="AE15" s="9" t="str">
        <f>FIXED(VLOOKUP($A15,'Small Sample 2-Single Family'!$A:$R,AE$1,0),2)</f>
        <v>2.36</v>
      </c>
      <c r="AF15" s="3" t="str">
        <f>FIXED(VLOOKUP($A15,'Small Sample 2-Single Family'!$A:$R,AF$1,0),2)</f>
        <v>0.94</v>
      </c>
      <c r="AG15" s="3" t="str">
        <f>FIXED(VLOOKUP($A15,'Small Sample 2-Single Family'!$A:$R,AG$1,0),2)</f>
        <v>0.00</v>
      </c>
      <c r="AH15" s="13" t="str">
        <f>FIXED(VLOOKUP($A15,'Small Sample 2-Single Family'!$A:$R,AH$1,0),2)</f>
        <v>17.00</v>
      </c>
      <c r="AI15" s="9" t="str">
        <f>FIXED(VLOOKUP($A15,'Small Sample 2-Single Family'!$A:$R,AI$1,0),2)</f>
        <v>2.45</v>
      </c>
      <c r="AJ15" s="3" t="str">
        <f>FIXED(VLOOKUP($A15,'Small Sample 2-Single Family'!$A:$R,AJ$1,0),2)</f>
        <v>1.04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Sample-Single Family'!$A:$R,C$1,0),2)</f>
        <v>0.39</v>
      </c>
      <c r="D16" s="3" t="str">
        <f>FIXED(VLOOKUP($A16,'Full Sample-Single Family'!$A:$R,D$1,0),2)</f>
        <v>0.53</v>
      </c>
      <c r="E16" s="3" t="str">
        <f>FIXED(VLOOKUP($A16,'Full Sample-Single Family'!$A:$R,E$1,0),2)</f>
        <v>0.00</v>
      </c>
      <c r="F16" s="3" t="str">
        <f>FIXED(VLOOKUP($A16,'Full Sample-Single Family'!$A:$R,F$1,0),2)</f>
        <v>5.00</v>
      </c>
      <c r="G16" s="9" t="str">
        <f>FIXED(VLOOKUP($A16,'Full Sample-Single Family'!$A:$R,G$1,0),2)</f>
        <v>0.40</v>
      </c>
      <c r="H16" s="3" t="str">
        <f>FIXED(VLOOKUP($A16,'Full Sample-Single Family'!$A:$R,H$1,0),2)</f>
        <v>0.52</v>
      </c>
      <c r="I16" s="3" t="str">
        <f>FIXED(VLOOKUP($A16,'Full Sample-Single Family'!$A:$R,I$1,0),2)</f>
        <v>0.00</v>
      </c>
      <c r="J16" s="13" t="str">
        <f>FIXED(VLOOKUP($A16,'Full Sample-Single Family'!$A:$R,J$1,0),2)</f>
        <v>5.00</v>
      </c>
      <c r="K16" s="9" t="str">
        <f>FIXED(VLOOKUP($A16,'Full Sample-Single Family'!$A:$R,K$1,0),2)</f>
        <v>0.39</v>
      </c>
      <c r="L16" s="3" t="str">
        <f>FIXED(VLOOKUP($A16,'Full Sample-Single Family'!$A:$R,L$1,0),2)</f>
        <v>0.53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1-Single Family'!$A:$R,O$1,0),2)</f>
        <v>0.38</v>
      </c>
      <c r="P16" s="3" t="str">
        <f>FIXED(VLOOKUP($A16,'Small Sample 1-Single Family'!$A:$R,P$1,0),2)</f>
        <v>0.53</v>
      </c>
      <c r="Q16" s="3" t="str">
        <f>FIXED(VLOOKUP($A16,'Small Sample 1-Single Family'!$A:$R,Q$1,0),2)</f>
        <v>0.00</v>
      </c>
      <c r="R16" s="3" t="str">
        <f>FIXED(VLOOKUP($A16,'Small Sample 1-Single Family'!$A:$R,R$1,0),2)</f>
        <v>5.00</v>
      </c>
      <c r="S16" s="9" t="str">
        <f>FIXED(VLOOKUP($A16,'Small Sample 1-Single Family'!$A:$R,S$1,0),2)</f>
        <v>0.38</v>
      </c>
      <c r="T16" s="3" t="str">
        <f>FIXED(VLOOKUP($A16,'Small Sample 1-Single Family'!$A:$R,T$1,0),2)</f>
        <v>0.52</v>
      </c>
      <c r="U16" s="3" t="str">
        <f>FIXED(VLOOKUP($A16,'Small Sample 1-Single Family'!$A:$R,U$1,0),2)</f>
        <v>0.00</v>
      </c>
      <c r="V16" s="13" t="str">
        <f>FIXED(VLOOKUP($A16,'Small Sample 1-Single Family'!$A:$R,V$1,0),2)</f>
        <v>5.00</v>
      </c>
      <c r="W16" s="9" t="str">
        <f>FIXED(VLOOKUP($A16,'Small Sample 1-Single Family'!$A:$R,W$1,0),2)</f>
        <v>0.39</v>
      </c>
      <c r="X16" s="3" t="str">
        <f>FIXED(VLOOKUP($A16,'Small Sample 1-Single Family'!$A:$R,X$1,0),2)</f>
        <v>0.53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2-Single Family'!$A:$R,AA$1,0),2)</f>
        <v>0.39</v>
      </c>
      <c r="AB16" s="3" t="str">
        <f>FIXED(VLOOKUP($A16,'Small Sample 2-Single Family'!$A:$R,AB$1,0),2)</f>
        <v>0.53</v>
      </c>
      <c r="AC16" s="3" t="str">
        <f>FIXED(VLOOKUP($A16,'Small Sample 2-Single Family'!$A:$R,AC$1,0),2)</f>
        <v>0.00</v>
      </c>
      <c r="AD16" s="3" t="str">
        <f>FIXED(VLOOKUP($A16,'Small Sample 2-Single Family'!$A:$R,AD$1,0),2)</f>
        <v>5.00</v>
      </c>
      <c r="AE16" s="9" t="str">
        <f>FIXED(VLOOKUP($A16,'Small Sample 2-Single Family'!$A:$R,AE$1,0),2)</f>
        <v>0.39</v>
      </c>
      <c r="AF16" s="3" t="str">
        <f>FIXED(VLOOKUP($A16,'Small Sample 2-Single Family'!$A:$R,AF$1,0),2)</f>
        <v>0.52</v>
      </c>
      <c r="AG16" s="3" t="str">
        <f>FIXED(VLOOKUP($A16,'Small Sample 2-Single Family'!$A:$R,AG$1,0),2)</f>
        <v>0.00</v>
      </c>
      <c r="AH16" s="13" t="str">
        <f>FIXED(VLOOKUP($A16,'Small Sample 2-Single Family'!$A:$R,AH$1,0),2)</f>
        <v>5.00</v>
      </c>
      <c r="AI16" s="9" t="str">
        <f>FIXED(VLOOKUP($A16,'Small Sample 2-Single Family'!$A:$R,AI$1,0),2)</f>
        <v>0.37</v>
      </c>
      <c r="AJ16" s="3" t="str">
        <f>FIXED(VLOOKUP($A16,'Small Sample 2-Single Family'!$A:$R,AJ$1,0),2)</f>
        <v>0.53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Sample-Single Family'!$A:$R,C$1,0),2)</f>
        <v>3.79</v>
      </c>
      <c r="D17" s="3" t="str">
        <f>FIXED(VLOOKUP($A17,'Full Sample-Single Family'!$A:$R,D$1,0),2)</f>
        <v>1.24</v>
      </c>
      <c r="E17" s="3" t="str">
        <f>FIXED(VLOOKUP($A17,'Full Sample-Single Family'!$A:$R,E$1,0),2)</f>
        <v>0.00</v>
      </c>
      <c r="F17" s="3" t="str">
        <f>FIXED(VLOOKUP($A17,'Full Sample-Single Family'!$A:$R,F$1,0),2)</f>
        <v>25.00</v>
      </c>
      <c r="G17" s="9" t="str">
        <f>FIXED(VLOOKUP($A17,'Full Sample-Single Family'!$A:$R,G$1,0),2)</f>
        <v>3.74</v>
      </c>
      <c r="H17" s="3" t="str">
        <f>FIXED(VLOOKUP($A17,'Full Sample-Single Family'!$A:$R,H$1,0),2)</f>
        <v>1.19</v>
      </c>
      <c r="I17" s="3" t="str">
        <f>FIXED(VLOOKUP($A17,'Full Sample-Single Family'!$A:$R,I$1,0),2)</f>
        <v>0.00</v>
      </c>
      <c r="J17" s="13" t="str">
        <f>FIXED(VLOOKUP($A17,'Full Sample-Single Family'!$A:$R,J$1,0),2)</f>
        <v>18.00</v>
      </c>
      <c r="K17" s="9" t="str">
        <f>FIXED(VLOOKUP($A17,'Full Sample-Single Family'!$A:$R,K$1,0),2)</f>
        <v>3.85</v>
      </c>
      <c r="L17" s="3" t="str">
        <f>FIXED(VLOOKUP($A17,'Full Sample-Single Family'!$A:$R,L$1,0),2)</f>
        <v>1.31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1-Single Family'!$A:$R,O$1,0),2)</f>
        <v>3.82</v>
      </c>
      <c r="P17" s="3" t="str">
        <f>FIXED(VLOOKUP($A17,'Small Sample 1-Single Family'!$A:$R,P$1,0),2)</f>
        <v>1.28</v>
      </c>
      <c r="Q17" s="3" t="str">
        <f>FIXED(VLOOKUP($A17,'Small Sample 1-Single Family'!$A:$R,Q$1,0),2)</f>
        <v>0.00</v>
      </c>
      <c r="R17" s="3" t="str">
        <f>FIXED(VLOOKUP($A17,'Small Sample 1-Single Family'!$A:$R,R$1,0),2)</f>
        <v>25.00</v>
      </c>
      <c r="S17" s="9" t="str">
        <f>FIXED(VLOOKUP($A17,'Small Sample 1-Single Family'!$A:$R,S$1,0),2)</f>
        <v>3.77</v>
      </c>
      <c r="T17" s="3" t="str">
        <f>FIXED(VLOOKUP($A17,'Small Sample 1-Single Family'!$A:$R,T$1,0),2)</f>
        <v>1.24</v>
      </c>
      <c r="U17" s="3" t="str">
        <f>FIXED(VLOOKUP($A17,'Small Sample 1-Single Family'!$A:$R,U$1,0),2)</f>
        <v>0.00</v>
      </c>
      <c r="V17" s="13" t="str">
        <f>FIXED(VLOOKUP($A17,'Small Sample 1-Single Family'!$A:$R,V$1,0),2)</f>
        <v>18.00</v>
      </c>
      <c r="W17" s="9" t="str">
        <f>FIXED(VLOOKUP($A17,'Small Sample 1-Single Family'!$A:$R,W$1,0),2)</f>
        <v>3.87</v>
      </c>
      <c r="X17" s="3" t="str">
        <f>FIXED(VLOOKUP($A17,'Small Sample 1-Single Family'!$A:$R,X$1,0),2)</f>
        <v>1.32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2-Single Family'!$A:$R,AA$1,0),2)</f>
        <v>3.80</v>
      </c>
      <c r="AB17" s="3" t="str">
        <f>FIXED(VLOOKUP($A17,'Small Sample 2-Single Family'!$A:$R,AB$1,0),2)</f>
        <v>1.27</v>
      </c>
      <c r="AC17" s="3" t="str">
        <f>FIXED(VLOOKUP($A17,'Small Sample 2-Single Family'!$A:$R,AC$1,0),2)</f>
        <v>0.00</v>
      </c>
      <c r="AD17" s="3" t="str">
        <f>FIXED(VLOOKUP($A17,'Small Sample 2-Single Family'!$A:$R,AD$1,0),2)</f>
        <v>25.00</v>
      </c>
      <c r="AE17" s="9" t="str">
        <f>FIXED(VLOOKUP($A17,'Small Sample 2-Single Family'!$A:$R,AE$1,0),2)</f>
        <v>3.75</v>
      </c>
      <c r="AF17" s="3" t="str">
        <f>FIXED(VLOOKUP($A17,'Small Sample 2-Single Family'!$A:$R,AF$1,0),2)</f>
        <v>1.20</v>
      </c>
      <c r="AG17" s="3" t="str">
        <f>FIXED(VLOOKUP($A17,'Small Sample 2-Single Family'!$A:$R,AG$1,0),2)</f>
        <v>0.00</v>
      </c>
      <c r="AH17" s="13" t="str">
        <f>FIXED(VLOOKUP($A17,'Small Sample 2-Single Family'!$A:$R,AH$1,0),2)</f>
        <v>18.00</v>
      </c>
      <c r="AI17" s="9" t="str">
        <f>FIXED(VLOOKUP($A17,'Small Sample 2-Single Family'!$A:$R,AI$1,0),2)</f>
        <v>3.90</v>
      </c>
      <c r="AJ17" s="3" t="str">
        <f>FIXED(VLOOKUP($A17,'Small Sample 2-Single Family'!$A:$R,AJ$1,0),2)</f>
        <v>1.37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Sample-Single Family'!$A:$R,C$1,0),2)</f>
        <v>0.44</v>
      </c>
      <c r="D18" s="3" t="str">
        <f>FIXED(VLOOKUP($A18,'Full Sample-Single Family'!$A:$R,D$1,0),2)</f>
        <v>0.50</v>
      </c>
      <c r="E18" s="3" t="str">
        <f>FIXED(VLOOKUP($A18,'Full Sample-Single Family'!$A:$R,E$1,0),2)</f>
        <v>0.00</v>
      </c>
      <c r="F18" s="3" t="str">
        <f>FIXED(VLOOKUP($A18,'Full Sample-Single Family'!$A:$R,F$1,0),2)</f>
        <v>1.00</v>
      </c>
      <c r="G18" s="9" t="str">
        <f>FIXED(VLOOKUP($A18,'Full Sample-Single Family'!$A:$R,G$1,0),2)</f>
        <v>0.43</v>
      </c>
      <c r="H18" s="3" t="str">
        <f>FIXED(VLOOKUP($A18,'Full Sample-Single Family'!$A:$R,H$1,0),2)</f>
        <v>0.50</v>
      </c>
      <c r="I18" s="3" t="str">
        <f>FIXED(VLOOKUP($A18,'Full Sample-Single Family'!$A:$R,I$1,0),2)</f>
        <v>0.00</v>
      </c>
      <c r="J18" s="13" t="str">
        <f>FIXED(VLOOKUP($A18,'Full Sample-Single Family'!$A:$R,J$1,0),2)</f>
        <v>1.00</v>
      </c>
      <c r="K18" s="9" t="str">
        <f>FIXED(VLOOKUP($A18,'Full Sample-Single Family'!$A:$R,K$1,0),2)</f>
        <v>0.44</v>
      </c>
      <c r="L18" s="3" t="str">
        <f>FIXED(VLOOKUP($A18,'Full Sample-Single Family'!$A:$R,L$1,0),2)</f>
        <v>0.50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1-Single Family'!$A:$R,O$1,0),2)</f>
        <v>0.45</v>
      </c>
      <c r="P18" s="3" t="str">
        <f>FIXED(VLOOKUP($A18,'Small Sample 1-Single Family'!$A:$R,P$1,0),2)</f>
        <v>0.50</v>
      </c>
      <c r="Q18" s="3" t="str">
        <f>FIXED(VLOOKUP($A18,'Small Sample 1-Single Family'!$A:$R,Q$1,0),2)</f>
        <v>0.00</v>
      </c>
      <c r="R18" s="3" t="str">
        <f>FIXED(VLOOKUP($A18,'Small Sample 1-Single Family'!$A:$R,R$1,0),2)</f>
        <v>1.00</v>
      </c>
      <c r="S18" s="9" t="str">
        <f>FIXED(VLOOKUP($A18,'Small Sample 1-Single Family'!$A:$R,S$1,0),2)</f>
        <v>0.46</v>
      </c>
      <c r="T18" s="3" t="str">
        <f>FIXED(VLOOKUP($A18,'Small Sample 1-Single Family'!$A:$R,T$1,0),2)</f>
        <v>0.50</v>
      </c>
      <c r="U18" s="3" t="str">
        <f>FIXED(VLOOKUP($A18,'Small Sample 1-Single Family'!$A:$R,U$1,0),2)</f>
        <v>0.00</v>
      </c>
      <c r="V18" s="13" t="str">
        <f>FIXED(VLOOKUP($A18,'Small Sample 1-Single Family'!$A:$R,V$1,0),2)</f>
        <v>1.00</v>
      </c>
      <c r="W18" s="9" t="str">
        <f>FIXED(VLOOKUP($A18,'Small Sample 1-Single Family'!$A:$R,W$1,0),2)</f>
        <v>0.44</v>
      </c>
      <c r="X18" s="3" t="str">
        <f>FIXED(VLOOKUP($A18,'Small Sample 1-Single Family'!$A:$R,X$1,0),2)</f>
        <v>0.50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2-Single Family'!$A:$R,AA$1,0),2)</f>
        <v>0.45</v>
      </c>
      <c r="AB18" s="3" t="str">
        <f>FIXED(VLOOKUP($A18,'Small Sample 2-Single Family'!$A:$R,AB$1,0),2)</f>
        <v>0.50</v>
      </c>
      <c r="AC18" s="3" t="str">
        <f>FIXED(VLOOKUP($A18,'Small Sample 2-Single Family'!$A:$R,AC$1,0),2)</f>
        <v>0.00</v>
      </c>
      <c r="AD18" s="3" t="str">
        <f>FIXED(VLOOKUP($A18,'Small Sample 2-Single Family'!$A:$R,AD$1,0),2)</f>
        <v>1.00</v>
      </c>
      <c r="AE18" s="9" t="str">
        <f>FIXED(VLOOKUP($A18,'Small Sample 2-Single Family'!$A:$R,AE$1,0),2)</f>
        <v>0.44</v>
      </c>
      <c r="AF18" s="3" t="str">
        <f>FIXED(VLOOKUP($A18,'Small Sample 2-Single Family'!$A:$R,AF$1,0),2)</f>
        <v>0.50</v>
      </c>
      <c r="AG18" s="3" t="str">
        <f>FIXED(VLOOKUP($A18,'Small Sample 2-Single Family'!$A:$R,AG$1,0),2)</f>
        <v>0.00</v>
      </c>
      <c r="AH18" s="13" t="str">
        <f>FIXED(VLOOKUP($A18,'Small Sample 2-Single Family'!$A:$R,AH$1,0),2)</f>
        <v>1.00</v>
      </c>
      <c r="AI18" s="9" t="str">
        <f>FIXED(VLOOKUP($A18,'Small Sample 2-Single Family'!$A:$R,AI$1,0),2)</f>
        <v>0.47</v>
      </c>
      <c r="AJ18" s="3" t="str">
        <f>FIXED(VLOOKUP($A18,'Small Sample 2-Single Family'!$A:$R,AJ$1,0),2)</f>
        <v>0.50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Sample-Single Family'!$A:$R,C$1,0),2)</f>
        <v>0.51</v>
      </c>
      <c r="D19" s="3" t="str">
        <f>FIXED(VLOOKUP($A19,'Full Sample-Single Family'!$A:$R,D$1,0),2)</f>
        <v>0.50</v>
      </c>
      <c r="E19" s="3" t="str">
        <f>FIXED(VLOOKUP($A19,'Full Sample-Single Family'!$A:$R,E$1,0),2)</f>
        <v>0.00</v>
      </c>
      <c r="F19" s="3" t="str">
        <f>FIXED(VLOOKUP($A19,'Full Sample-Single Family'!$A:$R,F$1,0),2)</f>
        <v>1.00</v>
      </c>
      <c r="G19" s="9" t="str">
        <f>FIXED(VLOOKUP($A19,'Full Sample-Single Family'!$A:$R,G$1,0),2)</f>
        <v>0.52</v>
      </c>
      <c r="H19" s="3" t="str">
        <f>FIXED(VLOOKUP($A19,'Full Sample-Single Family'!$A:$R,H$1,0),2)</f>
        <v>0.50</v>
      </c>
      <c r="I19" s="3" t="str">
        <f>FIXED(VLOOKUP($A19,'Full Sample-Single Family'!$A:$R,I$1,0),2)</f>
        <v>0.00</v>
      </c>
      <c r="J19" s="13" t="str">
        <f>FIXED(VLOOKUP($A19,'Full Sample-Single Family'!$A:$R,J$1,0),2)</f>
        <v>1.00</v>
      </c>
      <c r="K19" s="9" t="str">
        <f>FIXED(VLOOKUP($A19,'Full Sample-Single Family'!$A:$R,K$1,0),2)</f>
        <v>0.51</v>
      </c>
      <c r="L19" s="3" t="str">
        <f>FIXED(VLOOKUP($A19,'Full Sample-Single Family'!$A:$R,L$1,0),2)</f>
        <v>0.50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1-Single Family'!$A:$R,O$1,0),2)</f>
        <v>0.50</v>
      </c>
      <c r="P19" s="3" t="str">
        <f>FIXED(VLOOKUP($A19,'Small Sample 1-Single Family'!$A:$R,P$1,0),2)</f>
        <v>0.50</v>
      </c>
      <c r="Q19" s="3" t="str">
        <f>FIXED(VLOOKUP($A19,'Small Sample 1-Single Family'!$A:$R,Q$1,0),2)</f>
        <v>0.00</v>
      </c>
      <c r="R19" s="3" t="str">
        <f>FIXED(VLOOKUP($A19,'Small Sample 1-Single Family'!$A:$R,R$1,0),2)</f>
        <v>1.00</v>
      </c>
      <c r="S19" s="9" t="str">
        <f>FIXED(VLOOKUP($A19,'Small Sample 1-Single Family'!$A:$R,S$1,0),2)</f>
        <v>0.49</v>
      </c>
      <c r="T19" s="3" t="str">
        <f>FIXED(VLOOKUP($A19,'Small Sample 1-Single Family'!$A:$R,T$1,0),2)</f>
        <v>0.50</v>
      </c>
      <c r="U19" s="3" t="str">
        <f>FIXED(VLOOKUP($A19,'Small Sample 1-Single Family'!$A:$R,U$1,0),2)</f>
        <v>0.00</v>
      </c>
      <c r="V19" s="13" t="str">
        <f>FIXED(VLOOKUP($A19,'Small Sample 1-Single Family'!$A:$R,V$1,0),2)</f>
        <v>1.00</v>
      </c>
      <c r="W19" s="9" t="str">
        <f>FIXED(VLOOKUP($A19,'Small Sample 1-Single Family'!$A:$R,W$1,0),2)</f>
        <v>0.51</v>
      </c>
      <c r="X19" s="3" t="str">
        <f>FIXED(VLOOKUP($A19,'Small Sample 1-Single Family'!$A:$R,X$1,0),2)</f>
        <v>0.50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2-Single Family'!$A:$R,AA$1,0),2)</f>
        <v>0.50</v>
      </c>
      <c r="AB19" s="3" t="str">
        <f>FIXED(VLOOKUP($A19,'Small Sample 2-Single Family'!$A:$R,AB$1,0),2)</f>
        <v>0.50</v>
      </c>
      <c r="AC19" s="3" t="str">
        <f>FIXED(VLOOKUP($A19,'Small Sample 2-Single Family'!$A:$R,AC$1,0),2)</f>
        <v>0.00</v>
      </c>
      <c r="AD19" s="3" t="str">
        <f>FIXED(VLOOKUP($A19,'Small Sample 2-Single Family'!$A:$R,AD$1,0),2)</f>
        <v>1.00</v>
      </c>
      <c r="AE19" s="9" t="str">
        <f>FIXED(VLOOKUP($A19,'Small Sample 2-Single Family'!$A:$R,AE$1,0),2)</f>
        <v>0.51</v>
      </c>
      <c r="AF19" s="3" t="str">
        <f>FIXED(VLOOKUP($A19,'Small Sample 2-Single Family'!$A:$R,AF$1,0),2)</f>
        <v>0.50</v>
      </c>
      <c r="AG19" s="3" t="str">
        <f>FIXED(VLOOKUP($A19,'Small Sample 2-Single Family'!$A:$R,AG$1,0),2)</f>
        <v>0.00</v>
      </c>
      <c r="AH19" s="13" t="str">
        <f>FIXED(VLOOKUP($A19,'Small Sample 2-Single Family'!$A:$R,AH$1,0),2)</f>
        <v>1.00</v>
      </c>
      <c r="AI19" s="9" t="str">
        <f>FIXED(VLOOKUP($A19,'Small Sample 2-Single Family'!$A:$R,AI$1,0),2)</f>
        <v>0.47</v>
      </c>
      <c r="AJ19" s="3" t="str">
        <f>FIXED(VLOOKUP($A19,'Small Sample 2-Single Family'!$A:$R,AJ$1,0),2)</f>
        <v>0.50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Sample-Single Family'!$A:$R,C$1,0),2)</f>
        <v>0.05</v>
      </c>
      <c r="D20" s="3" t="str">
        <f>FIXED(VLOOKUP($A20,'Full Sample-Single Family'!$A:$R,D$1,0),2)</f>
        <v>0.22</v>
      </c>
      <c r="E20" s="3" t="str">
        <f>FIXED(VLOOKUP($A20,'Full Sample-Single Family'!$A:$R,E$1,0),2)</f>
        <v>0.00</v>
      </c>
      <c r="F20" s="3" t="str">
        <f>FIXED(VLOOKUP($A20,'Full Sample-Single Family'!$A:$R,F$1,0),2)</f>
        <v>1.00</v>
      </c>
      <c r="G20" s="9" t="str">
        <f>FIXED(VLOOKUP($A20,'Full Sample-Single Family'!$A:$R,G$1,0),2)</f>
        <v>0.05</v>
      </c>
      <c r="H20" s="3" t="str">
        <f>FIXED(VLOOKUP($A20,'Full Sample-Single Family'!$A:$R,H$1,0),2)</f>
        <v>0.21</v>
      </c>
      <c r="I20" s="3" t="str">
        <f>FIXED(VLOOKUP($A20,'Full Sample-Single Family'!$A:$R,I$1,0),2)</f>
        <v>0.00</v>
      </c>
      <c r="J20" s="13" t="str">
        <f>FIXED(VLOOKUP($A20,'Full Sample-Single Family'!$A:$R,J$1,0),2)</f>
        <v>1.00</v>
      </c>
      <c r="K20" s="9" t="str">
        <f>FIXED(VLOOKUP($A20,'Full Sample-Single Family'!$A:$R,K$1,0),2)</f>
        <v>0.06</v>
      </c>
      <c r="L20" s="3" t="str">
        <f>FIXED(VLOOKUP($A20,'Full Sample-Single Family'!$A:$R,L$1,0),2)</f>
        <v>0.23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1-Single Family'!$A:$R,O$1,0),2)</f>
        <v>0.05</v>
      </c>
      <c r="P20" s="3" t="str">
        <f>FIXED(VLOOKUP($A20,'Small Sample 1-Single Family'!$A:$R,P$1,0),2)</f>
        <v>0.22</v>
      </c>
      <c r="Q20" s="3" t="str">
        <f>FIXED(VLOOKUP($A20,'Small Sample 1-Single Family'!$A:$R,Q$1,0),2)</f>
        <v>0.00</v>
      </c>
      <c r="R20" s="3" t="str">
        <f>FIXED(VLOOKUP($A20,'Small Sample 1-Single Family'!$A:$R,R$1,0),2)</f>
        <v>1.00</v>
      </c>
      <c r="S20" s="9" t="str">
        <f>FIXED(VLOOKUP($A20,'Small Sample 1-Single Family'!$A:$R,S$1,0),2)</f>
        <v>0.05</v>
      </c>
      <c r="T20" s="3" t="str">
        <f>FIXED(VLOOKUP($A20,'Small Sample 1-Single Family'!$A:$R,T$1,0),2)</f>
        <v>0.22</v>
      </c>
      <c r="U20" s="3" t="str">
        <f>FIXED(VLOOKUP($A20,'Small Sample 1-Single Family'!$A:$R,U$1,0),2)</f>
        <v>0.00</v>
      </c>
      <c r="V20" s="13" t="str">
        <f>FIXED(VLOOKUP($A20,'Small Sample 1-Single Family'!$A:$R,V$1,0),2)</f>
        <v>1.00</v>
      </c>
      <c r="W20" s="9" t="str">
        <f>FIXED(VLOOKUP($A20,'Small Sample 1-Single Family'!$A:$R,W$1,0),2)</f>
        <v>0.06</v>
      </c>
      <c r="X20" s="3" t="str">
        <f>FIXED(VLOOKUP($A20,'Small Sample 1-Single Family'!$A:$R,X$1,0),2)</f>
        <v>0.23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2-Single Family'!$A:$R,AA$1,0),2)</f>
        <v>0.05</v>
      </c>
      <c r="AB20" s="3" t="str">
        <f>FIXED(VLOOKUP($A20,'Small Sample 2-Single Family'!$A:$R,AB$1,0),2)</f>
        <v>0.22</v>
      </c>
      <c r="AC20" s="3" t="str">
        <f>FIXED(VLOOKUP($A20,'Small Sample 2-Single Family'!$A:$R,AC$1,0),2)</f>
        <v>0.00</v>
      </c>
      <c r="AD20" s="3" t="str">
        <f>FIXED(VLOOKUP($A20,'Small Sample 2-Single Family'!$A:$R,AD$1,0),2)</f>
        <v>1.00</v>
      </c>
      <c r="AE20" s="9" t="str">
        <f>FIXED(VLOOKUP($A20,'Small Sample 2-Single Family'!$A:$R,AE$1,0),2)</f>
        <v>0.05</v>
      </c>
      <c r="AF20" s="3" t="str">
        <f>FIXED(VLOOKUP($A20,'Small Sample 2-Single Family'!$A:$R,AF$1,0),2)</f>
        <v>0.22</v>
      </c>
      <c r="AG20" s="3" t="str">
        <f>FIXED(VLOOKUP($A20,'Small Sample 2-Single Family'!$A:$R,AG$1,0),2)</f>
        <v>0.00</v>
      </c>
      <c r="AH20" s="13" t="str">
        <f>FIXED(VLOOKUP($A20,'Small Sample 2-Single Family'!$A:$R,AH$1,0),2)</f>
        <v>1.00</v>
      </c>
      <c r="AI20" s="9" t="str">
        <f>FIXED(VLOOKUP($A20,'Small Sample 2-Single Family'!$A:$R,AI$1,0),2)</f>
        <v>0.06</v>
      </c>
      <c r="AJ20" s="3" t="str">
        <f>FIXED(VLOOKUP($A20,'Small Sample 2-Single Family'!$A:$R,AJ$1,0),2)</f>
        <v>0.23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Sample-Single Family'!$A:$R,C$1,0),2)</f>
        <v>2,082.55</v>
      </c>
      <c r="D21" s="3" t="str">
        <f>FIXED(VLOOKUP($A21,'Full Sample-Single Family'!$A:$R,D$1,0),2)</f>
        <v>1,098.86</v>
      </c>
      <c r="E21" s="3" t="str">
        <f>FIXED(VLOOKUP($A21,'Full Sample-Single Family'!$A:$R,E$1,0),2)</f>
        <v>220.00</v>
      </c>
      <c r="F21" s="3" t="str">
        <f>FIXED(VLOOKUP($A21,'Full Sample-Single Family'!$A:$R,F$1,0),2)</f>
        <v>23,350.00</v>
      </c>
      <c r="G21" s="9" t="str">
        <f>FIXED(VLOOKUP($A21,'Full Sample-Single Family'!$A:$R,G$1,0),2)</f>
        <v>2,046.78</v>
      </c>
      <c r="H21" s="3" t="str">
        <f>FIXED(VLOOKUP($A21,'Full Sample-Single Family'!$A:$R,H$1,0),2)</f>
        <v>1,059.19</v>
      </c>
      <c r="I21" s="3" t="str">
        <f>FIXED(VLOOKUP($A21,'Full Sample-Single Family'!$A:$R,I$1,0),2)</f>
        <v>455.00</v>
      </c>
      <c r="J21" s="13" t="str">
        <f>FIXED(VLOOKUP($A21,'Full Sample-Single Family'!$A:$R,J$1,0),2)</f>
        <v>23,350.00</v>
      </c>
      <c r="K21" s="9" t="str">
        <f>FIXED(VLOOKUP($A21,'Full Sample-Single Family'!$A:$R,K$1,0),2)</f>
        <v>2,131.45</v>
      </c>
      <c r="L21" s="3" t="str">
        <f>FIXED(VLOOKUP($A21,'Full Sample-Single Family'!$A:$R,L$1,0),2)</f>
        <v>1,149.13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1-Single Family'!$A:$R,O$1,0),2)</f>
        <v>2,104.55</v>
      </c>
      <c r="P21" s="3" t="str">
        <f>FIXED(VLOOKUP($A21,'Small Sample 1-Single Family'!$A:$R,P$1,0),2)</f>
        <v>1,117.11</v>
      </c>
      <c r="Q21" s="3" t="str">
        <f>FIXED(VLOOKUP($A21,'Small Sample 1-Single Family'!$A:$R,Q$1,0),2)</f>
        <v>220.00</v>
      </c>
      <c r="R21" s="3" t="str">
        <f>FIXED(VLOOKUP($A21,'Small Sample 1-Single Family'!$A:$R,R$1,0),2)</f>
        <v>23,350.00</v>
      </c>
      <c r="S21" s="9" t="str">
        <f>FIXED(VLOOKUP($A21,'Small Sample 1-Single Family'!$A:$R,S$1,0),2)</f>
        <v>2,075.13</v>
      </c>
      <c r="T21" s="3" t="str">
        <f>FIXED(VLOOKUP($A21,'Small Sample 1-Single Family'!$A:$R,T$1,0),2)</f>
        <v>1,083.85</v>
      </c>
      <c r="U21" s="3" t="str">
        <f>FIXED(VLOOKUP($A21,'Small Sample 1-Single Family'!$A:$R,U$1,0),2)</f>
        <v>496.00</v>
      </c>
      <c r="V21" s="13" t="str">
        <f>FIXED(VLOOKUP($A21,'Small Sample 1-Single Family'!$A:$R,V$1,0),2)</f>
        <v>23,350.00</v>
      </c>
      <c r="W21" s="9" t="str">
        <f>FIXED(VLOOKUP($A21,'Small Sample 1-Single Family'!$A:$R,W$1,0),2)</f>
        <v>2,137.90</v>
      </c>
      <c r="X21" s="3" t="str">
        <f>FIXED(VLOOKUP($A21,'Small Sample 1-Single Family'!$A:$R,X$1,0),2)</f>
        <v>1,152.81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2-Single Family'!$A:$R,AA$1,0),2)</f>
        <v>2,097.06</v>
      </c>
      <c r="AB21" s="3" t="str">
        <f>FIXED(VLOOKUP($A21,'Small Sample 2-Single Family'!$A:$R,AB$1,0),2)</f>
        <v>1,114.03</v>
      </c>
      <c r="AC21" s="3" t="str">
        <f>FIXED(VLOOKUP($A21,'Small Sample 2-Single Family'!$A:$R,AC$1,0),2)</f>
        <v>220.00</v>
      </c>
      <c r="AD21" s="3" t="str">
        <f>FIXED(VLOOKUP($A21,'Small Sample 2-Single Family'!$A:$R,AD$1,0),2)</f>
        <v>23,350.00</v>
      </c>
      <c r="AE21" s="9" t="str">
        <f>FIXED(VLOOKUP($A21,'Small Sample 2-Single Family'!$A:$R,AE$1,0),2)</f>
        <v>2,055.85</v>
      </c>
      <c r="AF21" s="3" t="str">
        <f>FIXED(VLOOKUP($A21,'Small Sample 2-Single Family'!$A:$R,AF$1,0),2)</f>
        <v>1,066.57</v>
      </c>
      <c r="AG21" s="3" t="str">
        <f>FIXED(VLOOKUP($A21,'Small Sample 2-Single Family'!$A:$R,AG$1,0),2)</f>
        <v>455.00</v>
      </c>
      <c r="AH21" s="13" t="str">
        <f>FIXED(VLOOKUP($A21,'Small Sample 2-Single Family'!$A:$R,AH$1,0),2)</f>
        <v>23,350.00</v>
      </c>
      <c r="AI21" s="9" t="str">
        <f>FIXED(VLOOKUP($A21,'Small Sample 2-Single Family'!$A:$R,AI$1,0),2)</f>
        <v>2,165.95</v>
      </c>
      <c r="AJ21" s="3" t="str">
        <f>FIXED(VLOOKUP($A21,'Small Sample 2-Single Family'!$A:$R,AJ$1,0),2)</f>
        <v>1,186.04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Sample-Single Family'!$A:$R,C$1,0),2)</f>
        <v>38.74</v>
      </c>
      <c r="D22" s="3" t="str">
        <f>FIXED(VLOOKUP($A22,'Full Sample-Single Family'!$A:$R,D$1,0),2)</f>
        <v>23.16</v>
      </c>
      <c r="E22" s="3" t="str">
        <f>FIXED(VLOOKUP($A22,'Full Sample-Single Family'!$A:$R,E$1,0),2)</f>
        <v>0.00</v>
      </c>
      <c r="F22" s="3" t="str">
        <f>FIXED(VLOOKUP($A22,'Full Sample-Single Family'!$A:$R,F$1,0),2)</f>
        <v>123.00</v>
      </c>
      <c r="G22" s="9" t="str">
        <f>FIXED(VLOOKUP($A22,'Full Sample-Single Family'!$A:$R,G$1,0),2)</f>
        <v>36.60</v>
      </c>
      <c r="H22" s="3" t="str">
        <f>FIXED(VLOOKUP($A22,'Full Sample-Single Family'!$A:$R,H$1,0),2)</f>
        <v>22.88</v>
      </c>
      <c r="I22" s="3" t="str">
        <f>FIXED(VLOOKUP($A22,'Full Sample-Single Family'!$A:$R,I$1,0),2)</f>
        <v>0.00</v>
      </c>
      <c r="J22" s="13" t="str">
        <f>FIXED(VLOOKUP($A22,'Full Sample-Single Family'!$A:$R,J$1,0),2)</f>
        <v>112.00</v>
      </c>
      <c r="K22" s="9" t="str">
        <f>FIXED(VLOOKUP($A22,'Full Sample-Single Family'!$A:$R,K$1,0),2)</f>
        <v>41.66</v>
      </c>
      <c r="L22" s="3" t="str">
        <f>FIXED(VLOOKUP($A22,'Full Sample-Single Family'!$A:$R,L$1,0),2)</f>
        <v>23.21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1-Single Family'!$A:$R,O$1,0),2)</f>
        <v>39.88</v>
      </c>
      <c r="P22" s="3" t="str">
        <f>FIXED(VLOOKUP($A22,'Small Sample 1-Single Family'!$A:$R,P$1,0),2)</f>
        <v>22.97</v>
      </c>
      <c r="Q22" s="3" t="str">
        <f>FIXED(VLOOKUP($A22,'Small Sample 1-Single Family'!$A:$R,Q$1,0),2)</f>
        <v>0.00</v>
      </c>
      <c r="R22" s="3" t="str">
        <f>FIXED(VLOOKUP($A22,'Small Sample 1-Single Family'!$A:$R,R$1,0),2)</f>
        <v>123.00</v>
      </c>
      <c r="S22" s="9" t="str">
        <f>FIXED(VLOOKUP($A22,'Small Sample 1-Single Family'!$A:$R,S$1,0),2)</f>
        <v>38.31</v>
      </c>
      <c r="T22" s="3" t="str">
        <f>FIXED(VLOOKUP($A22,'Small Sample 1-Single Family'!$A:$R,T$1,0),2)</f>
        <v>22.65</v>
      </c>
      <c r="U22" s="3" t="str">
        <f>FIXED(VLOOKUP($A22,'Small Sample 1-Single Family'!$A:$R,U$1,0),2)</f>
        <v>0.00</v>
      </c>
      <c r="V22" s="13" t="str">
        <f>FIXED(VLOOKUP($A22,'Small Sample 1-Single Family'!$A:$R,V$1,0),2)</f>
        <v>112.00</v>
      </c>
      <c r="W22" s="9" t="str">
        <f>FIXED(VLOOKUP($A22,'Small Sample 1-Single Family'!$A:$R,W$1,0),2)</f>
        <v>41.66</v>
      </c>
      <c r="X22" s="3" t="str">
        <f>FIXED(VLOOKUP($A22,'Small Sample 1-Single Family'!$A:$R,X$1,0),2)</f>
        <v>23.21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2-Single Family'!$A:$R,AA$1,0),2)</f>
        <v>39.53</v>
      </c>
      <c r="AB22" s="3" t="str">
        <f>FIXED(VLOOKUP($A22,'Small Sample 2-Single Family'!$A:$R,AB$1,0),2)</f>
        <v>23.12</v>
      </c>
      <c r="AC22" s="3" t="str">
        <f>FIXED(VLOOKUP($A22,'Small Sample 2-Single Family'!$A:$R,AC$1,0),2)</f>
        <v>0.00</v>
      </c>
      <c r="AD22" s="3" t="str">
        <f>FIXED(VLOOKUP($A22,'Small Sample 2-Single Family'!$A:$R,AD$1,0),2)</f>
        <v>123.00</v>
      </c>
      <c r="AE22" s="9" t="str">
        <f>FIXED(VLOOKUP($A22,'Small Sample 2-Single Family'!$A:$R,AE$1,0),2)</f>
        <v>36.95</v>
      </c>
      <c r="AF22" s="3" t="str">
        <f>FIXED(VLOOKUP($A22,'Small Sample 2-Single Family'!$A:$R,AF$1,0),2)</f>
        <v>22.90</v>
      </c>
      <c r="AG22" s="3" t="str">
        <f>FIXED(VLOOKUP($A22,'Small Sample 2-Single Family'!$A:$R,AG$1,0),2)</f>
        <v>0.00</v>
      </c>
      <c r="AH22" s="13" t="str">
        <f>FIXED(VLOOKUP($A22,'Small Sample 2-Single Family'!$A:$R,AH$1,0),2)</f>
        <v>112.00</v>
      </c>
      <c r="AI22" s="9" t="str">
        <f>FIXED(VLOOKUP($A22,'Small Sample 2-Single Family'!$A:$R,AI$1,0),2)</f>
        <v>43.86</v>
      </c>
      <c r="AJ22" s="3" t="str">
        <f>FIXED(VLOOKUP($A22,'Small Sample 2-Single Family'!$A:$R,AJ$1,0),2)</f>
        <v>22.83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Sample-Single Family'!$A:$R,C$1,0),2)</f>
        <v>2.04</v>
      </c>
      <c r="D23" s="3" t="str">
        <f>FIXED(VLOOKUP($A23,'Full Sample-Single Family'!$A:$R,D$1,0),2)</f>
        <v>1.99</v>
      </c>
      <c r="E23" s="3" t="str">
        <f>FIXED(VLOOKUP($A23,'Full Sample-Single Family'!$A:$R,E$1,0),2)</f>
        <v>0.00</v>
      </c>
      <c r="F23" s="3" t="str">
        <f>FIXED(VLOOKUP($A23,'Full Sample-Single Family'!$A:$R,F$1,0),2)</f>
        <v>15.13</v>
      </c>
      <c r="G23" s="9" t="str">
        <f>FIXED(VLOOKUP($A23,'Full Sample-Single Family'!$A:$R,G$1,0),2)</f>
        <v>1.86</v>
      </c>
      <c r="H23" s="3" t="str">
        <f>FIXED(VLOOKUP($A23,'Full Sample-Single Family'!$A:$R,H$1,0),2)</f>
        <v>1.89</v>
      </c>
      <c r="I23" s="3" t="str">
        <f>FIXED(VLOOKUP($A23,'Full Sample-Single Family'!$A:$R,I$1,0),2)</f>
        <v>0.00</v>
      </c>
      <c r="J23" s="13" t="str">
        <f>FIXED(VLOOKUP($A23,'Full Sample-Single Family'!$A:$R,J$1,0),2)</f>
        <v>12.54</v>
      </c>
      <c r="K23" s="9" t="str">
        <f>FIXED(VLOOKUP($A23,'Full Sample-Single Family'!$A:$R,K$1,0),2)</f>
        <v>2.27</v>
      </c>
      <c r="L23" s="3" t="str">
        <f>FIXED(VLOOKUP($A23,'Full Sample-Single Family'!$A:$R,L$1,0),2)</f>
        <v>2.10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1-Single Family'!$A:$R,O$1,0),2)</f>
        <v>2.12</v>
      </c>
      <c r="P23" s="3" t="str">
        <f>FIXED(VLOOKUP($A23,'Small Sample 1-Single Family'!$A:$R,P$1,0),2)</f>
        <v>2.00</v>
      </c>
      <c r="Q23" s="3" t="str">
        <f>FIXED(VLOOKUP($A23,'Small Sample 1-Single Family'!$A:$R,Q$1,0),2)</f>
        <v>0.00</v>
      </c>
      <c r="R23" s="3" t="str">
        <f>FIXED(VLOOKUP($A23,'Small Sample 1-Single Family'!$A:$R,R$1,0),2)</f>
        <v>15.13</v>
      </c>
      <c r="S23" s="9" t="str">
        <f>FIXED(VLOOKUP($A23,'Small Sample 1-Single Family'!$A:$R,S$1,0),2)</f>
        <v>1.98</v>
      </c>
      <c r="T23" s="3" t="str">
        <f>FIXED(VLOOKUP($A23,'Small Sample 1-Single Family'!$A:$R,T$1,0),2)</f>
        <v>1.89</v>
      </c>
      <c r="U23" s="3" t="str">
        <f>FIXED(VLOOKUP($A23,'Small Sample 1-Single Family'!$A:$R,U$1,0),2)</f>
        <v>0.00</v>
      </c>
      <c r="V23" s="13" t="str">
        <f>FIXED(VLOOKUP($A23,'Small Sample 1-Single Family'!$A:$R,V$1,0),2)</f>
        <v>12.54</v>
      </c>
      <c r="W23" s="9" t="str">
        <f>FIXED(VLOOKUP($A23,'Small Sample 1-Single Family'!$A:$R,W$1,0),2)</f>
        <v>2.27</v>
      </c>
      <c r="X23" s="3" t="str">
        <f>FIXED(VLOOKUP($A23,'Small Sample 1-Single Family'!$A:$R,X$1,0),2)</f>
        <v>2.10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2-Single Family'!$A:$R,AA$1,0),2)</f>
        <v>2.10</v>
      </c>
      <c r="AB23" s="3" t="str">
        <f>FIXED(VLOOKUP($A23,'Small Sample 2-Single Family'!$A:$R,AB$1,0),2)</f>
        <v>1.99</v>
      </c>
      <c r="AC23" s="3" t="str">
        <f>FIXED(VLOOKUP($A23,'Small Sample 2-Single Family'!$A:$R,AC$1,0),2)</f>
        <v>0.00</v>
      </c>
      <c r="AD23" s="3" t="str">
        <f>FIXED(VLOOKUP($A23,'Small Sample 2-Single Family'!$A:$R,AD$1,0),2)</f>
        <v>15.13</v>
      </c>
      <c r="AE23" s="9" t="str">
        <f>FIXED(VLOOKUP($A23,'Small Sample 2-Single Family'!$A:$R,AE$1,0),2)</f>
        <v>1.89</v>
      </c>
      <c r="AF23" s="3" t="str">
        <f>FIXED(VLOOKUP($A23,'Small Sample 2-Single Family'!$A:$R,AF$1,0),2)</f>
        <v>1.89</v>
      </c>
      <c r="AG23" s="3" t="str">
        <f>FIXED(VLOOKUP($A23,'Small Sample 2-Single Family'!$A:$R,AG$1,0),2)</f>
        <v>0.00</v>
      </c>
      <c r="AH23" s="13" t="str">
        <f>FIXED(VLOOKUP($A23,'Small Sample 2-Single Family'!$A:$R,AH$1,0),2)</f>
        <v>12.54</v>
      </c>
      <c r="AI23" s="9" t="str">
        <f>FIXED(VLOOKUP($A23,'Small Sample 2-Single Family'!$A:$R,AI$1,0),2)</f>
        <v>2.45</v>
      </c>
      <c r="AJ23" s="3" t="str">
        <f>FIXED(VLOOKUP($A23,'Small Sample 2-Single Family'!$A:$R,AJ$1,0),2)</f>
        <v>2.10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Sample-Single Family'!$A:$R,C$1,0),2)</f>
        <v>0.03</v>
      </c>
      <c r="D24" s="3" t="str">
        <f>FIXED(VLOOKUP($A24,'Full Sample-Single Family'!$A:$R,D$1,0),2)</f>
        <v>0.16</v>
      </c>
      <c r="E24" s="3" t="str">
        <f>FIXED(VLOOKUP($A24,'Full Sample-Single Family'!$A:$R,E$1,0),2)</f>
        <v>0.00</v>
      </c>
      <c r="F24" s="3" t="str">
        <f>FIXED(VLOOKUP($A24,'Full Sample-Single Family'!$A:$R,F$1,0),2)</f>
        <v>1.00</v>
      </c>
      <c r="G24" s="9" t="str">
        <f>FIXED(VLOOKUP($A24,'Full Sample-Single Family'!$A:$R,G$1,0),2)</f>
        <v>0.02</v>
      </c>
      <c r="H24" s="3" t="str">
        <f>FIXED(VLOOKUP($A24,'Full Sample-Single Family'!$A:$R,H$1,0),2)</f>
        <v>0.15</v>
      </c>
      <c r="I24" s="3" t="str">
        <f>FIXED(VLOOKUP($A24,'Full Sample-Single Family'!$A:$R,I$1,0),2)</f>
        <v>0.00</v>
      </c>
      <c r="J24" s="13" t="str">
        <f>FIXED(VLOOKUP($A24,'Full Sample-Single Family'!$A:$R,J$1,0),2)</f>
        <v>1.00</v>
      </c>
      <c r="K24" s="9" t="str">
        <f>FIXED(VLOOKUP($A24,'Full Sample-Single Family'!$A:$R,K$1,0),2)</f>
        <v>0.03</v>
      </c>
      <c r="L24" s="3" t="str">
        <f>FIXED(VLOOKUP($A24,'Full Sample-Single Family'!$A:$R,L$1,0),2)</f>
        <v>0.17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1-Single Family'!$A:$R,O$1,0),2)</f>
        <v>0.03</v>
      </c>
      <c r="P24" s="3" t="str">
        <f>FIXED(VLOOKUP($A24,'Small Sample 1-Single Family'!$A:$R,P$1,0),2)</f>
        <v>0.16</v>
      </c>
      <c r="Q24" s="3" t="str">
        <f>FIXED(VLOOKUP($A24,'Small Sample 1-Single Family'!$A:$R,Q$1,0),2)</f>
        <v>0.00</v>
      </c>
      <c r="R24" s="3" t="str">
        <f>FIXED(VLOOKUP($A24,'Small Sample 1-Single Family'!$A:$R,R$1,0),2)</f>
        <v>1.00</v>
      </c>
      <c r="S24" s="9" t="str">
        <f>FIXED(VLOOKUP($A24,'Small Sample 1-Single Family'!$A:$R,S$1,0),2)</f>
        <v>0.03</v>
      </c>
      <c r="T24" s="3" t="str">
        <f>FIXED(VLOOKUP($A24,'Small Sample 1-Single Family'!$A:$R,T$1,0),2)</f>
        <v>0.16</v>
      </c>
      <c r="U24" s="3" t="str">
        <f>FIXED(VLOOKUP($A24,'Small Sample 1-Single Family'!$A:$R,U$1,0),2)</f>
        <v>0.00</v>
      </c>
      <c r="V24" s="13" t="str">
        <f>FIXED(VLOOKUP($A24,'Small Sample 1-Single Family'!$A:$R,V$1,0),2)</f>
        <v>1.00</v>
      </c>
      <c r="W24" s="9" t="str">
        <f>FIXED(VLOOKUP($A24,'Small Sample 1-Single Family'!$A:$R,W$1,0),2)</f>
        <v>0.03</v>
      </c>
      <c r="X24" s="3" t="str">
        <f>FIXED(VLOOKUP($A24,'Small Sample 1-Single Family'!$A:$R,X$1,0),2)</f>
        <v>0.17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2-Single Family'!$A:$R,AA$1,0),2)</f>
        <v>0.03</v>
      </c>
      <c r="AB24" s="3" t="str">
        <f>FIXED(VLOOKUP($A24,'Small Sample 2-Single Family'!$A:$R,AB$1,0),2)</f>
        <v>0.16</v>
      </c>
      <c r="AC24" s="3" t="str">
        <f>FIXED(VLOOKUP($A24,'Small Sample 2-Single Family'!$A:$R,AC$1,0),2)</f>
        <v>0.00</v>
      </c>
      <c r="AD24" s="3" t="str">
        <f>FIXED(VLOOKUP($A24,'Small Sample 2-Single Family'!$A:$R,AD$1,0),2)</f>
        <v>1.00</v>
      </c>
      <c r="AE24" s="9" t="str">
        <f>FIXED(VLOOKUP($A24,'Small Sample 2-Single Family'!$A:$R,AE$1,0),2)</f>
        <v>0.02</v>
      </c>
      <c r="AF24" s="3" t="str">
        <f>FIXED(VLOOKUP($A24,'Small Sample 2-Single Family'!$A:$R,AF$1,0),2)</f>
        <v>0.15</v>
      </c>
      <c r="AG24" s="3" t="str">
        <f>FIXED(VLOOKUP($A24,'Small Sample 2-Single Family'!$A:$R,AG$1,0),2)</f>
        <v>0.00</v>
      </c>
      <c r="AH24" s="13" t="str">
        <f>FIXED(VLOOKUP($A24,'Small Sample 2-Single Family'!$A:$R,AH$1,0),2)</f>
        <v>1.00</v>
      </c>
      <c r="AI24" s="9" t="str">
        <f>FIXED(VLOOKUP($A24,'Small Sample 2-Single Family'!$A:$R,AI$1,0),2)</f>
        <v>0.03</v>
      </c>
      <c r="AJ24" s="3" t="str">
        <f>FIXED(VLOOKUP($A24,'Small Sample 2-Single Family'!$A:$R,AJ$1,0),2)</f>
        <v>0.18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Sample-Single Family'!$A:$R,C$1,0),2)</f>
        <v>0.22</v>
      </c>
      <c r="D25" s="3" t="str">
        <f>FIXED(VLOOKUP($A25,'Full Sample-Single Family'!$A:$R,D$1,0),2)</f>
        <v>0.41</v>
      </c>
      <c r="E25" s="3" t="str">
        <f>FIXED(VLOOKUP($A25,'Full Sample-Single Family'!$A:$R,E$1,0),2)</f>
        <v>0.00</v>
      </c>
      <c r="F25" s="3" t="str">
        <f>FIXED(VLOOKUP($A25,'Full Sample-Single Family'!$A:$R,F$1,0),2)</f>
        <v>1.00</v>
      </c>
      <c r="G25" s="9" t="str">
        <f>FIXED(VLOOKUP($A25,'Full Sample-Single Family'!$A:$R,G$1,0),2)</f>
        <v>0.21</v>
      </c>
      <c r="H25" s="3" t="str">
        <f>FIXED(VLOOKUP($A25,'Full Sample-Single Family'!$A:$R,H$1,0),2)</f>
        <v>0.41</v>
      </c>
      <c r="I25" s="3" t="str">
        <f>FIXED(VLOOKUP($A25,'Full Sample-Single Family'!$A:$R,I$1,0),2)</f>
        <v>0.00</v>
      </c>
      <c r="J25" s="13" t="str">
        <f>FIXED(VLOOKUP($A25,'Full Sample-Single Family'!$A:$R,J$1,0),2)</f>
        <v>1.00</v>
      </c>
      <c r="K25" s="9" t="str">
        <f>FIXED(VLOOKUP($A25,'Full Sample-Single Family'!$A:$R,K$1,0),2)</f>
        <v>0.22</v>
      </c>
      <c r="L25" s="3" t="str">
        <f>FIXED(VLOOKUP($A25,'Full Sample-Single Family'!$A:$R,L$1,0),2)</f>
        <v>0.42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1-Single Family'!$A:$R,O$1,0),2)</f>
        <v>0.22</v>
      </c>
      <c r="P25" s="3" t="str">
        <f>FIXED(VLOOKUP($A25,'Small Sample 1-Single Family'!$A:$R,P$1,0),2)</f>
        <v>0.42</v>
      </c>
      <c r="Q25" s="3" t="str">
        <f>FIXED(VLOOKUP($A25,'Small Sample 1-Single Family'!$A:$R,Q$1,0),2)</f>
        <v>0.00</v>
      </c>
      <c r="R25" s="3" t="str">
        <f>FIXED(VLOOKUP($A25,'Small Sample 1-Single Family'!$A:$R,R$1,0),2)</f>
        <v>1.00</v>
      </c>
      <c r="S25" s="9" t="str">
        <f>FIXED(VLOOKUP($A25,'Small Sample 1-Single Family'!$A:$R,S$1,0),2)</f>
        <v>0.22</v>
      </c>
      <c r="T25" s="3" t="str">
        <f>FIXED(VLOOKUP($A25,'Small Sample 1-Single Family'!$A:$R,T$1,0),2)</f>
        <v>0.41</v>
      </c>
      <c r="U25" s="3" t="str">
        <f>FIXED(VLOOKUP($A25,'Small Sample 1-Single Family'!$A:$R,U$1,0),2)</f>
        <v>0.00</v>
      </c>
      <c r="V25" s="13" t="str">
        <f>FIXED(VLOOKUP($A25,'Small Sample 1-Single Family'!$A:$R,V$1,0),2)</f>
        <v>1.00</v>
      </c>
      <c r="W25" s="9" t="str">
        <f>FIXED(VLOOKUP($A25,'Small Sample 1-Single Family'!$A:$R,W$1,0),2)</f>
        <v>0.22</v>
      </c>
      <c r="X25" s="3" t="str">
        <f>FIXED(VLOOKUP($A25,'Small Sample 1-Single Family'!$A:$R,X$1,0),2)</f>
        <v>0.42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2-Single Family'!$A:$R,AA$1,0),2)</f>
        <v>0.23</v>
      </c>
      <c r="AB25" s="3" t="str">
        <f>FIXED(VLOOKUP($A25,'Small Sample 2-Single Family'!$A:$R,AB$1,0),2)</f>
        <v>0.42</v>
      </c>
      <c r="AC25" s="3" t="str">
        <f>FIXED(VLOOKUP($A25,'Small Sample 2-Single Family'!$A:$R,AC$1,0),2)</f>
        <v>0.00</v>
      </c>
      <c r="AD25" s="3" t="str">
        <f>FIXED(VLOOKUP($A25,'Small Sample 2-Single Family'!$A:$R,AD$1,0),2)</f>
        <v>1.00</v>
      </c>
      <c r="AE25" s="9" t="str">
        <f>FIXED(VLOOKUP($A25,'Small Sample 2-Single Family'!$A:$R,AE$1,0),2)</f>
        <v>0.22</v>
      </c>
      <c r="AF25" s="3" t="str">
        <f>FIXED(VLOOKUP($A25,'Small Sample 2-Single Family'!$A:$R,AF$1,0),2)</f>
        <v>0.41</v>
      </c>
      <c r="AG25" s="3" t="str">
        <f>FIXED(VLOOKUP($A25,'Small Sample 2-Single Family'!$A:$R,AG$1,0),2)</f>
        <v>0.00</v>
      </c>
      <c r="AH25" s="13" t="str">
        <f>FIXED(VLOOKUP($A25,'Small Sample 2-Single Family'!$A:$R,AH$1,0),2)</f>
        <v>1.00</v>
      </c>
      <c r="AI25" s="9" t="str">
        <f>FIXED(VLOOKUP($A25,'Small Sample 2-Single Family'!$A:$R,AI$1,0),2)</f>
        <v>0.26</v>
      </c>
      <c r="AJ25" s="3" t="str">
        <f>FIXED(VLOOKUP($A25,'Small Sample 2-Single Family'!$A:$R,AJ$1,0),2)</f>
        <v>0.44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Sample-Single Family'!$A:$R,C$1,0),2)</f>
        <v>0.30</v>
      </c>
      <c r="D26" s="3" t="str">
        <f>FIXED(VLOOKUP($A26,'Full Sample-Single Family'!$A:$R,D$1,0),2)</f>
        <v>0.46</v>
      </c>
      <c r="E26" s="3" t="str">
        <f>FIXED(VLOOKUP($A26,'Full Sample-Single Family'!$A:$R,E$1,0),2)</f>
        <v>0.00</v>
      </c>
      <c r="F26" s="3" t="str">
        <f>FIXED(VLOOKUP($A26,'Full Sample-Single Family'!$A:$R,F$1,0),2)</f>
        <v>1.00</v>
      </c>
      <c r="G26" s="9" t="str">
        <f>FIXED(VLOOKUP($A26,'Full Sample-Single Family'!$A:$R,G$1,0),2)</f>
        <v>0.32</v>
      </c>
      <c r="H26" s="3" t="str">
        <f>FIXED(VLOOKUP($A26,'Full Sample-Single Family'!$A:$R,H$1,0),2)</f>
        <v>0.47</v>
      </c>
      <c r="I26" s="3" t="str">
        <f>FIXED(VLOOKUP($A26,'Full Sample-Single Family'!$A:$R,I$1,0),2)</f>
        <v>0.00</v>
      </c>
      <c r="J26" s="13" t="str">
        <f>FIXED(VLOOKUP($A26,'Full Sample-Single Family'!$A:$R,J$1,0),2)</f>
        <v>1.00</v>
      </c>
      <c r="K26" s="9" t="str">
        <f>FIXED(VLOOKUP($A26,'Full Sample-Single Family'!$A:$R,K$1,0),2)</f>
        <v>0.28</v>
      </c>
      <c r="L26" s="3" t="str">
        <f>FIXED(VLOOKUP($A26,'Full Sample-Single Family'!$A:$R,L$1,0),2)</f>
        <v>0.45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1-Single Family'!$A:$R,O$1,0),2)</f>
        <v>0.30</v>
      </c>
      <c r="P26" s="3" t="str">
        <f>FIXED(VLOOKUP($A26,'Small Sample 1-Single Family'!$A:$R,P$1,0),2)</f>
        <v>0.46</v>
      </c>
      <c r="Q26" s="3" t="str">
        <f>FIXED(VLOOKUP($A26,'Small Sample 1-Single Family'!$A:$R,Q$1,0),2)</f>
        <v>0.00</v>
      </c>
      <c r="R26" s="3" t="str">
        <f>FIXED(VLOOKUP($A26,'Small Sample 1-Single Family'!$A:$R,R$1,0),2)</f>
        <v>1.00</v>
      </c>
      <c r="S26" s="9" t="str">
        <f>FIXED(VLOOKUP($A26,'Small Sample 1-Single Family'!$A:$R,S$1,0),2)</f>
        <v>0.31</v>
      </c>
      <c r="T26" s="3" t="str">
        <f>FIXED(VLOOKUP($A26,'Small Sample 1-Single Family'!$A:$R,T$1,0),2)</f>
        <v>0.46</v>
      </c>
      <c r="U26" s="3" t="str">
        <f>FIXED(VLOOKUP($A26,'Small Sample 1-Single Family'!$A:$R,U$1,0),2)</f>
        <v>0.00</v>
      </c>
      <c r="V26" s="13" t="str">
        <f>FIXED(VLOOKUP($A26,'Small Sample 1-Single Family'!$A:$R,V$1,0),2)</f>
        <v>1.00</v>
      </c>
      <c r="W26" s="9" t="str">
        <f>FIXED(VLOOKUP($A26,'Small Sample 1-Single Family'!$A:$R,W$1,0),2)</f>
        <v>0.28</v>
      </c>
      <c r="X26" s="3" t="str">
        <f>FIXED(VLOOKUP($A26,'Small Sample 1-Single Family'!$A:$R,X$1,0),2)</f>
        <v>0.45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2-Single Family'!$A:$R,AA$1,0),2)</f>
        <v>0.29</v>
      </c>
      <c r="AB26" s="3" t="str">
        <f>FIXED(VLOOKUP($A26,'Small Sample 2-Single Family'!$A:$R,AB$1,0),2)</f>
        <v>0.45</v>
      </c>
      <c r="AC26" s="3" t="str">
        <f>FIXED(VLOOKUP($A26,'Small Sample 2-Single Family'!$A:$R,AC$1,0),2)</f>
        <v>0.00</v>
      </c>
      <c r="AD26" s="3" t="str">
        <f>FIXED(VLOOKUP($A26,'Small Sample 2-Single Family'!$A:$R,AD$1,0),2)</f>
        <v>1.00</v>
      </c>
      <c r="AE26" s="9" t="str">
        <f>FIXED(VLOOKUP($A26,'Small Sample 2-Single Family'!$A:$R,AE$1,0),2)</f>
        <v>0.31</v>
      </c>
      <c r="AF26" s="3" t="str">
        <f>FIXED(VLOOKUP($A26,'Small Sample 2-Single Family'!$A:$R,AF$1,0),2)</f>
        <v>0.46</v>
      </c>
      <c r="AG26" s="3" t="str">
        <f>FIXED(VLOOKUP($A26,'Small Sample 2-Single Family'!$A:$R,AG$1,0),2)</f>
        <v>0.00</v>
      </c>
      <c r="AH26" s="13" t="str">
        <f>FIXED(VLOOKUP($A26,'Small Sample 2-Single Family'!$A:$R,AH$1,0),2)</f>
        <v>1.00</v>
      </c>
      <c r="AI26" s="9" t="str">
        <f>FIXED(VLOOKUP($A26,'Small Sample 2-Single Family'!$A:$R,AI$1,0),2)</f>
        <v>0.25</v>
      </c>
      <c r="AJ26" s="3" t="str">
        <f>FIXED(VLOOKUP($A26,'Small Sample 2-Single Family'!$A:$R,AJ$1,0),2)</f>
        <v>0.44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Sample-Single Family'!$A:$R,C$1,0),2)</f>
        <v>0.41</v>
      </c>
      <c r="D27" s="3" t="str">
        <f>FIXED(VLOOKUP($A27,'Full Sample-Single Family'!$A:$R,D$1,0),2)</f>
        <v>0.49</v>
      </c>
      <c r="E27" s="3" t="str">
        <f>FIXED(VLOOKUP($A27,'Full Sample-Single Family'!$A:$R,E$1,0),2)</f>
        <v>0.00</v>
      </c>
      <c r="F27" s="3" t="str">
        <f>FIXED(VLOOKUP($A27,'Full Sample-Single Family'!$A:$R,F$1,0),2)</f>
        <v>1.00</v>
      </c>
      <c r="G27" s="9" t="str">
        <f>FIXED(VLOOKUP($A27,'Full Sample-Single Family'!$A:$R,G$1,0),2)</f>
        <v>0.40</v>
      </c>
      <c r="H27" s="3" t="str">
        <f>FIXED(VLOOKUP($A27,'Full Sample-Single Family'!$A:$R,H$1,0),2)</f>
        <v>0.49</v>
      </c>
      <c r="I27" s="3" t="str">
        <f>FIXED(VLOOKUP($A27,'Full Sample-Single Family'!$A:$R,I$1,0),2)</f>
        <v>0.00</v>
      </c>
      <c r="J27" s="13" t="str">
        <f>FIXED(VLOOKUP($A27,'Full Sample-Single Family'!$A:$R,J$1,0),2)</f>
        <v>1.00</v>
      </c>
      <c r="K27" s="9" t="str">
        <f>FIXED(VLOOKUP($A27,'Full Sample-Single Family'!$A:$R,K$1,0),2)</f>
        <v>0.43</v>
      </c>
      <c r="L27" s="3" t="str">
        <f>FIXED(VLOOKUP($A27,'Full Sample-Single Family'!$A:$R,L$1,0),2)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1-Single Family'!$A:$R,O$1,0),2)</f>
        <v>0.41</v>
      </c>
      <c r="P27" s="3" t="str">
        <f>FIXED(VLOOKUP($A27,'Small Sample 1-Single Family'!$A:$R,P$1,0),2)</f>
        <v>0.49</v>
      </c>
      <c r="Q27" s="3" t="str">
        <f>FIXED(VLOOKUP($A27,'Small Sample 1-Single Family'!$A:$R,Q$1,0),2)</f>
        <v>0.00</v>
      </c>
      <c r="R27" s="3" t="str">
        <f>FIXED(VLOOKUP($A27,'Small Sample 1-Single Family'!$A:$R,R$1,0),2)</f>
        <v>1.00</v>
      </c>
      <c r="S27" s="9" t="str">
        <f>FIXED(VLOOKUP($A27,'Small Sample 1-Single Family'!$A:$R,S$1,0),2)</f>
        <v>0.39</v>
      </c>
      <c r="T27" s="3" t="str">
        <f>FIXED(VLOOKUP($A27,'Small Sample 1-Single Family'!$A:$R,T$1,0),2)</f>
        <v>0.49</v>
      </c>
      <c r="U27" s="3" t="str">
        <f>FIXED(VLOOKUP($A27,'Small Sample 1-Single Family'!$A:$R,U$1,0),2)</f>
        <v>0.00</v>
      </c>
      <c r="V27" s="13" t="str">
        <f>FIXED(VLOOKUP($A27,'Small Sample 1-Single Family'!$A:$R,V$1,0),2)</f>
        <v>1.00</v>
      </c>
      <c r="W27" s="9" t="str">
        <f>FIXED(VLOOKUP($A27,'Small Sample 1-Single Family'!$A:$R,W$1,0),2)</f>
        <v>0.43</v>
      </c>
      <c r="X27" s="3" t="str">
        <f>FIXED(VLOOKUP($A27,'Small Sample 1-Single Family'!$A:$R,X$1,0),2)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2-Single Family'!$A:$R,AA$1,0),2)</f>
        <v>0.40</v>
      </c>
      <c r="AB27" s="3" t="str">
        <f>FIXED(VLOOKUP($A27,'Small Sample 2-Single Family'!$A:$R,AB$1,0),2)</f>
        <v>0.49</v>
      </c>
      <c r="AC27" s="3" t="str">
        <f>FIXED(VLOOKUP($A27,'Small Sample 2-Single Family'!$A:$R,AC$1,0),2)</f>
        <v>0.00</v>
      </c>
      <c r="AD27" s="3" t="str">
        <f>FIXED(VLOOKUP($A27,'Small Sample 2-Single Family'!$A:$R,AD$1,0),2)</f>
        <v>1.00</v>
      </c>
      <c r="AE27" s="9" t="str">
        <f>FIXED(VLOOKUP($A27,'Small Sample 2-Single Family'!$A:$R,AE$1,0),2)</f>
        <v>0.39</v>
      </c>
      <c r="AF27" s="3" t="str">
        <f>FIXED(VLOOKUP($A27,'Small Sample 2-Single Family'!$A:$R,AF$1,0),2)</f>
        <v>0.49</v>
      </c>
      <c r="AG27" s="3" t="str">
        <f>FIXED(VLOOKUP($A27,'Small Sample 2-Single Family'!$A:$R,AG$1,0),2)</f>
        <v>0.00</v>
      </c>
      <c r="AH27" s="13" t="str">
        <f>FIXED(VLOOKUP($A27,'Small Sample 2-Single Family'!$A:$R,AH$1,0),2)</f>
        <v>1.00</v>
      </c>
      <c r="AI27" s="9" t="str">
        <f>FIXED(VLOOKUP($A27,'Small Sample 2-Single Family'!$A:$R,AI$1,0),2)</f>
        <v>0.40</v>
      </c>
      <c r="AJ27" s="3" t="str">
        <f>FIXED(VLOOKUP($A27,'Small Sample 2-Single Family'!$A:$R,AJ$1,0),2)</f>
        <v>0.49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Sample-Single Family'!$A:$R,C$1,0),2)</f>
        <v>0.07</v>
      </c>
      <c r="D28" s="3" t="str">
        <f>FIXED(VLOOKUP($A28,'Full Sample-Single Family'!$A:$R,D$1,0),2)</f>
        <v>0.26</v>
      </c>
      <c r="E28" s="3" t="str">
        <f>FIXED(VLOOKUP($A28,'Full Sample-Single Family'!$A:$R,E$1,0),2)</f>
        <v>0.00</v>
      </c>
      <c r="F28" s="3" t="str">
        <f>FIXED(VLOOKUP($A28,'Full Sample-Single Family'!$A:$R,F$1,0),2)</f>
        <v>1.00</v>
      </c>
      <c r="G28" s="9" t="str">
        <f>FIXED(VLOOKUP($A28,'Full Sample-Single Family'!$A:$R,G$1,0),2)</f>
        <v>0.08</v>
      </c>
      <c r="H28" s="3" t="str">
        <f>FIXED(VLOOKUP($A28,'Full Sample-Single Family'!$A:$R,H$1,0),2)</f>
        <v>0.27</v>
      </c>
      <c r="I28" s="3" t="str">
        <f>FIXED(VLOOKUP($A28,'Full Sample-Single Family'!$A:$R,I$1,0),2)</f>
        <v>0.00</v>
      </c>
      <c r="J28" s="13" t="str">
        <f>FIXED(VLOOKUP($A28,'Full Sample-Single Family'!$A:$R,J$1,0),2)</f>
        <v>1.00</v>
      </c>
      <c r="K28" s="9" t="str">
        <f>FIXED(VLOOKUP($A28,'Full Sample-Single Family'!$A:$R,K$1,0),2)</f>
        <v>0.07</v>
      </c>
      <c r="L28" s="3" t="str">
        <f>FIXED(VLOOKUP($A28,'Full Sample-Single Family'!$A:$R,L$1,0),2)</f>
        <v>0.26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1-Single Family'!$A:$R,O$1,0),2)</f>
        <v>0.07</v>
      </c>
      <c r="P28" s="3" t="str">
        <f>FIXED(VLOOKUP($A28,'Small Sample 1-Single Family'!$A:$R,P$1,0),2)</f>
        <v>0.25</v>
      </c>
      <c r="Q28" s="3" t="str">
        <f>FIXED(VLOOKUP($A28,'Small Sample 1-Single Family'!$A:$R,Q$1,0),2)</f>
        <v>0.00</v>
      </c>
      <c r="R28" s="3" t="str">
        <f>FIXED(VLOOKUP($A28,'Small Sample 1-Single Family'!$A:$R,R$1,0),2)</f>
        <v>1.00</v>
      </c>
      <c r="S28" s="9" t="str">
        <f>FIXED(VLOOKUP($A28,'Small Sample 1-Single Family'!$A:$R,S$1,0),2)</f>
        <v>0.08</v>
      </c>
      <c r="T28" s="3" t="str">
        <f>FIXED(VLOOKUP($A28,'Small Sample 1-Single Family'!$A:$R,T$1,0),2)</f>
        <v>0.26</v>
      </c>
      <c r="U28" s="3" t="str">
        <f>FIXED(VLOOKUP($A28,'Small Sample 1-Single Family'!$A:$R,U$1,0),2)</f>
        <v>0.00</v>
      </c>
      <c r="V28" s="13" t="str">
        <f>FIXED(VLOOKUP($A28,'Small Sample 1-Single Family'!$A:$R,V$1,0),2)</f>
        <v>1.00</v>
      </c>
      <c r="W28" s="9" t="str">
        <f>FIXED(VLOOKUP($A28,'Small Sample 1-Single Family'!$A:$R,W$1,0),2)</f>
        <v>0.06</v>
      </c>
      <c r="X28" s="3" t="str">
        <f>FIXED(VLOOKUP($A28,'Small Sample 1-Single Family'!$A:$R,X$1,0),2)</f>
        <v>0.25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2-Single Family'!$A:$R,AA$1,0),2)</f>
        <v>0.08</v>
      </c>
      <c r="AB28" s="3" t="str">
        <f>FIXED(VLOOKUP($A28,'Small Sample 2-Single Family'!$A:$R,AB$1,0),2)</f>
        <v>0.28</v>
      </c>
      <c r="AC28" s="3" t="str">
        <f>FIXED(VLOOKUP($A28,'Small Sample 2-Single Family'!$A:$R,AC$1,0),2)</f>
        <v>0.00</v>
      </c>
      <c r="AD28" s="3" t="str">
        <f>FIXED(VLOOKUP($A28,'Small Sample 2-Single Family'!$A:$R,AD$1,0),2)</f>
        <v>1.00</v>
      </c>
      <c r="AE28" s="9" t="str">
        <f>FIXED(VLOOKUP($A28,'Small Sample 2-Single Family'!$A:$R,AE$1,0),2)</f>
        <v>0.08</v>
      </c>
      <c r="AF28" s="3" t="str">
        <f>FIXED(VLOOKUP($A28,'Small Sample 2-Single Family'!$A:$R,AF$1,0),2)</f>
        <v>0.27</v>
      </c>
      <c r="AG28" s="3" t="str">
        <f>FIXED(VLOOKUP($A28,'Small Sample 2-Single Family'!$A:$R,AG$1,0),2)</f>
        <v>0.00</v>
      </c>
      <c r="AH28" s="13" t="str">
        <f>FIXED(VLOOKUP($A28,'Small Sample 2-Single Family'!$A:$R,AH$1,0),2)</f>
        <v>1.00</v>
      </c>
      <c r="AI28" s="9" t="str">
        <f>FIXED(VLOOKUP($A28,'Small Sample 2-Single Family'!$A:$R,AI$1,0),2)</f>
        <v>0.09</v>
      </c>
      <c r="AJ28" s="3" t="str">
        <f>FIXED(VLOOKUP($A28,'Small Sample 2-Single Family'!$A:$R,AJ$1,0),2)</f>
        <v>0.29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Sample-Single Family'!$A:$R,C$1,0),2)</f>
        <v>0.05</v>
      </c>
      <c r="D29" s="3" t="str">
        <f>FIXED(VLOOKUP($A29,'Full Sample-Single Family'!$A:$R,D$1,0),2)</f>
        <v>0.21</v>
      </c>
      <c r="E29" s="3" t="str">
        <f>FIXED(VLOOKUP($A29,'Full Sample-Single Family'!$A:$R,E$1,0),2)</f>
        <v>0.00</v>
      </c>
      <c r="F29" s="3" t="str">
        <f>FIXED(VLOOKUP($A29,'Full Sample-Single Family'!$A:$R,F$1,0),2)</f>
        <v>1.00</v>
      </c>
      <c r="G29" s="9" t="str">
        <f>FIXED(VLOOKUP($A29,'Full Sample-Single Family'!$A:$R,G$1,0),2)</f>
        <v>0.04</v>
      </c>
      <c r="H29" s="3" t="str">
        <f>FIXED(VLOOKUP($A29,'Full Sample-Single Family'!$A:$R,H$1,0),2)</f>
        <v>0.20</v>
      </c>
      <c r="I29" s="3" t="str">
        <f>FIXED(VLOOKUP($A29,'Full Sample-Single Family'!$A:$R,I$1,0),2)</f>
        <v>0.00</v>
      </c>
      <c r="J29" s="13" t="str">
        <f>FIXED(VLOOKUP($A29,'Full Sample-Single Family'!$A:$R,J$1,0),2)</f>
        <v>1.00</v>
      </c>
      <c r="K29" s="9" t="str">
        <f>FIXED(VLOOKUP($A29,'Full Sample-Single Family'!$A:$R,K$1,0),2)</f>
        <v>0.05</v>
      </c>
      <c r="L29" s="3" t="str">
        <f>FIXED(VLOOKUP($A29,'Full Sample-Single Family'!$A:$R,L$1,0),2)</f>
        <v>0.21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1-Single Family'!$A:$R,O$1,0),2)</f>
        <v>0.05</v>
      </c>
      <c r="P29" s="3" t="str">
        <f>FIXED(VLOOKUP($A29,'Small Sample 1-Single Family'!$A:$R,P$1,0),2)</f>
        <v>0.21</v>
      </c>
      <c r="Q29" s="3" t="str">
        <f>FIXED(VLOOKUP($A29,'Small Sample 1-Single Family'!$A:$R,Q$1,0),2)</f>
        <v>0.00</v>
      </c>
      <c r="R29" s="3" t="str">
        <f>FIXED(VLOOKUP($A29,'Small Sample 1-Single Family'!$A:$R,R$1,0),2)</f>
        <v>1.00</v>
      </c>
      <c r="S29" s="9" t="str">
        <f>FIXED(VLOOKUP($A29,'Small Sample 1-Single Family'!$A:$R,S$1,0),2)</f>
        <v>0.04</v>
      </c>
      <c r="T29" s="3" t="str">
        <f>FIXED(VLOOKUP($A29,'Small Sample 1-Single Family'!$A:$R,T$1,0),2)</f>
        <v>0.20</v>
      </c>
      <c r="U29" s="3" t="str">
        <f>FIXED(VLOOKUP($A29,'Small Sample 1-Single Family'!$A:$R,U$1,0),2)</f>
        <v>0.00</v>
      </c>
      <c r="V29" s="13" t="str">
        <f>FIXED(VLOOKUP($A29,'Small Sample 1-Single Family'!$A:$R,V$1,0),2)</f>
        <v>1.00</v>
      </c>
      <c r="W29" s="9" t="str">
        <f>FIXED(VLOOKUP($A29,'Small Sample 1-Single Family'!$A:$R,W$1,0),2)</f>
        <v>0.05</v>
      </c>
      <c r="X29" s="3" t="str">
        <f>FIXED(VLOOKUP($A29,'Small Sample 1-Single Family'!$A:$R,X$1,0),2)</f>
        <v>0.21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2-Single Family'!$A:$R,AA$1,0),2)</f>
        <v>0.05</v>
      </c>
      <c r="AB29" s="3" t="str">
        <f>FIXED(VLOOKUP($A29,'Small Sample 2-Single Family'!$A:$R,AB$1,0),2)</f>
        <v>0.21</v>
      </c>
      <c r="AC29" s="3" t="str">
        <f>FIXED(VLOOKUP($A29,'Small Sample 2-Single Family'!$A:$R,AC$1,0),2)</f>
        <v>0.00</v>
      </c>
      <c r="AD29" s="3" t="str">
        <f>FIXED(VLOOKUP($A29,'Small Sample 2-Single Family'!$A:$R,AD$1,0),2)</f>
        <v>1.00</v>
      </c>
      <c r="AE29" s="9" t="str">
        <f>FIXED(VLOOKUP($A29,'Small Sample 2-Single Family'!$A:$R,AE$1,0),2)</f>
        <v>0.04</v>
      </c>
      <c r="AF29" s="3" t="str">
        <f>FIXED(VLOOKUP($A29,'Small Sample 2-Single Family'!$A:$R,AF$1,0),2)</f>
        <v>0.20</v>
      </c>
      <c r="AG29" s="3" t="str">
        <f>FIXED(VLOOKUP($A29,'Small Sample 2-Single Family'!$A:$R,AG$1,0),2)</f>
        <v>0.00</v>
      </c>
      <c r="AH29" s="13" t="str">
        <f>FIXED(VLOOKUP($A29,'Small Sample 2-Single Family'!$A:$R,AH$1,0),2)</f>
        <v>1.00</v>
      </c>
      <c r="AI29" s="9" t="str">
        <f>FIXED(VLOOKUP($A29,'Small Sample 2-Single Family'!$A:$R,AI$1,0),2)</f>
        <v>0.05</v>
      </c>
      <c r="AJ29" s="3" t="str">
        <f>FIXED(VLOOKUP($A29,'Small Sample 2-Single Family'!$A:$R,AJ$1,0),2)</f>
        <v>0.22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Sample-Single Family'!$A:$R,C$1,0),2)</f>
        <v>0.01</v>
      </c>
      <c r="D30" s="3" t="str">
        <f>FIXED(VLOOKUP($A30,'Full Sample-Single Family'!$A:$R,D$1,0),2)</f>
        <v>0.10</v>
      </c>
      <c r="E30" s="3" t="str">
        <f>FIXED(VLOOKUP($A30,'Full Sample-Single Family'!$A:$R,E$1,0),2)</f>
        <v>0.00</v>
      </c>
      <c r="F30" s="3" t="str">
        <f>FIXED(VLOOKUP($A30,'Full Sample-Single Family'!$A:$R,F$1,0),2)</f>
        <v>1.00</v>
      </c>
      <c r="G30" s="9" t="str">
        <f>FIXED(VLOOKUP($A30,'Full Sample-Single Family'!$A:$R,G$1,0),2)</f>
        <v>0.01</v>
      </c>
      <c r="H30" s="3" t="str">
        <f>FIXED(VLOOKUP($A30,'Full Sample-Single Family'!$A:$R,H$1,0),2)</f>
        <v>0.09</v>
      </c>
      <c r="I30" s="3" t="str">
        <f>FIXED(VLOOKUP($A30,'Full Sample-Single Family'!$A:$R,I$1,0),2)</f>
        <v>0.00</v>
      </c>
      <c r="J30" s="13" t="str">
        <f>FIXED(VLOOKUP($A30,'Full Sample-Single Family'!$A:$R,J$1,0),2)</f>
        <v>1.00</v>
      </c>
      <c r="K30" s="9" t="str">
        <f>FIXED(VLOOKUP($A30,'Full Sample-Single Family'!$A:$R,K$1,0),2)</f>
        <v>0.01</v>
      </c>
      <c r="L30" s="3" t="str">
        <f>FIXED(VLOOKUP($A30,'Full Sample-Single Family'!$A:$R,L$1,0),2)</f>
        <v>0.10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1-Single Family'!$A:$R,O$1,0),2)</f>
        <v>0.01</v>
      </c>
      <c r="P30" s="3" t="str">
        <f>FIXED(VLOOKUP($A30,'Small Sample 1-Single Family'!$A:$R,P$1,0),2)</f>
        <v>0.09</v>
      </c>
      <c r="Q30" s="3" t="str">
        <f>FIXED(VLOOKUP($A30,'Small Sample 1-Single Family'!$A:$R,Q$1,0),2)</f>
        <v>0.00</v>
      </c>
      <c r="R30" s="3" t="str">
        <f>FIXED(VLOOKUP($A30,'Small Sample 1-Single Family'!$A:$R,R$1,0),2)</f>
        <v>1.00</v>
      </c>
      <c r="S30" s="9" t="str">
        <f>FIXED(VLOOKUP($A30,'Small Sample 1-Single Family'!$A:$R,S$1,0),2)</f>
        <v>0.01</v>
      </c>
      <c r="T30" s="3" t="str">
        <f>FIXED(VLOOKUP($A30,'Small Sample 1-Single Family'!$A:$R,T$1,0),2)</f>
        <v>0.09</v>
      </c>
      <c r="U30" s="3" t="str">
        <f>FIXED(VLOOKUP($A30,'Small Sample 1-Single Family'!$A:$R,U$1,0),2)</f>
        <v>0.00</v>
      </c>
      <c r="V30" s="13" t="str">
        <f>FIXED(VLOOKUP($A30,'Small Sample 1-Single Family'!$A:$R,V$1,0),2)</f>
        <v>1.00</v>
      </c>
      <c r="W30" s="9" t="str">
        <f>FIXED(VLOOKUP($A30,'Small Sample 1-Single Family'!$A:$R,W$1,0),2)</f>
        <v>0.01</v>
      </c>
      <c r="X30" s="3" t="str">
        <f>FIXED(VLOOKUP($A30,'Small Sample 1-Single Family'!$A:$R,X$1,0),2)</f>
        <v>0.10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2-Single Family'!$A:$R,AA$1,0),2)</f>
        <v>0.01</v>
      </c>
      <c r="AB30" s="3" t="str">
        <f>FIXED(VLOOKUP($A30,'Small Sample 2-Single Family'!$A:$R,AB$1,0),2)</f>
        <v>0.09</v>
      </c>
      <c r="AC30" s="3" t="str">
        <f>FIXED(VLOOKUP($A30,'Small Sample 2-Single Family'!$A:$R,AC$1,0),2)</f>
        <v>0.00</v>
      </c>
      <c r="AD30" s="3" t="str">
        <f>FIXED(VLOOKUP($A30,'Small Sample 2-Single Family'!$A:$R,AD$1,0),2)</f>
        <v>1.00</v>
      </c>
      <c r="AE30" s="9" t="str">
        <f>FIXED(VLOOKUP($A30,'Small Sample 2-Single Family'!$A:$R,AE$1,0),2)</f>
        <v>0.01</v>
      </c>
      <c r="AF30" s="3" t="str">
        <f>FIXED(VLOOKUP($A30,'Small Sample 2-Single Family'!$A:$R,AF$1,0),2)</f>
        <v>0.09</v>
      </c>
      <c r="AG30" s="3" t="str">
        <f>FIXED(VLOOKUP($A30,'Small Sample 2-Single Family'!$A:$R,AG$1,0),2)</f>
        <v>0.00</v>
      </c>
      <c r="AH30" s="13" t="str">
        <f>FIXED(VLOOKUP($A30,'Small Sample 2-Single Family'!$A:$R,AH$1,0),2)</f>
        <v>1.00</v>
      </c>
      <c r="AI30" s="9" t="str">
        <f>FIXED(VLOOKUP($A30,'Small Sample 2-Single Family'!$A:$R,AI$1,0),2)</f>
        <v>0.01</v>
      </c>
      <c r="AJ30" s="3" t="str">
        <f>FIXED(VLOOKUP($A30,'Small Sample 2-Single Family'!$A:$R,AJ$1,0),2)</f>
        <v>0.09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">
        <v>313</v>
      </c>
      <c r="D31" s="3" t="s">
        <v>313</v>
      </c>
      <c r="E31" s="3" t="str">
        <f>FIXED(VLOOKUP($A31,'Full Sample-Single Family'!$A:$R,E$1,0),2)</f>
        <v>0.00</v>
      </c>
      <c r="F31" s="3" t="str">
        <f>FIXED(VLOOKUP($A31,'Full Sample-Single Family'!$A:$R,F$1,0),2)</f>
        <v>0.00</v>
      </c>
      <c r="G31" s="9" t="s">
        <v>313</v>
      </c>
      <c r="H31" s="3" t="s">
        <v>313</v>
      </c>
      <c r="I31" s="3" t="str">
        <f>FIXED(VLOOKUP($A31,'Full Sample-Single Family'!$A:$R,I$1,0),2)</f>
        <v>0.00</v>
      </c>
      <c r="J31" s="13" t="str">
        <f>FIXED(VLOOKUP($A31,'Full Sample-Single Family'!$A:$R,J$1,0),2)</f>
        <v>0.00</v>
      </c>
      <c r="K31" s="9" t="s">
        <v>313</v>
      </c>
      <c r="L31" s="3" t="s">
        <v>313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">
        <v>313</v>
      </c>
      <c r="P31" s="3" t="s">
        <v>313</v>
      </c>
      <c r="Q31" s="3" t="str">
        <f>FIXED(VLOOKUP($A31,'Small Sample 1-Single Family'!$A:$R,Q$1,0),2)</f>
        <v>0.00</v>
      </c>
      <c r="R31" s="3" t="str">
        <f>FIXED(VLOOKUP($A31,'Small Sample 1-Single Family'!$A:$R,R$1,0),2)</f>
        <v>0.00</v>
      </c>
      <c r="S31" s="9" t="s">
        <v>313</v>
      </c>
      <c r="T31" s="3" t="s">
        <v>313</v>
      </c>
      <c r="U31" s="3" t="str">
        <f>FIXED(VLOOKUP($A31,'Small Sample 1-Single Family'!$A:$R,U$1,0),2)</f>
        <v>0.00</v>
      </c>
      <c r="V31" s="13" t="str">
        <f>FIXED(VLOOKUP($A31,'Small Sample 1-Single Family'!$A:$R,V$1,0),2)</f>
        <v>0.00</v>
      </c>
      <c r="W31" s="9" t="s">
        <v>313</v>
      </c>
      <c r="X31" s="3" t="s">
        <v>313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">
        <v>313</v>
      </c>
      <c r="AB31" s="3" t="s">
        <v>313</v>
      </c>
      <c r="AC31" s="3" t="str">
        <f>FIXED(VLOOKUP($A31,'Small Sample 2-Single Family'!$A:$R,AC$1,0),2)</f>
        <v>0.00</v>
      </c>
      <c r="AD31" s="3" t="str">
        <f>FIXED(VLOOKUP($A31,'Small Sample 2-Single Family'!$A:$R,AD$1,0),2)</f>
        <v>0.00</v>
      </c>
      <c r="AE31" s="9" t="s">
        <v>313</v>
      </c>
      <c r="AF31" s="3" t="s">
        <v>313</v>
      </c>
      <c r="AG31" s="3" t="str">
        <f>FIXED(VLOOKUP($A31,'Small Sample 2-Single Family'!$A:$R,AG$1,0),2)</f>
        <v>0.00</v>
      </c>
      <c r="AH31" s="13" t="str">
        <f>FIXED(VLOOKUP($A31,'Small Sample 2-Single Family'!$A:$R,AH$1,0),2)</f>
        <v>0.00</v>
      </c>
      <c r="AI31" s="9" t="s">
        <v>313</v>
      </c>
      <c r="AJ31" s="3" t="s">
        <v>313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">
        <v>313</v>
      </c>
      <c r="D32" s="3" t="s">
        <v>313</v>
      </c>
      <c r="E32" s="3" t="str">
        <f>FIXED(VLOOKUP($A32,'Full Sample-Single Family'!$A:$R,E$1,0),2)</f>
        <v>0.00</v>
      </c>
      <c r="F32" s="3" t="str">
        <f>FIXED(VLOOKUP($A32,'Full Sample-Single Family'!$A:$R,F$1,0),2)</f>
        <v>0.00</v>
      </c>
      <c r="G32" s="9" t="s">
        <v>313</v>
      </c>
      <c r="H32" s="3" t="s">
        <v>313</v>
      </c>
      <c r="I32" s="3" t="str">
        <f>FIXED(VLOOKUP($A32,'Full Sample-Single Family'!$A:$R,I$1,0),2)</f>
        <v>0.00</v>
      </c>
      <c r="J32" s="13" t="str">
        <f>FIXED(VLOOKUP($A32,'Full Sample-Single Family'!$A:$R,J$1,0),2)</f>
        <v>0.00</v>
      </c>
      <c r="K32" s="9" t="s">
        <v>313</v>
      </c>
      <c r="L32" s="3" t="s">
        <v>313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">
        <v>313</v>
      </c>
      <c r="P32" s="3" t="s">
        <v>313</v>
      </c>
      <c r="Q32" s="3" t="str">
        <f>FIXED(VLOOKUP($A32,'Small Sample 1-Single Family'!$A:$R,Q$1,0),2)</f>
        <v>0.00</v>
      </c>
      <c r="R32" s="3" t="str">
        <f>FIXED(VLOOKUP($A32,'Small Sample 1-Single Family'!$A:$R,R$1,0),2)</f>
        <v>0.00</v>
      </c>
      <c r="S32" s="9" t="s">
        <v>313</v>
      </c>
      <c r="T32" s="3" t="s">
        <v>313</v>
      </c>
      <c r="U32" s="3" t="str">
        <f>FIXED(VLOOKUP($A32,'Small Sample 1-Single Family'!$A:$R,U$1,0),2)</f>
        <v>0.00</v>
      </c>
      <c r="V32" s="13" t="str">
        <f>FIXED(VLOOKUP($A32,'Small Sample 1-Single Family'!$A:$R,V$1,0),2)</f>
        <v>0.00</v>
      </c>
      <c r="W32" s="9" t="s">
        <v>313</v>
      </c>
      <c r="X32" s="3" t="s">
        <v>313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">
        <v>313</v>
      </c>
      <c r="AB32" s="3" t="s">
        <v>313</v>
      </c>
      <c r="AC32" s="3" t="str">
        <f>FIXED(VLOOKUP($A32,'Small Sample 2-Single Family'!$A:$R,AC$1,0),2)</f>
        <v>0.00</v>
      </c>
      <c r="AD32" s="3" t="str">
        <f>FIXED(VLOOKUP($A32,'Small Sample 2-Single Family'!$A:$R,AD$1,0),2)</f>
        <v>0.00</v>
      </c>
      <c r="AE32" s="9" t="s">
        <v>313</v>
      </c>
      <c r="AF32" s="3" t="s">
        <v>313</v>
      </c>
      <c r="AG32" s="3" t="str">
        <f>FIXED(VLOOKUP($A32,'Small Sample 2-Single Family'!$A:$R,AG$1,0),2)</f>
        <v>0.00</v>
      </c>
      <c r="AH32" s="13" t="str">
        <f>FIXED(VLOOKUP($A32,'Small Sample 2-Single Family'!$A:$R,AH$1,0),2)</f>
        <v>0.00</v>
      </c>
      <c r="AI32" s="9" t="s">
        <v>313</v>
      </c>
      <c r="AJ32" s="3" t="s">
        <v>313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">
        <v>313</v>
      </c>
      <c r="D33" s="3" t="s">
        <v>313</v>
      </c>
      <c r="E33" s="3" t="str">
        <f>FIXED(VLOOKUP($A33,'Full Sample-Single Family'!$A:$R,E$1,0),2)</f>
        <v>0.00</v>
      </c>
      <c r="F33" s="3" t="str">
        <f>FIXED(VLOOKUP($A33,'Full Sample-Single Family'!$A:$R,F$1,0),2)</f>
        <v>1.00</v>
      </c>
      <c r="G33" s="9" t="s">
        <v>313</v>
      </c>
      <c r="H33" s="3" t="s">
        <v>313</v>
      </c>
      <c r="I33" s="3" t="str">
        <f>FIXED(VLOOKUP($A33,'Full Sample-Single Family'!$A:$R,I$1,0),2)</f>
        <v>0.00</v>
      </c>
      <c r="J33" s="13" t="str">
        <f>FIXED(VLOOKUP($A33,'Full Sample-Single Family'!$A:$R,J$1,0),2)</f>
        <v>1.00</v>
      </c>
      <c r="K33" s="9" t="s">
        <v>313</v>
      </c>
      <c r="L33" s="3" t="s">
        <v>313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313</v>
      </c>
      <c r="P33" s="3" t="s">
        <v>313</v>
      </c>
      <c r="Q33" s="3" t="str">
        <f>FIXED(VLOOKUP($A33,'Small Sample 1-Single Family'!$A:$R,Q$1,0),2)</f>
        <v>0.00</v>
      </c>
      <c r="R33" s="3" t="str">
        <f>FIXED(VLOOKUP($A33,'Small Sample 1-Single Family'!$A:$R,R$1,0),2)</f>
        <v>1.00</v>
      </c>
      <c r="S33" s="9" t="s">
        <v>313</v>
      </c>
      <c r="T33" s="3" t="s">
        <v>313</v>
      </c>
      <c r="U33" s="3" t="str">
        <f>FIXED(VLOOKUP($A33,'Small Sample 1-Single Family'!$A:$R,U$1,0),2)</f>
        <v>0.00</v>
      </c>
      <c r="V33" s="13" t="str">
        <f>FIXED(VLOOKUP($A33,'Small Sample 1-Single Family'!$A:$R,V$1,0),2)</f>
        <v>0.00</v>
      </c>
      <c r="W33" s="9" t="s">
        <v>313</v>
      </c>
      <c r="X33" s="3" t="s">
        <v>313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">
        <v>313</v>
      </c>
      <c r="AB33" s="3" t="s">
        <v>313</v>
      </c>
      <c r="AC33" s="3" t="str">
        <f>FIXED(VLOOKUP($A33,'Small Sample 2-Single Family'!$A:$R,AC$1,0),2)</f>
        <v>0.00</v>
      </c>
      <c r="AD33" s="3" t="str">
        <f>FIXED(VLOOKUP($A33,'Small Sample 2-Single Family'!$A:$R,AD$1,0),2)</f>
        <v>1.00</v>
      </c>
      <c r="AE33" s="9" t="s">
        <v>313</v>
      </c>
      <c r="AF33" s="3" t="s">
        <v>313</v>
      </c>
      <c r="AG33" s="3" t="str">
        <f>FIXED(VLOOKUP($A33,'Small Sample 2-Single Family'!$A:$R,AG$1,0),2)</f>
        <v>0.00</v>
      </c>
      <c r="AH33" s="13" t="str">
        <f>FIXED(VLOOKUP($A33,'Small Sample 2-Single Family'!$A:$R,AH$1,0),2)</f>
        <v>1.00</v>
      </c>
      <c r="AI33" s="9" t="s">
        <v>313</v>
      </c>
      <c r="AJ33" s="3" t="s">
        <v>313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">
        <v>313</v>
      </c>
      <c r="D34" s="3" t="s">
        <v>313</v>
      </c>
      <c r="E34" s="3" t="str">
        <f>FIXED(VLOOKUP($A34,'Full Sample-Single Family'!$A:$R,E$1,0),2)</f>
        <v>0.00</v>
      </c>
      <c r="F34" s="3" t="str">
        <f>FIXED(VLOOKUP($A34,'Full Sample-Single Family'!$A:$R,F$1,0),2)</f>
        <v>0.00</v>
      </c>
      <c r="G34" s="9" t="s">
        <v>313</v>
      </c>
      <c r="H34" s="3" t="s">
        <v>313</v>
      </c>
      <c r="I34" s="3" t="str">
        <f>FIXED(VLOOKUP($A34,'Full Sample-Single Family'!$A:$R,I$1,0),2)</f>
        <v>0.00</v>
      </c>
      <c r="J34" s="13" t="str">
        <f>FIXED(VLOOKUP($A34,'Full Sample-Single Family'!$A:$R,J$1,0),2)</f>
        <v>0.00</v>
      </c>
      <c r="K34" s="9" t="s">
        <v>313</v>
      </c>
      <c r="L34" s="3" t="s">
        <v>313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313</v>
      </c>
      <c r="P34" s="3" t="s">
        <v>313</v>
      </c>
      <c r="Q34" s="3" t="str">
        <f>FIXED(VLOOKUP($A34,'Small Sample 1-Single Family'!$A:$R,Q$1,0),2)</f>
        <v>0.00</v>
      </c>
      <c r="R34" s="3" t="str">
        <f>FIXED(VLOOKUP($A34,'Small Sample 1-Single Family'!$A:$R,R$1,0),2)</f>
        <v>0.00</v>
      </c>
      <c r="S34" s="9" t="s">
        <v>313</v>
      </c>
      <c r="T34" s="3" t="s">
        <v>313</v>
      </c>
      <c r="U34" s="3" t="str">
        <f>FIXED(VLOOKUP($A34,'Small Sample 1-Single Family'!$A:$R,U$1,0),2)</f>
        <v>0.00</v>
      </c>
      <c r="V34" s="13" t="str">
        <f>FIXED(VLOOKUP($A34,'Small Sample 1-Single Family'!$A:$R,V$1,0),2)</f>
        <v>0.00</v>
      </c>
      <c r="W34" s="9" t="s">
        <v>313</v>
      </c>
      <c r="X34" s="3" t="s">
        <v>313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">
        <v>313</v>
      </c>
      <c r="AB34" s="3" t="s">
        <v>313</v>
      </c>
      <c r="AC34" s="3" t="str">
        <f>FIXED(VLOOKUP($A34,'Small Sample 2-Single Family'!$A:$R,AC$1,0),2)</f>
        <v>0.00</v>
      </c>
      <c r="AD34" s="3" t="str">
        <f>FIXED(VLOOKUP($A34,'Small Sample 2-Single Family'!$A:$R,AD$1,0),2)</f>
        <v>0.00</v>
      </c>
      <c r="AE34" s="9" t="s">
        <v>313</v>
      </c>
      <c r="AF34" s="3" t="s">
        <v>313</v>
      </c>
      <c r="AG34" s="3" t="str">
        <f>FIXED(VLOOKUP($A34,'Small Sample 2-Single Family'!$A:$R,AG$1,0),2)</f>
        <v>0.00</v>
      </c>
      <c r="AH34" s="13" t="str">
        <f>FIXED(VLOOKUP($A34,'Small Sample 2-Single Family'!$A:$R,AH$1,0),2)</f>
        <v>0.00</v>
      </c>
      <c r="AI34" s="9" t="s">
        <v>313</v>
      </c>
      <c r="AJ34" s="3" t="s">
        <v>313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Sample-Single Family'!$A:$R,C$1,0),2)</f>
        <v>0.92</v>
      </c>
      <c r="D35" s="3" t="str">
        <f>FIXED(VLOOKUP($A35,'Full Sample-Single Family'!$A:$R,D$1,0),2)</f>
        <v>0.27</v>
      </c>
      <c r="E35" s="3" t="str">
        <f>FIXED(VLOOKUP($A35,'Full Sample-Single Family'!$A:$R,E$1,0),2)</f>
        <v>0.00</v>
      </c>
      <c r="F35" s="3" t="str">
        <f>FIXED(VLOOKUP($A35,'Full Sample-Single Family'!$A:$R,F$1,0),2)</f>
        <v>1.00</v>
      </c>
      <c r="G35" s="9" t="str">
        <f>FIXED(VLOOKUP($A35,'Full Sample-Single Family'!$A:$R,G$1,0),2)</f>
        <v>0.92</v>
      </c>
      <c r="H35" s="3" t="str">
        <f>FIXED(VLOOKUP($A35,'Full Sample-Single Family'!$A:$R,H$1,0),2)</f>
        <v>0.28</v>
      </c>
      <c r="I35" s="3" t="str">
        <f>FIXED(VLOOKUP($A35,'Full Sample-Single Family'!$A:$R,I$1,0),2)</f>
        <v>0.00</v>
      </c>
      <c r="J35" s="13" t="str">
        <f>FIXED(VLOOKUP($A35,'Full Sample-Single Family'!$A:$R,J$1,0),2)</f>
        <v>1.00</v>
      </c>
      <c r="K35" s="9" t="str">
        <f>FIXED(VLOOKUP($A35,'Full Sample-Single Family'!$A:$R,K$1,0),2)</f>
        <v>0.92</v>
      </c>
      <c r="L35" s="3" t="str">
        <f>FIXED(VLOOKUP($A35,'Full Sample-Single Family'!$A:$R,L$1,0),2)</f>
        <v>0.27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1-Single Family'!$A:$R,O$1,0),2)</f>
        <v>0.92</v>
      </c>
      <c r="P35" s="3" t="str">
        <f>FIXED(VLOOKUP($A35,'Small Sample 1-Single Family'!$A:$R,P$1,0),2)</f>
        <v>0.27</v>
      </c>
      <c r="Q35" s="3" t="str">
        <f>FIXED(VLOOKUP($A35,'Small Sample 1-Single Family'!$A:$R,Q$1,0),2)</f>
        <v>0.00</v>
      </c>
      <c r="R35" s="3" t="str">
        <f>FIXED(VLOOKUP($A35,'Small Sample 1-Single Family'!$A:$R,R$1,0),2)</f>
        <v>1.00</v>
      </c>
      <c r="S35" s="9" t="str">
        <f>FIXED(VLOOKUP($A35,'Small Sample 1-Single Family'!$A:$R,S$1,0),2)</f>
        <v>0.92</v>
      </c>
      <c r="T35" s="3" t="str">
        <f>FIXED(VLOOKUP($A35,'Small Sample 1-Single Family'!$A:$R,T$1,0),2)</f>
        <v>0.27</v>
      </c>
      <c r="U35" s="3" t="str">
        <f>FIXED(VLOOKUP($A35,'Small Sample 1-Single Family'!$A:$R,U$1,0),2)</f>
        <v>0.00</v>
      </c>
      <c r="V35" s="13" t="str">
        <f>FIXED(VLOOKUP($A35,'Small Sample 1-Single Family'!$A:$R,V$1,0),2)</f>
        <v>1.00</v>
      </c>
      <c r="W35" s="9" t="str">
        <f>FIXED(VLOOKUP($A35,'Small Sample 1-Single Family'!$A:$R,W$1,0),2)</f>
        <v>0.92</v>
      </c>
      <c r="X35" s="3" t="str">
        <f>FIXED(VLOOKUP($A35,'Small Sample 1-Single Family'!$A:$R,X$1,0),2)</f>
        <v>0.27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2-Single Family'!$A:$R,AA$1,0),2)</f>
        <v>0.92</v>
      </c>
      <c r="AB35" s="3" t="str">
        <f>FIXED(VLOOKUP($A35,'Small Sample 2-Single Family'!$A:$R,AB$1,0),2)</f>
        <v>0.27</v>
      </c>
      <c r="AC35" s="3" t="str">
        <f>FIXED(VLOOKUP($A35,'Small Sample 2-Single Family'!$A:$R,AC$1,0),2)</f>
        <v>0.00</v>
      </c>
      <c r="AD35" s="3" t="str">
        <f>FIXED(VLOOKUP($A35,'Small Sample 2-Single Family'!$A:$R,AD$1,0),2)</f>
        <v>1.00</v>
      </c>
      <c r="AE35" s="9" t="str">
        <f>FIXED(VLOOKUP($A35,'Small Sample 2-Single Family'!$A:$R,AE$1,0),2)</f>
        <v>0.92</v>
      </c>
      <c r="AF35" s="3" t="str">
        <f>FIXED(VLOOKUP($A35,'Small Sample 2-Single Family'!$A:$R,AF$1,0),2)</f>
        <v>0.28</v>
      </c>
      <c r="AG35" s="3" t="str">
        <f>FIXED(VLOOKUP($A35,'Small Sample 2-Single Family'!$A:$R,AG$1,0),2)</f>
        <v>0.00</v>
      </c>
      <c r="AH35" s="13" t="str">
        <f>FIXED(VLOOKUP($A35,'Small Sample 2-Single Family'!$A:$R,AH$1,0),2)</f>
        <v>1.00</v>
      </c>
      <c r="AI35" s="9" t="str">
        <f>FIXED(VLOOKUP($A35,'Small Sample 2-Single Family'!$A:$R,AI$1,0),2)</f>
        <v>0.93</v>
      </c>
      <c r="AJ35" s="3" t="str">
        <f>FIXED(VLOOKUP($A35,'Small Sample 2-Single Family'!$A:$R,AJ$1,0),2)</f>
        <v>0.26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Sample-Single Family'!$A:$R,C$1,0),2)</f>
        <v>0.02</v>
      </c>
      <c r="D36" s="3" t="str">
        <f>FIXED(VLOOKUP($A36,'Full Sample-Single Family'!$A:$R,D$1,0),2)</f>
        <v>0.14</v>
      </c>
      <c r="E36" s="3" t="str">
        <f>FIXED(VLOOKUP($A36,'Full Sample-Single Family'!$A:$R,E$1,0),2)</f>
        <v>0.00</v>
      </c>
      <c r="F36" s="3" t="str">
        <f>FIXED(VLOOKUP($A36,'Full Sample-Single Family'!$A:$R,F$1,0),2)</f>
        <v>1.00</v>
      </c>
      <c r="G36" s="9" t="str">
        <f>FIXED(VLOOKUP($A36,'Full Sample-Single Family'!$A:$R,G$1,0),2)</f>
        <v>0.02</v>
      </c>
      <c r="H36" s="3" t="str">
        <f>FIXED(VLOOKUP($A36,'Full Sample-Single Family'!$A:$R,H$1,0),2)</f>
        <v>0.14</v>
      </c>
      <c r="I36" s="3" t="str">
        <f>FIXED(VLOOKUP($A36,'Full Sample-Single Family'!$A:$R,I$1,0),2)</f>
        <v>0.00</v>
      </c>
      <c r="J36" s="13" t="str">
        <f>FIXED(VLOOKUP($A36,'Full Sample-Single Family'!$A:$R,J$1,0),2)</f>
        <v>1.00</v>
      </c>
      <c r="K36" s="9" t="str">
        <f>FIXED(VLOOKUP($A36,'Full Sample-Single Family'!$A:$R,K$1,0),2)</f>
        <v>0.02</v>
      </c>
      <c r="L36" s="3" t="str">
        <f>FIXED(VLOOKUP($A36,'Full Sample-Single Family'!$A:$R,L$1,0),2)</f>
        <v>0.13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1-Single Family'!$A:$R,O$1,0),2)</f>
        <v>0.02</v>
      </c>
      <c r="P36" s="3" t="str">
        <f>FIXED(VLOOKUP($A36,'Small Sample 1-Single Family'!$A:$R,P$1,0),2)</f>
        <v>0.14</v>
      </c>
      <c r="Q36" s="3" t="str">
        <f>FIXED(VLOOKUP($A36,'Small Sample 1-Single Family'!$A:$R,Q$1,0),2)</f>
        <v>0.00</v>
      </c>
      <c r="R36" s="3" t="str">
        <f>FIXED(VLOOKUP($A36,'Small Sample 1-Single Family'!$A:$R,R$1,0),2)</f>
        <v>1.00</v>
      </c>
      <c r="S36" s="9" t="str">
        <f>FIXED(VLOOKUP($A36,'Small Sample 1-Single Family'!$A:$R,S$1,0),2)</f>
        <v>0.02</v>
      </c>
      <c r="T36" s="3" t="str">
        <f>FIXED(VLOOKUP($A36,'Small Sample 1-Single Family'!$A:$R,T$1,0),2)</f>
        <v>0.14</v>
      </c>
      <c r="U36" s="3" t="str">
        <f>FIXED(VLOOKUP($A36,'Small Sample 1-Single Family'!$A:$R,U$1,0),2)</f>
        <v>0.00</v>
      </c>
      <c r="V36" s="13" t="str">
        <f>FIXED(VLOOKUP($A36,'Small Sample 1-Single Family'!$A:$R,V$1,0),2)</f>
        <v>1.00</v>
      </c>
      <c r="W36" s="9" t="str">
        <f>FIXED(VLOOKUP($A36,'Small Sample 1-Single Family'!$A:$R,W$1,0),2)</f>
        <v>0.02</v>
      </c>
      <c r="X36" s="3" t="str">
        <f>FIXED(VLOOKUP($A36,'Small Sample 1-Single Family'!$A:$R,X$1,0),2)</f>
        <v>0.13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2-Single Family'!$A:$R,AA$1,0),2)</f>
        <v>0.02</v>
      </c>
      <c r="AB36" s="3" t="str">
        <f>FIXED(VLOOKUP($A36,'Small Sample 2-Single Family'!$A:$R,AB$1,0),2)</f>
        <v>0.14</v>
      </c>
      <c r="AC36" s="3" t="str">
        <f>FIXED(VLOOKUP($A36,'Small Sample 2-Single Family'!$A:$R,AC$1,0),2)</f>
        <v>0.00</v>
      </c>
      <c r="AD36" s="3" t="str">
        <f>FIXED(VLOOKUP($A36,'Small Sample 2-Single Family'!$A:$R,AD$1,0),2)</f>
        <v>1.00</v>
      </c>
      <c r="AE36" s="9" t="str">
        <f>FIXED(VLOOKUP($A36,'Small Sample 2-Single Family'!$A:$R,AE$1,0),2)</f>
        <v>0.02</v>
      </c>
      <c r="AF36" s="3" t="str">
        <f>FIXED(VLOOKUP($A36,'Small Sample 2-Single Family'!$A:$R,AF$1,0),2)</f>
        <v>0.14</v>
      </c>
      <c r="AG36" s="3" t="str">
        <f>FIXED(VLOOKUP($A36,'Small Sample 2-Single Family'!$A:$R,AG$1,0),2)</f>
        <v>0.00</v>
      </c>
      <c r="AH36" s="13" t="str">
        <f>FIXED(VLOOKUP($A36,'Small Sample 2-Single Family'!$A:$R,AH$1,0),2)</f>
        <v>1.00</v>
      </c>
      <c r="AI36" s="9" t="str">
        <f>FIXED(VLOOKUP($A36,'Small Sample 2-Single Family'!$A:$R,AI$1,0),2)</f>
        <v>0.02</v>
      </c>
      <c r="AJ36" s="3" t="str">
        <f>FIXED(VLOOKUP($A36,'Small Sample 2-Single Family'!$A:$R,AJ$1,0),2)</f>
        <v>0.14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Sample-Single Family'!$A:$R,C$1,0),2)</f>
        <v>0.04</v>
      </c>
      <c r="D37" s="3" t="str">
        <f>FIXED(VLOOKUP($A37,'Full Sample-Single Family'!$A:$R,D$1,0),2)</f>
        <v>0.19</v>
      </c>
      <c r="E37" s="3" t="str">
        <f>FIXED(VLOOKUP($A37,'Full Sample-Single Family'!$A:$R,E$1,0),2)</f>
        <v>0.00</v>
      </c>
      <c r="F37" s="3" t="str">
        <f>FIXED(VLOOKUP($A37,'Full Sample-Single Family'!$A:$R,F$1,0),2)</f>
        <v>1.00</v>
      </c>
      <c r="G37" s="9" t="str">
        <f>FIXED(VLOOKUP($A37,'Full Sample-Single Family'!$A:$R,G$1,0),2)</f>
        <v>0.03</v>
      </c>
      <c r="H37" s="3" t="str">
        <f>FIXED(VLOOKUP($A37,'Full Sample-Single Family'!$A:$R,H$1,0),2)</f>
        <v>0.18</v>
      </c>
      <c r="I37" s="3" t="str">
        <f>FIXED(VLOOKUP($A37,'Full Sample-Single Family'!$A:$R,I$1,0),2)</f>
        <v>0.00</v>
      </c>
      <c r="J37" s="13" t="str">
        <f>FIXED(VLOOKUP($A37,'Full Sample-Single Family'!$A:$R,J$1,0),2)</f>
        <v>1.00</v>
      </c>
      <c r="K37" s="9" t="str">
        <f>FIXED(VLOOKUP($A37,'Full Sample-Single Family'!$A:$R,K$1,0),2)</f>
        <v>0.05</v>
      </c>
      <c r="L37" s="3" t="str">
        <f>FIXED(VLOOKUP($A37,'Full Sample-Single Family'!$A:$R,L$1,0),2)</f>
        <v>0.21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1-Single Family'!$A:$R,O$1,0),2)</f>
        <v>0.04</v>
      </c>
      <c r="P37" s="3" t="str">
        <f>FIXED(VLOOKUP($A37,'Small Sample 1-Single Family'!$A:$R,P$1,0),2)</f>
        <v>0.20</v>
      </c>
      <c r="Q37" s="3" t="str">
        <f>FIXED(VLOOKUP($A37,'Small Sample 1-Single Family'!$A:$R,Q$1,0),2)</f>
        <v>0.00</v>
      </c>
      <c r="R37" s="3" t="str">
        <f>FIXED(VLOOKUP($A37,'Small Sample 1-Single Family'!$A:$R,R$1,0),2)</f>
        <v>1.00</v>
      </c>
      <c r="S37" s="9" t="str">
        <f>FIXED(VLOOKUP($A37,'Small Sample 1-Single Family'!$A:$R,S$1,0),2)</f>
        <v>0.04</v>
      </c>
      <c r="T37" s="3" t="str">
        <f>FIXED(VLOOKUP($A37,'Small Sample 1-Single Family'!$A:$R,T$1,0),2)</f>
        <v>0.19</v>
      </c>
      <c r="U37" s="3" t="str">
        <f>FIXED(VLOOKUP($A37,'Small Sample 1-Single Family'!$A:$R,U$1,0),2)</f>
        <v>0.00</v>
      </c>
      <c r="V37" s="13" t="str">
        <f>FIXED(VLOOKUP($A37,'Small Sample 1-Single Family'!$A:$R,V$1,0),2)</f>
        <v>1.00</v>
      </c>
      <c r="W37" s="9" t="str">
        <f>FIXED(VLOOKUP($A37,'Small Sample 1-Single Family'!$A:$R,W$1,0),2)</f>
        <v>0.05</v>
      </c>
      <c r="X37" s="3" t="str">
        <f>FIXED(VLOOKUP($A37,'Small Sample 1-Single Family'!$A:$R,X$1,0),2)</f>
        <v>0.21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2-Single Family'!$A:$R,AA$1,0),2)</f>
        <v>0.04</v>
      </c>
      <c r="AB37" s="3" t="str">
        <f>FIXED(VLOOKUP($A37,'Small Sample 2-Single Family'!$A:$R,AB$1,0),2)</f>
        <v>0.20</v>
      </c>
      <c r="AC37" s="3" t="str">
        <f>FIXED(VLOOKUP($A37,'Small Sample 2-Single Family'!$A:$R,AC$1,0),2)</f>
        <v>0.00</v>
      </c>
      <c r="AD37" s="3" t="str">
        <f>FIXED(VLOOKUP($A37,'Small Sample 2-Single Family'!$A:$R,AD$1,0),2)</f>
        <v>1.00</v>
      </c>
      <c r="AE37" s="9" t="str">
        <f>FIXED(VLOOKUP($A37,'Small Sample 2-Single Family'!$A:$R,AE$1,0),2)</f>
        <v>0.03</v>
      </c>
      <c r="AF37" s="3" t="str">
        <f>FIXED(VLOOKUP($A37,'Small Sample 2-Single Family'!$A:$R,AF$1,0),2)</f>
        <v>0.18</v>
      </c>
      <c r="AG37" s="3" t="str">
        <f>FIXED(VLOOKUP($A37,'Small Sample 2-Single Family'!$A:$R,AG$1,0),2)</f>
        <v>0.00</v>
      </c>
      <c r="AH37" s="13" t="str">
        <f>FIXED(VLOOKUP($A37,'Small Sample 2-Single Family'!$A:$R,AH$1,0),2)</f>
        <v>1.00</v>
      </c>
      <c r="AI37" s="9" t="str">
        <f>FIXED(VLOOKUP($A37,'Small Sample 2-Single Family'!$A:$R,AI$1,0),2)</f>
        <v>0.05</v>
      </c>
      <c r="AJ37" s="3" t="str">
        <f>FIXED(VLOOKUP($A37,'Small Sample 2-Single Family'!$A:$R,AJ$1,0),2)</f>
        <v>0.22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">
        <v>313</v>
      </c>
      <c r="D38" s="3" t="s">
        <v>313</v>
      </c>
      <c r="E38" s="3" t="str">
        <f>FIXED(VLOOKUP($A38,'Full Sample-Single Family'!$A:$R,E$1,0),2)</f>
        <v>0.00</v>
      </c>
      <c r="F38" s="3" t="str">
        <f>FIXED(VLOOKUP($A38,'Full Sample-Single Family'!$A:$R,F$1,0),2)</f>
        <v>0.00</v>
      </c>
      <c r="G38" s="9" t="s">
        <v>313</v>
      </c>
      <c r="H38" s="3" t="s">
        <v>313</v>
      </c>
      <c r="I38" s="3" t="str">
        <f>FIXED(VLOOKUP($A38,'Full Sample-Single Family'!$A:$R,I$1,0),2)</f>
        <v>0.00</v>
      </c>
      <c r="J38" s="13" t="str">
        <f>FIXED(VLOOKUP($A38,'Full Sample-Single Family'!$A:$R,J$1,0),2)</f>
        <v>0.00</v>
      </c>
      <c r="K38" s="9" t="s">
        <v>313</v>
      </c>
      <c r="L38" s="3" t="s">
        <v>313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">
        <v>313</v>
      </c>
      <c r="P38" s="3" t="s">
        <v>313</v>
      </c>
      <c r="Q38" s="3" t="str">
        <f>FIXED(VLOOKUP($A38,'Small Sample 1-Single Family'!$A:$R,Q$1,0),2)</f>
        <v>0.00</v>
      </c>
      <c r="R38" s="3" t="str">
        <f>FIXED(VLOOKUP($A38,'Small Sample 1-Single Family'!$A:$R,R$1,0),2)</f>
        <v>0.00</v>
      </c>
      <c r="S38" s="9" t="s">
        <v>313</v>
      </c>
      <c r="T38" s="3" t="s">
        <v>313</v>
      </c>
      <c r="U38" s="3" t="str">
        <f>FIXED(VLOOKUP($A38,'Small Sample 1-Single Family'!$A:$R,U$1,0),2)</f>
        <v>0.00</v>
      </c>
      <c r="V38" s="13" t="str">
        <f>FIXED(VLOOKUP($A38,'Small Sample 1-Single Family'!$A:$R,V$1,0),2)</f>
        <v>0.00</v>
      </c>
      <c r="W38" s="9" t="s">
        <v>313</v>
      </c>
      <c r="X38" s="3" t="s">
        <v>313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">
        <v>313</v>
      </c>
      <c r="AB38" s="3" t="s">
        <v>313</v>
      </c>
      <c r="AC38" s="3" t="str">
        <f>FIXED(VLOOKUP($A38,'Small Sample 2-Single Family'!$A:$R,AC$1,0),2)</f>
        <v>0.00</v>
      </c>
      <c r="AD38" s="3" t="str">
        <f>FIXED(VLOOKUP($A38,'Small Sample 2-Single Family'!$A:$R,AD$1,0),2)</f>
        <v>0.00</v>
      </c>
      <c r="AE38" s="9" t="s">
        <v>313</v>
      </c>
      <c r="AF38" s="3" t="s">
        <v>313</v>
      </c>
      <c r="AG38" s="3" t="str">
        <f>FIXED(VLOOKUP($A38,'Small Sample 2-Single Family'!$A:$R,AG$1,0),2)</f>
        <v>0.00</v>
      </c>
      <c r="AH38" s="13" t="str">
        <f>FIXED(VLOOKUP($A38,'Small Sample 2-Single Family'!$A:$R,AH$1,0),2)</f>
        <v>0.00</v>
      </c>
      <c r="AI38" s="9" t="s">
        <v>313</v>
      </c>
      <c r="AJ38" s="3" t="s">
        <v>313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Sample-Single Family'!$A:$R,C$1,0),2)</f>
        <v>0.87</v>
      </c>
      <c r="D39" s="3" t="str">
        <f>FIXED(VLOOKUP($A39,'Full Sample-Single Family'!$A:$R,D$1,0),2)</f>
        <v>0.33</v>
      </c>
      <c r="E39" s="3" t="str">
        <f>FIXED(VLOOKUP($A39,'Full Sample-Single Family'!$A:$R,E$1,0),2)</f>
        <v>0.00</v>
      </c>
      <c r="F39" s="3" t="str">
        <f>FIXED(VLOOKUP($A39,'Full Sample-Single Family'!$A:$R,F$1,0),2)</f>
        <v>1.00</v>
      </c>
      <c r="G39" s="9" t="str">
        <f>FIXED(VLOOKUP($A39,'Full Sample-Single Family'!$A:$R,G$1,0),2)</f>
        <v>0.87</v>
      </c>
      <c r="H39" s="3" t="str">
        <f>FIXED(VLOOKUP($A39,'Full Sample-Single Family'!$A:$R,H$1,0),2)</f>
        <v>0.34</v>
      </c>
      <c r="I39" s="3" t="str">
        <f>FIXED(VLOOKUP($A39,'Full Sample-Single Family'!$A:$R,I$1,0),2)</f>
        <v>0.00</v>
      </c>
      <c r="J39" s="13" t="str">
        <f>FIXED(VLOOKUP($A39,'Full Sample-Single Family'!$A:$R,J$1,0),2)</f>
        <v>1.00</v>
      </c>
      <c r="K39" s="9" t="str">
        <f>FIXED(VLOOKUP($A39,'Full Sample-Single Family'!$A:$R,K$1,0),2)</f>
        <v>0.88</v>
      </c>
      <c r="L39" s="3" t="str">
        <f>FIXED(VLOOKUP($A39,'Full Sample-Single Family'!$A:$R,L$1,0),2)</f>
        <v>0.33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1-Single Family'!$A:$R,O$1,0),2)</f>
        <v>0.88</v>
      </c>
      <c r="P39" s="3" t="str">
        <f>FIXED(VLOOKUP($A39,'Small Sample 1-Single Family'!$A:$R,P$1,0),2)</f>
        <v>0.32</v>
      </c>
      <c r="Q39" s="3" t="str">
        <f>FIXED(VLOOKUP($A39,'Small Sample 1-Single Family'!$A:$R,Q$1,0),2)</f>
        <v>0.00</v>
      </c>
      <c r="R39" s="3" t="str">
        <f>FIXED(VLOOKUP($A39,'Small Sample 1-Single Family'!$A:$R,R$1,0),2)</f>
        <v>1.00</v>
      </c>
      <c r="S39" s="9" t="str">
        <f>FIXED(VLOOKUP($A39,'Small Sample 1-Single Family'!$A:$R,S$1,0),2)</f>
        <v>0.88</v>
      </c>
      <c r="T39" s="3" t="str">
        <f>FIXED(VLOOKUP($A39,'Small Sample 1-Single Family'!$A:$R,T$1,0),2)</f>
        <v>0.32</v>
      </c>
      <c r="U39" s="3" t="str">
        <f>FIXED(VLOOKUP($A39,'Small Sample 1-Single Family'!$A:$R,U$1,0),2)</f>
        <v>0.00</v>
      </c>
      <c r="V39" s="13" t="str">
        <f>FIXED(VLOOKUP($A39,'Small Sample 1-Single Family'!$A:$R,V$1,0),2)</f>
        <v>1.00</v>
      </c>
      <c r="W39" s="9" t="str">
        <f>FIXED(VLOOKUP($A39,'Small Sample 1-Single Family'!$A:$R,W$1,0),2)</f>
        <v>0.88</v>
      </c>
      <c r="X39" s="3" t="str">
        <f>FIXED(VLOOKUP($A39,'Small Sample 1-Single Family'!$A:$R,X$1,0),2)</f>
        <v>0.33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2-Single Family'!$A:$R,AA$1,0),2)</f>
        <v>0.88</v>
      </c>
      <c r="AB39" s="3" t="str">
        <f>FIXED(VLOOKUP($A39,'Small Sample 2-Single Family'!$A:$R,AB$1,0),2)</f>
        <v>0.32</v>
      </c>
      <c r="AC39" s="3" t="str">
        <f>FIXED(VLOOKUP($A39,'Small Sample 2-Single Family'!$A:$R,AC$1,0),2)</f>
        <v>0.00</v>
      </c>
      <c r="AD39" s="3" t="str">
        <f>FIXED(VLOOKUP($A39,'Small Sample 2-Single Family'!$A:$R,AD$1,0),2)</f>
        <v>1.00</v>
      </c>
      <c r="AE39" s="9" t="str">
        <f>FIXED(VLOOKUP($A39,'Small Sample 2-Single Family'!$A:$R,AE$1,0),2)</f>
        <v>0.87</v>
      </c>
      <c r="AF39" s="3" t="str">
        <f>FIXED(VLOOKUP($A39,'Small Sample 2-Single Family'!$A:$R,AF$1,0),2)</f>
        <v>0.33</v>
      </c>
      <c r="AG39" s="3" t="str">
        <f>FIXED(VLOOKUP($A39,'Small Sample 2-Single Family'!$A:$R,AG$1,0),2)</f>
        <v>0.00</v>
      </c>
      <c r="AH39" s="13" t="str">
        <f>FIXED(VLOOKUP($A39,'Small Sample 2-Single Family'!$A:$R,AH$1,0),2)</f>
        <v>1.00</v>
      </c>
      <c r="AI39" s="9" t="str">
        <f>FIXED(VLOOKUP($A39,'Small Sample 2-Single Family'!$A:$R,AI$1,0),2)</f>
        <v>0.90</v>
      </c>
      <c r="AJ39" s="3" t="str">
        <f>FIXED(VLOOKUP($A39,'Small Sample 2-Single Family'!$A:$R,AJ$1,0),2)</f>
        <v>0.31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Sample-Single Family'!$A:$R,C$1,0),2)</f>
        <v>0.02</v>
      </c>
      <c r="D40" s="3" t="str">
        <f>FIXED(VLOOKUP($A40,'Full Sample-Single Family'!$A:$R,D$1,0),2)</f>
        <v>0.13</v>
      </c>
      <c r="E40" s="3" t="str">
        <f>FIXED(VLOOKUP($A40,'Full Sample-Single Family'!$A:$R,E$1,0),2)</f>
        <v>0.00</v>
      </c>
      <c r="F40" s="3" t="str">
        <f>FIXED(VLOOKUP($A40,'Full Sample-Single Family'!$A:$R,F$1,0),2)</f>
        <v>1.00</v>
      </c>
      <c r="G40" s="9" t="str">
        <f>FIXED(VLOOKUP($A40,'Full Sample-Single Family'!$A:$R,G$1,0),2)</f>
        <v>0.02</v>
      </c>
      <c r="H40" s="3" t="str">
        <f>FIXED(VLOOKUP($A40,'Full Sample-Single Family'!$A:$R,H$1,0),2)</f>
        <v>0.13</v>
      </c>
      <c r="I40" s="3" t="str">
        <f>FIXED(VLOOKUP($A40,'Full Sample-Single Family'!$A:$R,I$1,0),2)</f>
        <v>0.00</v>
      </c>
      <c r="J40" s="13" t="str">
        <f>FIXED(VLOOKUP($A40,'Full Sample-Single Family'!$A:$R,J$1,0),2)</f>
        <v>1.00</v>
      </c>
      <c r="K40" s="9" t="str">
        <f>FIXED(VLOOKUP($A40,'Full Sample-Single Family'!$A:$R,K$1,0),2)</f>
        <v>0.02</v>
      </c>
      <c r="L40" s="3" t="str">
        <f>FIXED(VLOOKUP($A40,'Full Sample-Single Family'!$A:$R,L$1,0),2)</f>
        <v>0.13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1-Single Family'!$A:$R,O$1,0),2)</f>
        <v>0.02</v>
      </c>
      <c r="P40" s="3" t="str">
        <f>FIXED(VLOOKUP($A40,'Small Sample 1-Single Family'!$A:$R,P$1,0),2)</f>
        <v>0.13</v>
      </c>
      <c r="Q40" s="3" t="str">
        <f>FIXED(VLOOKUP($A40,'Small Sample 1-Single Family'!$A:$R,Q$1,0),2)</f>
        <v>0.00</v>
      </c>
      <c r="R40" s="3" t="str">
        <f>FIXED(VLOOKUP($A40,'Small Sample 1-Single Family'!$A:$R,R$1,0),2)</f>
        <v>1.00</v>
      </c>
      <c r="S40" s="9" t="str">
        <f>FIXED(VLOOKUP($A40,'Small Sample 1-Single Family'!$A:$R,S$1,0),2)</f>
        <v>0.02</v>
      </c>
      <c r="T40" s="3" t="str">
        <f>FIXED(VLOOKUP($A40,'Small Sample 1-Single Family'!$A:$R,T$1,0),2)</f>
        <v>0.13</v>
      </c>
      <c r="U40" s="3" t="str">
        <f>FIXED(VLOOKUP($A40,'Small Sample 1-Single Family'!$A:$R,U$1,0),2)</f>
        <v>0.00</v>
      </c>
      <c r="V40" s="13" t="str">
        <f>FIXED(VLOOKUP($A40,'Small Sample 1-Single Family'!$A:$R,V$1,0),2)</f>
        <v>1.00</v>
      </c>
      <c r="W40" s="9" t="str">
        <f>FIXED(VLOOKUP($A40,'Small Sample 1-Single Family'!$A:$R,W$1,0),2)</f>
        <v>0.02</v>
      </c>
      <c r="X40" s="3" t="str">
        <f>FIXED(VLOOKUP($A40,'Small Sample 1-Single Family'!$A:$R,X$1,0),2)</f>
        <v>0.13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2-Single Family'!$A:$R,AA$1,0),2)</f>
        <v>0.02</v>
      </c>
      <c r="AB40" s="3" t="str">
        <f>FIXED(VLOOKUP($A40,'Small Sample 2-Single Family'!$A:$R,AB$1,0),2)</f>
        <v>0.13</v>
      </c>
      <c r="AC40" s="3" t="str">
        <f>FIXED(VLOOKUP($A40,'Small Sample 2-Single Family'!$A:$R,AC$1,0),2)</f>
        <v>0.00</v>
      </c>
      <c r="AD40" s="3" t="str">
        <f>FIXED(VLOOKUP($A40,'Small Sample 2-Single Family'!$A:$R,AD$1,0),2)</f>
        <v>1.00</v>
      </c>
      <c r="AE40" s="9" t="str">
        <f>FIXED(VLOOKUP($A40,'Small Sample 2-Single Family'!$A:$R,AE$1,0),2)</f>
        <v>0.02</v>
      </c>
      <c r="AF40" s="3" t="str">
        <f>FIXED(VLOOKUP($A40,'Small Sample 2-Single Family'!$A:$R,AF$1,0),2)</f>
        <v>0.13</v>
      </c>
      <c r="AG40" s="3" t="str">
        <f>FIXED(VLOOKUP($A40,'Small Sample 2-Single Family'!$A:$R,AG$1,0),2)</f>
        <v>0.00</v>
      </c>
      <c r="AH40" s="13" t="str">
        <f>FIXED(VLOOKUP($A40,'Small Sample 2-Single Family'!$A:$R,AH$1,0),2)</f>
        <v>1.00</v>
      </c>
      <c r="AI40" s="9" t="str">
        <f>FIXED(VLOOKUP($A40,'Small Sample 2-Single Family'!$A:$R,AI$1,0),2)</f>
        <v>0.02</v>
      </c>
      <c r="AJ40" s="3" t="str">
        <f>FIXED(VLOOKUP($A40,'Small Sample 2-Single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23">
        <f>VLOOKUP($A41,'Full Sample-Single Family'!$A:$R,C$1,0)</f>
        <v>1E-4</v>
      </c>
      <c r="D41" s="3" t="str">
        <f>FIXED(VLOOKUP($A41,'Full Sample-Single Family'!$A:$R,D$1,0),2)</f>
        <v>0.01</v>
      </c>
      <c r="E41" s="3" t="str">
        <f>FIXED(VLOOKUP($A41,'Full Sample-Single Family'!$A:$R,E$1,0),2)</f>
        <v>0.00</v>
      </c>
      <c r="F41" s="3" t="str">
        <f>FIXED(VLOOKUP($A41,'Full Sample-Single Family'!$A:$R,F$1,0),2)</f>
        <v>1.00</v>
      </c>
      <c r="G41" s="23">
        <f>VLOOKUP($A41,'Full Sample-Single Family'!$A:$R,G$1,0)</f>
        <v>2.0000000000000001E-4</v>
      </c>
      <c r="H41" s="3" t="str">
        <f>FIXED(VLOOKUP($A41,'Full Sample-Single Family'!$A:$R,H$1,0),2)</f>
        <v>0.01</v>
      </c>
      <c r="I41" s="3" t="str">
        <f>FIXED(VLOOKUP($A41,'Full Sample-Single Family'!$A:$R,I$1,0),2)</f>
        <v>0.00</v>
      </c>
      <c r="J41" s="13" t="str">
        <f>FIXED(VLOOKUP($A41,'Full Sample-Single Family'!$A:$R,J$1,0),2)</f>
        <v>1.00</v>
      </c>
      <c r="K41" s="23">
        <f>VLOOKUP($A41,'Full Sample-Single Family'!$A:$R,K$1,0)</f>
        <v>1E-4</v>
      </c>
      <c r="L41" s="3" t="str">
        <f>FIXED(VLOOKUP($A41,'Full Sample-Single Family'!$A:$R,L$1,0),2)</f>
        <v>0.01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23">
        <f>VLOOKUP($A41,'Small Sample 1-Single Family'!$A:$R,O$1,0)</f>
        <v>2.0000000000000001E-4</v>
      </c>
      <c r="P41" s="3" t="str">
        <f>FIXED(VLOOKUP($A41,'Small Sample 1-Single Family'!$A:$R,P$1,0),2)</f>
        <v>0.01</v>
      </c>
      <c r="Q41" s="3" t="str">
        <f>FIXED(VLOOKUP($A41,'Small Sample 1-Single Family'!$A:$R,Q$1,0),2)</f>
        <v>0.00</v>
      </c>
      <c r="R41" s="3" t="str">
        <f>FIXED(VLOOKUP($A41,'Small Sample 1-Single Family'!$A:$R,R$1,0),2)</f>
        <v>1.00</v>
      </c>
      <c r="S41" s="23">
        <f>VLOOKUP($A41,'Small Sample 1-Single Family'!$A:$R,S$1,0)</f>
        <v>2.0000000000000001E-4</v>
      </c>
      <c r="T41" s="3" t="str">
        <f>FIXED(VLOOKUP($A41,'Small Sample 1-Single Family'!$A:$R,T$1,0),2)</f>
        <v>0.01</v>
      </c>
      <c r="U41" s="3" t="str">
        <f>FIXED(VLOOKUP($A41,'Small Sample 1-Single Family'!$A:$R,U$1,0),2)</f>
        <v>0.00</v>
      </c>
      <c r="V41" s="13" t="str">
        <f>FIXED(VLOOKUP($A41,'Small Sample 1-Single Family'!$A:$R,V$1,0),2)</f>
        <v>1.00</v>
      </c>
      <c r="W41" s="23">
        <f>VLOOKUP($A41,'Small Sample 1-Single Family'!$A:$R,W$1,0)</f>
        <v>1E-4</v>
      </c>
      <c r="X41" s="3" t="str">
        <f>FIXED(VLOOKUP($A41,'Small Sample 1-Single Family'!$A:$R,X$1,0),2)</f>
        <v>0.01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23">
        <f>VLOOKUP($A41,'Small Sample 2-Single Family'!$A:$R,AA$1,0)</f>
        <v>2.0000000000000001E-4</v>
      </c>
      <c r="AB41" s="3" t="str">
        <f>FIXED(VLOOKUP($A41,'Small Sample 2-Single Family'!$A:$R,AB$1,0),2)</f>
        <v>0.01</v>
      </c>
      <c r="AC41" s="3" t="str">
        <f>FIXED(VLOOKUP($A41,'Small Sample 2-Single Family'!$A:$R,AC$1,0),2)</f>
        <v>0.00</v>
      </c>
      <c r="AD41" s="3" t="str">
        <f>FIXED(VLOOKUP($A41,'Small Sample 2-Single Family'!$A:$R,AD$1,0),2)</f>
        <v>1.00</v>
      </c>
      <c r="AE41" s="23">
        <f>VLOOKUP($A41,'Small Sample 2-Single Family'!$A:$R,AE$1,0)</f>
        <v>2.0000000000000001E-4</v>
      </c>
      <c r="AF41" s="3" t="str">
        <f>FIXED(VLOOKUP($A41,'Small Sample 2-Single Family'!$A:$R,AF$1,0),2)</f>
        <v>0.01</v>
      </c>
      <c r="AG41" s="3" t="str">
        <f>FIXED(VLOOKUP($A41,'Small Sample 2-Single Family'!$A:$R,AG$1,0),2)</f>
        <v>0.00</v>
      </c>
      <c r="AH41" s="13" t="str">
        <f>FIXED(VLOOKUP($A41,'Small Sample 2-Single Family'!$A:$R,AH$1,0),2)</f>
        <v>1.00</v>
      </c>
      <c r="AI41" s="23">
        <f>VLOOKUP($A41,'Small Sample 2-Single Family'!$A:$R,AI$1,0)</f>
        <v>1E-4</v>
      </c>
      <c r="AJ41" s="3" t="str">
        <f>FIXED(VLOOKUP($A41,'Small Sample 2-Single Family'!$A:$R,AJ$1,0),2)</f>
        <v>0.01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Sample-Single Family'!$A:$R,C$1,0),2)</f>
        <v>0.08</v>
      </c>
      <c r="D42" s="3" t="str">
        <f>FIXED(VLOOKUP($A42,'Full Sample-Single Family'!$A:$R,D$1,0),2)</f>
        <v>0.27</v>
      </c>
      <c r="E42" s="3" t="str">
        <f>FIXED(VLOOKUP($A42,'Full Sample-Single Family'!$A:$R,E$1,0),2)</f>
        <v>0.00</v>
      </c>
      <c r="F42" s="3" t="str">
        <f>FIXED(VLOOKUP($A42,'Full Sample-Single Family'!$A:$R,F$1,0),2)</f>
        <v>1.00</v>
      </c>
      <c r="G42" s="9" t="str">
        <f>FIXED(VLOOKUP($A42,'Full Sample-Single Family'!$A:$R,G$1,0),2)</f>
        <v>0.08</v>
      </c>
      <c r="H42" s="3" t="str">
        <f>FIXED(VLOOKUP($A42,'Full Sample-Single Family'!$A:$R,H$1,0),2)</f>
        <v>0.27</v>
      </c>
      <c r="I42" s="3" t="str">
        <f>FIXED(VLOOKUP($A42,'Full Sample-Single Family'!$A:$R,I$1,0),2)</f>
        <v>0.00</v>
      </c>
      <c r="J42" s="13" t="str">
        <f>FIXED(VLOOKUP($A42,'Full Sample-Single Family'!$A:$R,J$1,0),2)</f>
        <v>1.00</v>
      </c>
      <c r="K42" s="9" t="str">
        <f>FIXED(VLOOKUP($A42,'Full Sample-Single Family'!$A:$R,K$1,0),2)</f>
        <v>0.07</v>
      </c>
      <c r="L42" s="3" t="str">
        <f>FIXED(VLOOKUP($A42,'Full Sample-Single Family'!$A:$R,L$1,0),2)</f>
        <v>0.26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1-Single Family'!$A:$R,O$1,0),2)</f>
        <v>0.07</v>
      </c>
      <c r="P42" s="3" t="str">
        <f>FIXED(VLOOKUP($A42,'Small Sample 1-Single Family'!$A:$R,P$1,0),2)</f>
        <v>0.25</v>
      </c>
      <c r="Q42" s="3" t="str">
        <f>FIXED(VLOOKUP($A42,'Small Sample 1-Single Family'!$A:$R,Q$1,0),2)</f>
        <v>0.00</v>
      </c>
      <c r="R42" s="3" t="str">
        <f>FIXED(VLOOKUP($A42,'Small Sample 1-Single Family'!$A:$R,R$1,0),2)</f>
        <v>1.00</v>
      </c>
      <c r="S42" s="9" t="str">
        <f>FIXED(VLOOKUP($A42,'Small Sample 1-Single Family'!$A:$R,S$1,0),2)</f>
        <v>0.07</v>
      </c>
      <c r="T42" s="3" t="str">
        <f>FIXED(VLOOKUP($A42,'Small Sample 1-Single Family'!$A:$R,T$1,0),2)</f>
        <v>0.25</v>
      </c>
      <c r="U42" s="3" t="str">
        <f>FIXED(VLOOKUP($A42,'Small Sample 1-Single Family'!$A:$R,U$1,0),2)</f>
        <v>0.00</v>
      </c>
      <c r="V42" s="13" t="str">
        <f>FIXED(VLOOKUP($A42,'Small Sample 1-Single Family'!$A:$R,V$1,0),2)</f>
        <v>1.00</v>
      </c>
      <c r="W42" s="9" t="str">
        <f>FIXED(VLOOKUP($A42,'Small Sample 1-Single Family'!$A:$R,W$1,0),2)</f>
        <v>0.07</v>
      </c>
      <c r="X42" s="3" t="str">
        <f>FIXED(VLOOKUP($A42,'Small Sample 1-Single Family'!$A:$R,X$1,0),2)</f>
        <v>0.26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2-Single Family'!$A:$R,AA$1,0),2)</f>
        <v>0.07</v>
      </c>
      <c r="AB42" s="3" t="str">
        <f>FIXED(VLOOKUP($A42,'Small Sample 2-Single Family'!$A:$R,AB$1,0),2)</f>
        <v>0.25</v>
      </c>
      <c r="AC42" s="3" t="str">
        <f>FIXED(VLOOKUP($A42,'Small Sample 2-Single Family'!$A:$R,AC$1,0),2)</f>
        <v>0.00</v>
      </c>
      <c r="AD42" s="3" t="str">
        <f>FIXED(VLOOKUP($A42,'Small Sample 2-Single Family'!$A:$R,AD$1,0),2)</f>
        <v>1.00</v>
      </c>
      <c r="AE42" s="9" t="str">
        <f>FIXED(VLOOKUP($A42,'Small Sample 2-Single Family'!$A:$R,AE$1,0),2)</f>
        <v>0.08</v>
      </c>
      <c r="AF42" s="3" t="str">
        <f>FIXED(VLOOKUP($A42,'Small Sample 2-Single Family'!$A:$R,AF$1,0),2)</f>
        <v>0.27</v>
      </c>
      <c r="AG42" s="3" t="str">
        <f>FIXED(VLOOKUP($A42,'Small Sample 2-Single Family'!$A:$R,AG$1,0),2)</f>
        <v>0.00</v>
      </c>
      <c r="AH42" s="13" t="str">
        <f>FIXED(VLOOKUP($A42,'Small Sample 2-Single Family'!$A:$R,AH$1,0),2)</f>
        <v>1.00</v>
      </c>
      <c r="AI42" s="9" t="str">
        <f>FIXED(VLOOKUP($A42,'Small Sample 2-Single Family'!$A:$R,AI$1,0),2)</f>
        <v>0.06</v>
      </c>
      <c r="AJ42" s="3" t="str">
        <f>FIXED(VLOOKUP($A42,'Small Sample 2-Single Family'!$A:$R,AJ$1,0),2)</f>
        <v>0.23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Sample-Single Family'!$A:$R,C$1,0),2)</f>
        <v>0.02</v>
      </c>
      <c r="D43" s="3" t="str">
        <f>FIXED(VLOOKUP($A43,'Full Sample-Single Family'!$A:$R,D$1,0),2)</f>
        <v>0.13</v>
      </c>
      <c r="E43" s="3" t="str">
        <f>FIXED(VLOOKUP($A43,'Full Sample-Single Family'!$A:$R,E$1,0),2)</f>
        <v>0.00</v>
      </c>
      <c r="F43" s="3" t="str">
        <f>FIXED(VLOOKUP($A43,'Full Sample-Single Family'!$A:$R,F$1,0),2)</f>
        <v>1.00</v>
      </c>
      <c r="G43" s="9" t="str">
        <f>FIXED(VLOOKUP($A43,'Full Sample-Single Family'!$A:$R,G$1,0),2)</f>
        <v>0.02</v>
      </c>
      <c r="H43" s="3" t="str">
        <f>FIXED(VLOOKUP($A43,'Full Sample-Single Family'!$A:$R,H$1,0),2)</f>
        <v>0.13</v>
      </c>
      <c r="I43" s="3" t="str">
        <f>FIXED(VLOOKUP($A43,'Full Sample-Single Family'!$A:$R,I$1,0),2)</f>
        <v>0.00</v>
      </c>
      <c r="J43" s="13" t="str">
        <f>FIXED(VLOOKUP($A43,'Full Sample-Single Family'!$A:$R,J$1,0),2)</f>
        <v>1.00</v>
      </c>
      <c r="K43" s="9" t="str">
        <f>FIXED(VLOOKUP($A43,'Full Sample-Single Family'!$A:$R,K$1,0),2)</f>
        <v>0.02</v>
      </c>
      <c r="L43" s="3" t="str">
        <f>FIXED(VLOOKUP($A43,'Full Sample-Single Family'!$A:$R,L$1,0),2)</f>
        <v>0.13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1-Single Family'!$A:$R,O$1,0),2)</f>
        <v>0.02</v>
      </c>
      <c r="P43" s="3" t="str">
        <f>FIXED(VLOOKUP($A43,'Small Sample 1-Single Family'!$A:$R,P$1,0),2)</f>
        <v>0.13</v>
      </c>
      <c r="Q43" s="3" t="str">
        <f>FIXED(VLOOKUP($A43,'Small Sample 1-Single Family'!$A:$R,Q$1,0),2)</f>
        <v>0.00</v>
      </c>
      <c r="R43" s="3" t="str">
        <f>FIXED(VLOOKUP($A43,'Small Sample 1-Single Family'!$A:$R,R$1,0),2)</f>
        <v>1.00</v>
      </c>
      <c r="S43" s="9" t="str">
        <f>FIXED(VLOOKUP($A43,'Small Sample 1-Single Family'!$A:$R,S$1,0),2)</f>
        <v>0.02</v>
      </c>
      <c r="T43" s="3" t="str">
        <f>FIXED(VLOOKUP($A43,'Small Sample 1-Single Family'!$A:$R,T$1,0),2)</f>
        <v>0.13</v>
      </c>
      <c r="U43" s="3" t="str">
        <f>FIXED(VLOOKUP($A43,'Small Sample 1-Single Family'!$A:$R,U$1,0),2)</f>
        <v>0.00</v>
      </c>
      <c r="V43" s="13" t="str">
        <f>FIXED(VLOOKUP($A43,'Small Sample 1-Single Family'!$A:$R,V$1,0),2)</f>
        <v>1.00</v>
      </c>
      <c r="W43" s="9" t="str">
        <f>FIXED(VLOOKUP($A43,'Small Sample 1-Single Family'!$A:$R,W$1,0),2)</f>
        <v>0.02</v>
      </c>
      <c r="X43" s="3" t="str">
        <f>FIXED(VLOOKUP($A43,'Small Sample 1-Single Family'!$A:$R,X$1,0),2)</f>
        <v>0.14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2-Single Family'!$A:$R,AA$1,0),2)</f>
        <v>0.02</v>
      </c>
      <c r="AB43" s="3" t="str">
        <f>FIXED(VLOOKUP($A43,'Small Sample 2-Single Family'!$A:$R,AB$1,0),2)</f>
        <v>0.13</v>
      </c>
      <c r="AC43" s="3" t="str">
        <f>FIXED(VLOOKUP($A43,'Small Sample 2-Single Family'!$A:$R,AC$1,0),2)</f>
        <v>0.00</v>
      </c>
      <c r="AD43" s="3" t="str">
        <f>FIXED(VLOOKUP($A43,'Small Sample 2-Single Family'!$A:$R,AD$1,0),2)</f>
        <v>1.00</v>
      </c>
      <c r="AE43" s="9" t="str">
        <f>FIXED(VLOOKUP($A43,'Small Sample 2-Single Family'!$A:$R,AE$1,0),2)</f>
        <v>0.02</v>
      </c>
      <c r="AF43" s="3" t="str">
        <f>FIXED(VLOOKUP($A43,'Small Sample 2-Single Family'!$A:$R,AF$1,0),2)</f>
        <v>0.13</v>
      </c>
      <c r="AG43" s="3" t="str">
        <f>FIXED(VLOOKUP($A43,'Small Sample 2-Single Family'!$A:$R,AG$1,0),2)</f>
        <v>0.00</v>
      </c>
      <c r="AH43" s="13" t="str">
        <f>FIXED(VLOOKUP($A43,'Small Sample 2-Single Family'!$A:$R,AH$1,0),2)</f>
        <v>1.00</v>
      </c>
      <c r="AI43" s="9" t="str">
        <f>FIXED(VLOOKUP($A43,'Small Sample 2-Single Family'!$A:$R,AI$1,0),2)</f>
        <v>0.02</v>
      </c>
      <c r="AJ43" s="3" t="str">
        <f>FIXED(VLOOKUP($A43,'Small Sample 2-Single Family'!$A:$R,AJ$1,0),2)</f>
        <v>0.13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Sample-Single Family'!$A:$R,C$1,0),2)</f>
        <v>0.00</v>
      </c>
      <c r="D44" s="3" t="str">
        <f>FIXED(VLOOKUP($A44,'Full Sample-Single Family'!$A:$R,D$1,0),2)</f>
        <v>0.02</v>
      </c>
      <c r="E44" s="3" t="str">
        <f>FIXED(VLOOKUP($A44,'Full Sample-Single Family'!$A:$R,E$1,0),2)</f>
        <v>0.00</v>
      </c>
      <c r="F44" s="3" t="str">
        <f>FIXED(VLOOKUP($A44,'Full Sample-Single Family'!$A:$R,F$1,0),2)</f>
        <v>1.00</v>
      </c>
      <c r="G44" s="9" t="str">
        <f>FIXED(VLOOKUP($A44,'Full Sample-Single Family'!$A:$R,G$1,0),2)</f>
        <v>0.00</v>
      </c>
      <c r="H44" s="3" t="str">
        <f>FIXED(VLOOKUP($A44,'Full Sample-Single Family'!$A:$R,H$1,0),2)</f>
        <v>0.02</v>
      </c>
      <c r="I44" s="3" t="str">
        <f>FIXED(VLOOKUP($A44,'Full Sample-Single Family'!$A:$R,I$1,0),2)</f>
        <v>0.00</v>
      </c>
      <c r="J44" s="13" t="str">
        <f>FIXED(VLOOKUP($A44,'Full Sample-Single Family'!$A:$R,J$1,0),2)</f>
        <v>1.00</v>
      </c>
      <c r="K44" s="9" t="str">
        <f>FIXED(VLOOKUP($A44,'Full Sample-Single Family'!$A:$R,K$1,0),2)</f>
        <v>0.00</v>
      </c>
      <c r="L44" s="3" t="str">
        <f>FIXED(VLOOKUP($A44,'Full Sample-Single Family'!$A:$R,L$1,0),2)</f>
        <v>0.02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1-Single Family'!$A:$R,O$1,0),2)</f>
        <v>0.00</v>
      </c>
      <c r="P44" s="3" t="str">
        <f>FIXED(VLOOKUP($A44,'Small Sample 1-Single Family'!$A:$R,P$1,0),2)</f>
        <v>0.02</v>
      </c>
      <c r="Q44" s="3" t="str">
        <f>FIXED(VLOOKUP($A44,'Small Sample 1-Single Family'!$A:$R,Q$1,0),2)</f>
        <v>0.00</v>
      </c>
      <c r="R44" s="3" t="str">
        <f>FIXED(VLOOKUP($A44,'Small Sample 1-Single Family'!$A:$R,R$1,0),2)</f>
        <v>1.00</v>
      </c>
      <c r="S44" s="9" t="str">
        <f>FIXED(VLOOKUP($A44,'Small Sample 1-Single Family'!$A:$R,S$1,0),2)</f>
        <v>0.00</v>
      </c>
      <c r="T44" s="3" t="str">
        <f>FIXED(VLOOKUP($A44,'Small Sample 1-Single Family'!$A:$R,T$1,0),2)</f>
        <v>0.02</v>
      </c>
      <c r="U44" s="3" t="str">
        <f>FIXED(VLOOKUP($A44,'Small Sample 1-Single Family'!$A:$R,U$1,0),2)</f>
        <v>0.00</v>
      </c>
      <c r="V44" s="13" t="str">
        <f>FIXED(VLOOKUP($A44,'Small Sample 1-Single Family'!$A:$R,V$1,0),2)</f>
        <v>1.00</v>
      </c>
      <c r="W44" s="9" t="str">
        <f>FIXED(VLOOKUP($A44,'Small Sample 1-Single Family'!$A:$R,W$1,0),2)</f>
        <v>0.00</v>
      </c>
      <c r="X44" s="3" t="str">
        <f>FIXED(VLOOKUP($A44,'Small Sample 1-Single Family'!$A:$R,X$1,0),2)</f>
        <v>0.02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2-Single Family'!$A:$R,AA$1,0),2)</f>
        <v>0.00</v>
      </c>
      <c r="AB44" s="3" t="str">
        <f>FIXED(VLOOKUP($A44,'Small Sample 2-Single Family'!$A:$R,AB$1,0),2)</f>
        <v>0.02</v>
      </c>
      <c r="AC44" s="3" t="str">
        <f>FIXED(VLOOKUP($A44,'Small Sample 2-Single Family'!$A:$R,AC$1,0),2)</f>
        <v>0.00</v>
      </c>
      <c r="AD44" s="3" t="str">
        <f>FIXED(VLOOKUP($A44,'Small Sample 2-Single Family'!$A:$R,AD$1,0),2)</f>
        <v>1.00</v>
      </c>
      <c r="AE44" s="9" t="str">
        <f>FIXED(VLOOKUP($A44,'Small Sample 2-Single Family'!$A:$R,AE$1,0),2)</f>
        <v>0.00</v>
      </c>
      <c r="AF44" s="3" t="str">
        <f>FIXED(VLOOKUP($A44,'Small Sample 2-Single Family'!$A:$R,AF$1,0),2)</f>
        <v>0.02</v>
      </c>
      <c r="AG44" s="3" t="str">
        <f>FIXED(VLOOKUP($A44,'Small Sample 2-Single Family'!$A:$R,AG$1,0),2)</f>
        <v>0.00</v>
      </c>
      <c r="AH44" s="13" t="str">
        <f>FIXED(VLOOKUP($A44,'Small Sample 2-Single Family'!$A:$R,AH$1,0),2)</f>
        <v>1.00</v>
      </c>
      <c r="AI44" s="9" t="str">
        <f>FIXED(VLOOKUP($A44,'Small Sample 2-Single Family'!$A:$R,AI$1,0),2)</f>
        <v>0.00</v>
      </c>
      <c r="AJ44" s="3" t="str">
        <f>FIXED(VLOOKUP($A44,'Small Sample 2-Single Family'!$A:$R,AJ$1,0),2)</f>
        <v>0.02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Sample-Single Family'!$A:$R,C$1,0),2)</f>
        <v>0.01</v>
      </c>
      <c r="D45" s="3" t="str">
        <f>FIXED(VLOOKUP($A45,'Full Sample-Single Family'!$A:$R,D$1,0),2)</f>
        <v>0.12</v>
      </c>
      <c r="E45" s="3" t="str">
        <f>FIXED(VLOOKUP($A45,'Full Sample-Single Family'!$A:$R,E$1,0),2)</f>
        <v>0.00</v>
      </c>
      <c r="F45" s="3" t="str">
        <f>FIXED(VLOOKUP($A45,'Full Sample-Single Family'!$A:$R,F$1,0),2)</f>
        <v>1.00</v>
      </c>
      <c r="G45" s="9" t="str">
        <f>FIXED(VLOOKUP($A45,'Full Sample-Single Family'!$A:$R,G$1,0),2)</f>
        <v>0.01</v>
      </c>
      <c r="H45" s="3" t="str">
        <f>FIXED(VLOOKUP($A45,'Full Sample-Single Family'!$A:$R,H$1,0),2)</f>
        <v>0.12</v>
      </c>
      <c r="I45" s="3" t="str">
        <f>FIXED(VLOOKUP($A45,'Full Sample-Single Family'!$A:$R,I$1,0),2)</f>
        <v>0.00</v>
      </c>
      <c r="J45" s="13" t="str">
        <f>FIXED(VLOOKUP($A45,'Full Sample-Single Family'!$A:$R,J$1,0),2)</f>
        <v>1.00</v>
      </c>
      <c r="K45" s="9" t="str">
        <f>FIXED(VLOOKUP($A45,'Full Sample-Single Family'!$A:$R,K$1,0),2)</f>
        <v>0.01</v>
      </c>
      <c r="L45" s="3" t="str">
        <f>FIXED(VLOOKUP($A45,'Full Sample-Single Family'!$A:$R,L$1,0),2)</f>
        <v>0.12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1-Single Family'!$A:$R,O$1,0),2)</f>
        <v>0.01</v>
      </c>
      <c r="P45" s="3" t="str">
        <f>FIXED(VLOOKUP($A45,'Small Sample 1-Single Family'!$A:$R,P$1,0),2)</f>
        <v>0.12</v>
      </c>
      <c r="Q45" s="3" t="str">
        <f>FIXED(VLOOKUP($A45,'Small Sample 1-Single Family'!$A:$R,Q$1,0),2)</f>
        <v>0.00</v>
      </c>
      <c r="R45" s="3" t="str">
        <f>FIXED(VLOOKUP($A45,'Small Sample 1-Single Family'!$A:$R,R$1,0),2)</f>
        <v>1.00</v>
      </c>
      <c r="S45" s="9" t="str">
        <f>FIXED(VLOOKUP($A45,'Small Sample 1-Single Family'!$A:$R,S$1,0),2)</f>
        <v>0.01</v>
      </c>
      <c r="T45" s="3" t="str">
        <f>FIXED(VLOOKUP($A45,'Small Sample 1-Single Family'!$A:$R,T$1,0),2)</f>
        <v>0.12</v>
      </c>
      <c r="U45" s="3" t="str">
        <f>FIXED(VLOOKUP($A45,'Small Sample 1-Single Family'!$A:$R,U$1,0),2)</f>
        <v>0.00</v>
      </c>
      <c r="V45" s="13" t="str">
        <f>FIXED(VLOOKUP($A45,'Small Sample 1-Single Family'!$A:$R,V$1,0),2)</f>
        <v>1.00</v>
      </c>
      <c r="W45" s="9" t="str">
        <f>FIXED(VLOOKUP($A45,'Small Sample 1-Single Family'!$A:$R,W$1,0),2)</f>
        <v>0.01</v>
      </c>
      <c r="X45" s="3" t="str">
        <f>FIXED(VLOOKUP($A45,'Small Sample 1-Single Family'!$A:$R,X$1,0),2)</f>
        <v>0.12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2-Single Family'!$A:$R,AA$1,0),2)</f>
        <v>0.01</v>
      </c>
      <c r="AB45" s="3" t="str">
        <f>FIXED(VLOOKUP($A45,'Small Sample 2-Single Family'!$A:$R,AB$1,0),2)</f>
        <v>0.12</v>
      </c>
      <c r="AC45" s="3" t="str">
        <f>FIXED(VLOOKUP($A45,'Small Sample 2-Single Family'!$A:$R,AC$1,0),2)</f>
        <v>0.00</v>
      </c>
      <c r="AD45" s="3" t="str">
        <f>FIXED(VLOOKUP($A45,'Small Sample 2-Single Family'!$A:$R,AD$1,0),2)</f>
        <v>1.00</v>
      </c>
      <c r="AE45" s="9" t="str">
        <f>FIXED(VLOOKUP($A45,'Small Sample 2-Single Family'!$A:$R,AE$1,0),2)</f>
        <v>0.01</v>
      </c>
      <c r="AF45" s="3" t="str">
        <f>FIXED(VLOOKUP($A45,'Small Sample 2-Single Family'!$A:$R,AF$1,0),2)</f>
        <v>0.12</v>
      </c>
      <c r="AG45" s="3" t="str">
        <f>FIXED(VLOOKUP($A45,'Small Sample 2-Single Family'!$A:$R,AG$1,0),2)</f>
        <v>0.00</v>
      </c>
      <c r="AH45" s="13" t="str">
        <f>FIXED(VLOOKUP($A45,'Small Sample 2-Single Family'!$A:$R,AH$1,0),2)</f>
        <v>1.00</v>
      </c>
      <c r="AI45" s="9" t="str">
        <f>FIXED(VLOOKUP($A45,'Small Sample 2-Single Family'!$A:$R,AI$1,0),2)</f>
        <v>0.02</v>
      </c>
      <c r="AJ45" s="3" t="str">
        <f>FIXED(VLOOKUP($A45,'Small Sample 2-Single Family'!$A:$R,AJ$1,0),2)</f>
        <v>0.12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Sample-Single Family'!$A:$R,C$1,0),2)</f>
        <v>0.00</v>
      </c>
      <c r="D46" s="3" t="str">
        <f>FIXED(VLOOKUP($A46,'Full Sample-Single Family'!$A:$R,D$1,0),2)</f>
        <v>0.01</v>
      </c>
      <c r="E46" s="3" t="str">
        <f>FIXED(VLOOKUP($A46,'Full Sample-Single Family'!$A:$R,E$1,0),2)</f>
        <v>0.00</v>
      </c>
      <c r="F46" s="3" t="str">
        <f>FIXED(VLOOKUP($A46,'Full Sample-Single Family'!$A:$R,F$1,0),2)</f>
        <v>1.00</v>
      </c>
      <c r="G46" s="9" t="str">
        <f>FIXED(VLOOKUP($A46,'Full Sample-Single Family'!$A:$R,G$1,0),2)</f>
        <v>0.00</v>
      </c>
      <c r="H46" s="3" t="str">
        <f>FIXED(VLOOKUP($A46,'Full Sample-Single Family'!$A:$R,H$1,0),2)</f>
        <v>0.00</v>
      </c>
      <c r="I46" s="3" t="str">
        <f>FIXED(VLOOKUP($A46,'Full Sample-Single Family'!$A:$R,I$1,0),2)</f>
        <v>0.00</v>
      </c>
      <c r="J46" s="13" t="str">
        <f>FIXED(VLOOKUP($A46,'Full Sample-Single Family'!$A:$R,J$1,0),2)</f>
        <v>0.00</v>
      </c>
      <c r="K46" s="9" t="str">
        <f>FIXED(VLOOKUP($A46,'Full Sample-Single Family'!$A:$R,K$1,0),2)</f>
        <v>0.00</v>
      </c>
      <c r="L46" s="3" t="str">
        <f>FIXED(VLOOKUP($A46,'Full Sample-Single Family'!$A:$R,L$1,0),2)</f>
        <v>0.02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1-Single Family'!$A:$R,O$1,0),2)</f>
        <v>0.00</v>
      </c>
      <c r="P46" s="3" t="str">
        <f>FIXED(VLOOKUP($A46,'Small Sample 1-Single Family'!$A:$R,P$1,0),2)</f>
        <v>0.01</v>
      </c>
      <c r="Q46" s="3" t="str">
        <f>FIXED(VLOOKUP($A46,'Small Sample 1-Single Family'!$A:$R,Q$1,0),2)</f>
        <v>0.00</v>
      </c>
      <c r="R46" s="3" t="str">
        <f>FIXED(VLOOKUP($A46,'Small Sample 1-Single Family'!$A:$R,R$1,0),2)</f>
        <v>1.00</v>
      </c>
      <c r="S46" s="9" t="str">
        <f>FIXED(VLOOKUP($A46,'Small Sample 1-Single Family'!$A:$R,S$1,0),2)</f>
        <v>0.00</v>
      </c>
      <c r="T46" s="3" t="str">
        <f>FIXED(VLOOKUP($A46,'Small Sample 1-Single Family'!$A:$R,T$1,0),2)</f>
        <v>0.00</v>
      </c>
      <c r="U46" s="3" t="str">
        <f>FIXED(VLOOKUP($A46,'Small Sample 1-Single Family'!$A:$R,U$1,0),2)</f>
        <v>0.00</v>
      </c>
      <c r="V46" s="13" t="str">
        <f>FIXED(VLOOKUP($A46,'Small Sample 1-Single Family'!$A:$R,V$1,0),2)</f>
        <v>0.00</v>
      </c>
      <c r="W46" s="9" t="str">
        <f>FIXED(VLOOKUP($A46,'Small Sample 1-Single Family'!$A:$R,W$1,0),2)</f>
        <v>0.00</v>
      </c>
      <c r="X46" s="3" t="str">
        <f>FIXED(VLOOKUP($A46,'Small Sample 1-Single Family'!$A:$R,X$1,0),2)</f>
        <v>0.02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2-Single Family'!$A:$R,AA$1,0),2)</f>
        <v>0.00</v>
      </c>
      <c r="AB46" s="3" t="str">
        <f>FIXED(VLOOKUP($A46,'Small Sample 2-Single Family'!$A:$R,AB$1,0),2)</f>
        <v>0.01</v>
      </c>
      <c r="AC46" s="3" t="str">
        <f>FIXED(VLOOKUP($A46,'Small Sample 2-Single Family'!$A:$R,AC$1,0),2)</f>
        <v>0.00</v>
      </c>
      <c r="AD46" s="3" t="str">
        <f>FIXED(VLOOKUP($A46,'Small Sample 2-Single Family'!$A:$R,AD$1,0),2)</f>
        <v>1.00</v>
      </c>
      <c r="AE46" s="9" t="str">
        <f>FIXED(VLOOKUP($A46,'Small Sample 2-Single Family'!$A:$R,AE$1,0),2)</f>
        <v>0.00</v>
      </c>
      <c r="AF46" s="3" t="str">
        <f>FIXED(VLOOKUP($A46,'Small Sample 2-Single Family'!$A:$R,AF$1,0),2)</f>
        <v>0.00</v>
      </c>
      <c r="AG46" s="3" t="str">
        <f>FIXED(VLOOKUP($A46,'Small Sample 2-Single Family'!$A:$R,AG$1,0),2)</f>
        <v>0.00</v>
      </c>
      <c r="AH46" s="13" t="str">
        <f>FIXED(VLOOKUP($A46,'Small Sample 2-Single Family'!$A:$R,AH$1,0),2)</f>
        <v>0.00</v>
      </c>
      <c r="AI46" s="9" t="str">
        <f>FIXED(VLOOKUP($A46,'Small Sample 2-Single Family'!$A:$R,AI$1,0),2)</f>
        <v>0.00</v>
      </c>
      <c r="AJ46" s="3" t="str">
        <f>FIXED(VLOOKUP($A46,'Small Sample 2-Single Family'!$A:$R,AJ$1,0),2)</f>
        <v>0.02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Sample-Single Family'!$A:$R,C$1,0),2)</f>
        <v>24.80</v>
      </c>
      <c r="D47" s="3" t="str">
        <f>FIXED(VLOOKUP($A47,'Full Sample-Single Family'!$A:$R,D$1,0),2)</f>
        <v>52.43</v>
      </c>
      <c r="E47" s="3" t="str">
        <f>FIXED(VLOOKUP($A47,'Full Sample-Single Family'!$A:$R,E$1,0),2)</f>
        <v>0.00</v>
      </c>
      <c r="F47" s="3" t="str">
        <f>FIXED(VLOOKUP($A47,'Full Sample-Single Family'!$A:$R,F$1,0),2)</f>
        <v>667.00</v>
      </c>
      <c r="G47" s="9" t="str">
        <f>FIXED(VLOOKUP($A47,'Full Sample-Single Family'!$A:$R,G$1,0),2)</f>
        <v>24.94</v>
      </c>
      <c r="H47" s="3" t="str">
        <f>FIXED(VLOOKUP($A47,'Full Sample-Single Family'!$A:$R,H$1,0),2)</f>
        <v>50.91</v>
      </c>
      <c r="I47" s="3" t="str">
        <f>FIXED(VLOOKUP($A47,'Full Sample-Single Family'!$A:$R,I$1,0),2)</f>
        <v>0.00</v>
      </c>
      <c r="J47" s="13" t="str">
        <f>FIXED(VLOOKUP($A47,'Full Sample-Single Family'!$A:$R,J$1,0),2)</f>
        <v>667.00</v>
      </c>
      <c r="K47" s="9" t="str">
        <f>FIXED(VLOOKUP($A47,'Full Sample-Single Family'!$A:$R,K$1,0),2)</f>
        <v>24.61</v>
      </c>
      <c r="L47" s="3" t="str">
        <f>FIXED(VLOOKUP($A47,'Full Sample-Single Family'!$A:$R,L$1,0),2)</f>
        <v>54.44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1-Single Family'!$A:$R,O$1,0),2)</f>
        <v>23.51</v>
      </c>
      <c r="P47" s="3" t="str">
        <f>FIXED(VLOOKUP($A47,'Small Sample 1-Single Family'!$A:$R,P$1,0),2)</f>
        <v>52.05</v>
      </c>
      <c r="Q47" s="3" t="str">
        <f>FIXED(VLOOKUP($A47,'Small Sample 1-Single Family'!$A:$R,Q$1,0),2)</f>
        <v>0.00</v>
      </c>
      <c r="R47" s="3" t="str">
        <f>FIXED(VLOOKUP($A47,'Small Sample 1-Single Family'!$A:$R,R$1,0),2)</f>
        <v>667.00</v>
      </c>
      <c r="S47" s="9" t="str">
        <f>FIXED(VLOOKUP($A47,'Small Sample 1-Single Family'!$A:$R,S$1,0),2)</f>
        <v>22.66</v>
      </c>
      <c r="T47" s="3" t="str">
        <f>FIXED(VLOOKUP($A47,'Small Sample 1-Single Family'!$A:$R,T$1,0),2)</f>
        <v>50.06</v>
      </c>
      <c r="U47" s="3" t="str">
        <f>FIXED(VLOOKUP($A47,'Small Sample 1-Single Family'!$A:$R,U$1,0),2)</f>
        <v>0.00</v>
      </c>
      <c r="V47" s="13" t="str">
        <f>FIXED(VLOOKUP($A47,'Small Sample 1-Single Family'!$A:$R,V$1,0),2)</f>
        <v>667.00</v>
      </c>
      <c r="W47" s="9" t="str">
        <f>FIXED(VLOOKUP($A47,'Small Sample 1-Single Family'!$A:$R,W$1,0),2)</f>
        <v>24.46</v>
      </c>
      <c r="X47" s="3" t="str">
        <f>FIXED(VLOOKUP($A47,'Small Sample 1-Single Family'!$A:$R,X$1,0),2)</f>
        <v>54.20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2-Single Family'!$A:$R,AA$1,0),2)</f>
        <v>23.16</v>
      </c>
      <c r="AB47" s="3" t="str">
        <f>FIXED(VLOOKUP($A47,'Small Sample 2-Single Family'!$A:$R,AB$1,0),2)</f>
        <v>51.19</v>
      </c>
      <c r="AC47" s="3" t="str">
        <f>FIXED(VLOOKUP($A47,'Small Sample 2-Single Family'!$A:$R,AC$1,0),2)</f>
        <v>0.00</v>
      </c>
      <c r="AD47" s="3" t="str">
        <f>FIXED(VLOOKUP($A47,'Small Sample 2-Single Family'!$A:$R,AD$1,0),2)</f>
        <v>667.00</v>
      </c>
      <c r="AE47" s="9" t="str">
        <f>FIXED(VLOOKUP($A47,'Small Sample 2-Single Family'!$A:$R,AE$1,0),2)</f>
        <v>24.55</v>
      </c>
      <c r="AF47" s="3" t="str">
        <f>FIXED(VLOOKUP($A47,'Small Sample 2-Single Family'!$A:$R,AF$1,0),2)</f>
        <v>51.05</v>
      </c>
      <c r="AG47" s="3" t="str">
        <f>FIXED(VLOOKUP($A47,'Small Sample 2-Single Family'!$A:$R,AG$1,0),2)</f>
        <v>0.00</v>
      </c>
      <c r="AH47" s="13" t="str">
        <f>FIXED(VLOOKUP($A47,'Small Sample 2-Single Family'!$A:$R,AH$1,0),2)</f>
        <v>667.00</v>
      </c>
      <c r="AI47" s="9" t="str">
        <f>FIXED(VLOOKUP($A47,'Small Sample 2-Single Family'!$A:$R,AI$1,0),2)</f>
        <v>20.85</v>
      </c>
      <c r="AJ47" s="3" t="str">
        <f>FIXED(VLOOKUP($A47,'Small Sample 2-Single Family'!$A:$R,AJ$1,0),2)</f>
        <v>51.34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Sample-Single Family'!$A:$R,C$1,0),2)</f>
        <v>0.00</v>
      </c>
      <c r="D48" s="3" t="str">
        <f>FIXED(VLOOKUP($A48,'Full Sample-Single Family'!$A:$R,D$1,0),2)</f>
        <v>0.06</v>
      </c>
      <c r="E48" s="3" t="str">
        <f>FIXED(VLOOKUP($A48,'Full Sample-Single Family'!$A:$R,E$1,0),2)</f>
        <v>0.00</v>
      </c>
      <c r="F48" s="3" t="str">
        <f>FIXED(VLOOKUP($A48,'Full Sample-Single Family'!$A:$R,F$1,0),2)</f>
        <v>1.00</v>
      </c>
      <c r="G48" s="9" t="str">
        <f>FIXED(VLOOKUP($A48,'Full Sample-Single Family'!$A:$R,G$1,0),2)</f>
        <v>0.00</v>
      </c>
      <c r="H48" s="3" t="str">
        <f>FIXED(VLOOKUP($A48,'Full Sample-Single Family'!$A:$R,H$1,0),2)</f>
        <v>0.07</v>
      </c>
      <c r="I48" s="3" t="str">
        <f>FIXED(VLOOKUP($A48,'Full Sample-Single Family'!$A:$R,I$1,0),2)</f>
        <v>0.00</v>
      </c>
      <c r="J48" s="13" t="str">
        <f>FIXED(VLOOKUP($A48,'Full Sample-Single Family'!$A:$R,J$1,0),2)</f>
        <v>1.00</v>
      </c>
      <c r="K48" s="9" t="str">
        <f>FIXED(VLOOKUP($A48,'Full Sample-Single Family'!$A:$R,K$1,0),2)</f>
        <v>0.00</v>
      </c>
      <c r="L48" s="3" t="str">
        <f>FIXED(VLOOKUP($A48,'Full Sample-Single Family'!$A:$R,L$1,0),2)</f>
        <v>0.06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1-Single Family'!$A:$R,O$1,0),2)</f>
        <v>0.00</v>
      </c>
      <c r="P48" s="3" t="str">
        <f>FIXED(VLOOKUP($A48,'Small Sample 1-Single Family'!$A:$R,P$1,0),2)</f>
        <v>0.06</v>
      </c>
      <c r="Q48" s="3" t="str">
        <f>FIXED(VLOOKUP($A48,'Small Sample 1-Single Family'!$A:$R,Q$1,0),2)</f>
        <v>0.00</v>
      </c>
      <c r="R48" s="3" t="str">
        <f>FIXED(VLOOKUP($A48,'Small Sample 1-Single Family'!$A:$R,R$1,0),2)</f>
        <v>1.00</v>
      </c>
      <c r="S48" s="9" t="str">
        <f>FIXED(VLOOKUP($A48,'Small Sample 1-Single Family'!$A:$R,S$1,0),2)</f>
        <v>0.00</v>
      </c>
      <c r="T48" s="3" t="str">
        <f>FIXED(VLOOKUP($A48,'Small Sample 1-Single Family'!$A:$R,T$1,0),2)</f>
        <v>0.07</v>
      </c>
      <c r="U48" s="3" t="str">
        <f>FIXED(VLOOKUP($A48,'Small Sample 1-Single Family'!$A:$R,U$1,0),2)</f>
        <v>0.00</v>
      </c>
      <c r="V48" s="13" t="str">
        <f>FIXED(VLOOKUP($A48,'Small Sample 1-Single Family'!$A:$R,V$1,0),2)</f>
        <v>1.00</v>
      </c>
      <c r="W48" s="9" t="str">
        <f>FIXED(VLOOKUP($A48,'Small Sample 1-Single Family'!$A:$R,W$1,0),2)</f>
        <v>0.00</v>
      </c>
      <c r="X48" s="3" t="str">
        <f>FIXED(VLOOKUP($A48,'Small Sample 1-Single Family'!$A:$R,X$1,0),2)</f>
        <v>0.06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2-Single Family'!$A:$R,AA$1,0),2)</f>
        <v>0.00</v>
      </c>
      <c r="AB48" s="3" t="str">
        <f>FIXED(VLOOKUP($A48,'Small Sample 2-Single Family'!$A:$R,AB$1,0),2)</f>
        <v>0.07</v>
      </c>
      <c r="AC48" s="3" t="str">
        <f>FIXED(VLOOKUP($A48,'Small Sample 2-Single Family'!$A:$R,AC$1,0),2)</f>
        <v>0.00</v>
      </c>
      <c r="AD48" s="3" t="str">
        <f>FIXED(VLOOKUP($A48,'Small Sample 2-Single Family'!$A:$R,AD$1,0),2)</f>
        <v>1.00</v>
      </c>
      <c r="AE48" s="9" t="str">
        <f>FIXED(VLOOKUP($A48,'Small Sample 2-Single Family'!$A:$R,AE$1,0),2)</f>
        <v>0.00</v>
      </c>
      <c r="AF48" s="3" t="str">
        <f>FIXED(VLOOKUP($A48,'Small Sample 2-Single Family'!$A:$R,AF$1,0),2)</f>
        <v>0.07</v>
      </c>
      <c r="AG48" s="3" t="str">
        <f>FIXED(VLOOKUP($A48,'Small Sample 2-Single Family'!$A:$R,AG$1,0),2)</f>
        <v>0.00</v>
      </c>
      <c r="AH48" s="13" t="str">
        <f>FIXED(VLOOKUP($A48,'Small Sample 2-Single Family'!$A:$R,AH$1,0),2)</f>
        <v>1.00</v>
      </c>
      <c r="AI48" s="9" t="str">
        <f>FIXED(VLOOKUP($A48,'Small Sample 2-Single Family'!$A:$R,AI$1,0),2)</f>
        <v>0.00</v>
      </c>
      <c r="AJ48" s="3" t="str">
        <f>FIXED(VLOOKUP($A48,'Small Sample 2-Single Family'!$A:$R,AJ$1,0),2)</f>
        <v>0.06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73" x14ac:dyDescent="0.25">
      <c r="A49" t="s">
        <v>75</v>
      </c>
      <c r="B49" s="4" t="s">
        <v>151</v>
      </c>
      <c r="C49" s="9" t="str">
        <f>FIXED(VLOOKUP($A49,'Full Sample-Single Family'!$A:$R,C$1,0),2)</f>
        <v>0.03</v>
      </c>
      <c r="D49" s="3" t="str">
        <f>FIXED(VLOOKUP($A49,'Full Sample-Single Family'!$A:$R,D$1,0),2)</f>
        <v>0.18</v>
      </c>
      <c r="E49" s="3" t="str">
        <f>FIXED(VLOOKUP($A49,'Full Sample-Single Family'!$A:$R,E$1,0),2)</f>
        <v>0.00</v>
      </c>
      <c r="F49" s="3" t="str">
        <f>FIXED(VLOOKUP($A49,'Full Sample-Single Family'!$A:$R,F$1,0),2)</f>
        <v>1.00</v>
      </c>
      <c r="G49" s="9" t="str">
        <f>FIXED(VLOOKUP($A49,'Full Sample-Single Family'!$A:$R,G$1,0),2)</f>
        <v>0.04</v>
      </c>
      <c r="H49" s="3" t="str">
        <f>FIXED(VLOOKUP($A49,'Full Sample-Single Family'!$A:$R,H$1,0),2)</f>
        <v>0.19</v>
      </c>
      <c r="I49" s="3" t="str">
        <f>FIXED(VLOOKUP($A49,'Full Sample-Single Family'!$A:$R,I$1,0),2)</f>
        <v>0.00</v>
      </c>
      <c r="J49" s="13" t="str">
        <f>FIXED(VLOOKUP($A49,'Full Sample-Single Family'!$A:$R,J$1,0),2)</f>
        <v>1.00</v>
      </c>
      <c r="K49" s="9" t="str">
        <f>FIXED(VLOOKUP($A49,'Full Sample-Single Family'!$A:$R,K$1,0),2)</f>
        <v>0.03</v>
      </c>
      <c r="L49" s="3" t="str">
        <f>FIXED(VLOOKUP($A49,'Full Sample-Single Family'!$A:$R,L$1,0),2)</f>
        <v>0.16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1-Single Family'!$A:$R,O$1,0),2)</f>
        <v>0.03</v>
      </c>
      <c r="P49" s="3" t="str">
        <f>FIXED(VLOOKUP($A49,'Small Sample 1-Single Family'!$A:$R,P$1,0),2)</f>
        <v>0.18</v>
      </c>
      <c r="Q49" s="3" t="str">
        <f>FIXED(VLOOKUP($A49,'Small Sample 1-Single Family'!$A:$R,Q$1,0),2)</f>
        <v>0.00</v>
      </c>
      <c r="R49" s="3" t="str">
        <f>FIXED(VLOOKUP($A49,'Small Sample 1-Single Family'!$A:$R,R$1,0),2)</f>
        <v>1.00</v>
      </c>
      <c r="S49" s="9" t="str">
        <f>FIXED(VLOOKUP($A49,'Small Sample 1-Single Family'!$A:$R,S$1,0),2)</f>
        <v>0.04</v>
      </c>
      <c r="T49" s="3" t="str">
        <f>FIXED(VLOOKUP($A49,'Small Sample 1-Single Family'!$A:$R,T$1,0),2)</f>
        <v>0.19</v>
      </c>
      <c r="U49" s="3" t="str">
        <f>FIXED(VLOOKUP($A49,'Small Sample 1-Single Family'!$A:$R,U$1,0),2)</f>
        <v>0.00</v>
      </c>
      <c r="V49" s="13" t="str">
        <f>FIXED(VLOOKUP($A49,'Small Sample 1-Single Family'!$A:$R,V$1,0),2)</f>
        <v>1.00</v>
      </c>
      <c r="W49" s="9" t="str">
        <f>FIXED(VLOOKUP($A49,'Small Sample 1-Single Family'!$A:$R,W$1,0),2)</f>
        <v>0.03</v>
      </c>
      <c r="X49" s="3" t="str">
        <f>FIXED(VLOOKUP($A49,'Small Sample 1-Single Family'!$A:$R,X$1,0),2)</f>
        <v>0.16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2-Single Family'!$A:$R,AA$1,0),2)</f>
        <v>0.03</v>
      </c>
      <c r="AB49" s="3" t="str">
        <f>FIXED(VLOOKUP($A49,'Small Sample 2-Single Family'!$A:$R,AB$1,0),2)</f>
        <v>0.18</v>
      </c>
      <c r="AC49" s="3" t="str">
        <f>FIXED(VLOOKUP($A49,'Small Sample 2-Single Family'!$A:$R,AC$1,0),2)</f>
        <v>0.00</v>
      </c>
      <c r="AD49" s="3" t="str">
        <f>FIXED(VLOOKUP($A49,'Small Sample 2-Single Family'!$A:$R,AD$1,0),2)</f>
        <v>1.00</v>
      </c>
      <c r="AE49" s="9" t="str">
        <f>FIXED(VLOOKUP($A49,'Small Sample 2-Single Family'!$A:$R,AE$1,0),2)</f>
        <v>0.04</v>
      </c>
      <c r="AF49" s="3" t="str">
        <f>FIXED(VLOOKUP($A49,'Small Sample 2-Single Family'!$A:$R,AF$1,0),2)</f>
        <v>0.19</v>
      </c>
      <c r="AG49" s="3" t="str">
        <f>FIXED(VLOOKUP($A49,'Small Sample 2-Single Family'!$A:$R,AG$1,0),2)</f>
        <v>0.00</v>
      </c>
      <c r="AH49" s="13" t="str">
        <f>FIXED(VLOOKUP($A49,'Small Sample 2-Single Family'!$A:$R,AH$1,0),2)</f>
        <v>1.00</v>
      </c>
      <c r="AI49" s="9" t="str">
        <f>FIXED(VLOOKUP($A49,'Small Sample 2-Single Family'!$A:$R,AI$1,0),2)</f>
        <v>0.03</v>
      </c>
      <c r="AJ49" s="3" t="str">
        <f>FIXED(VLOOKUP($A49,'Small Sample 2-Single Family'!$A:$R,AJ$1,0),2)</f>
        <v>0.17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73" x14ac:dyDescent="0.25">
      <c r="A50" t="s">
        <v>76</v>
      </c>
      <c r="B50" s="4" t="s">
        <v>152</v>
      </c>
      <c r="C50" s="9" t="str">
        <f>FIXED(VLOOKUP($A50,'Full Sample-Single Family'!$A:$R,C$1,0),2)</f>
        <v>0.51</v>
      </c>
      <c r="D50" s="3" t="str">
        <f>FIXED(VLOOKUP($A50,'Full Sample-Single Family'!$A:$R,D$1,0),2)</f>
        <v>0.50</v>
      </c>
      <c r="E50" s="3" t="str">
        <f>FIXED(VLOOKUP($A50,'Full Sample-Single Family'!$A:$R,E$1,0),2)</f>
        <v>0.00</v>
      </c>
      <c r="F50" s="3" t="str">
        <f>FIXED(VLOOKUP($A50,'Full Sample-Single Family'!$A:$R,F$1,0),2)</f>
        <v>1.00</v>
      </c>
      <c r="G50" s="9" t="str">
        <f>FIXED(VLOOKUP($A50,'Full Sample-Single Family'!$A:$R,G$1,0),2)</f>
        <v>0.54</v>
      </c>
      <c r="H50" s="3" t="str">
        <f>FIXED(VLOOKUP($A50,'Full Sample-Single Family'!$A:$R,H$1,0),2)</f>
        <v>0.50</v>
      </c>
      <c r="I50" s="3" t="str">
        <f>FIXED(VLOOKUP($A50,'Full Sample-Single Family'!$A:$R,I$1,0),2)</f>
        <v>0.00</v>
      </c>
      <c r="J50" s="13" t="str">
        <f>FIXED(VLOOKUP($A50,'Full Sample-Single Family'!$A:$R,J$1,0),2)</f>
        <v>1.00</v>
      </c>
      <c r="K50" s="9" t="str">
        <f>FIXED(VLOOKUP($A50,'Full Sample-Single Family'!$A:$R,K$1,0),2)</f>
        <v>0.47</v>
      </c>
      <c r="L50" s="3" t="str">
        <f>FIXED(VLOOKUP($A50,'Full Sample-Single Family'!$A:$R,L$1,0),2)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1-Single Family'!$A:$R,O$1,0),2)</f>
        <v>0.50</v>
      </c>
      <c r="P50" s="3" t="str">
        <f>FIXED(VLOOKUP($A50,'Small Sample 1-Single Family'!$A:$R,P$1,0),2)</f>
        <v>0.50</v>
      </c>
      <c r="Q50" s="3" t="str">
        <f>FIXED(VLOOKUP($A50,'Small Sample 1-Single Family'!$A:$R,Q$1,0),2)</f>
        <v>0.00</v>
      </c>
      <c r="R50" s="3" t="str">
        <f>FIXED(VLOOKUP($A50,'Small Sample 1-Single Family'!$A:$R,R$1,0),2)</f>
        <v>1.00</v>
      </c>
      <c r="S50" s="9" t="str">
        <f>FIXED(VLOOKUP($A50,'Small Sample 1-Single Family'!$A:$R,S$1,0),2)</f>
        <v>0.53</v>
      </c>
      <c r="T50" s="3" t="str">
        <f>FIXED(VLOOKUP($A50,'Small Sample 1-Single Family'!$A:$R,T$1,0),2)</f>
        <v>0.50</v>
      </c>
      <c r="U50" s="3" t="str">
        <f>FIXED(VLOOKUP($A50,'Small Sample 1-Single Family'!$A:$R,U$1,0),2)</f>
        <v>0.00</v>
      </c>
      <c r="V50" s="13" t="str">
        <f>FIXED(VLOOKUP($A50,'Small Sample 1-Single Family'!$A:$R,V$1,0),2)</f>
        <v>1.00</v>
      </c>
      <c r="W50" s="9" t="str">
        <f>FIXED(VLOOKUP($A50,'Small Sample 1-Single Family'!$A:$R,W$1,0),2)</f>
        <v>0.47</v>
      </c>
      <c r="X50" s="3" t="str">
        <f>FIXED(VLOOKUP($A50,'Small Sample 1-Single Family'!$A:$R,X$1,0),2)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2-Single Family'!$A:$R,AA$1,0),2)</f>
        <v>0.52</v>
      </c>
      <c r="AB50" s="3" t="str">
        <f>FIXED(VLOOKUP($A50,'Small Sample 2-Single Family'!$A:$R,AB$1,0),2)</f>
        <v>0.50</v>
      </c>
      <c r="AC50" s="3" t="str">
        <f>FIXED(VLOOKUP($A50,'Small Sample 2-Single Family'!$A:$R,AC$1,0),2)</f>
        <v>0.00</v>
      </c>
      <c r="AD50" s="3" t="str">
        <f>FIXED(VLOOKUP($A50,'Small Sample 2-Single Family'!$A:$R,AD$1,0),2)</f>
        <v>1.00</v>
      </c>
      <c r="AE50" s="9" t="str">
        <f>FIXED(VLOOKUP($A50,'Small Sample 2-Single Family'!$A:$R,AE$1,0),2)</f>
        <v>0.54</v>
      </c>
      <c r="AF50" s="3" t="str">
        <f>FIXED(VLOOKUP($A50,'Small Sample 2-Single Family'!$A:$R,AF$1,0),2)</f>
        <v>0.50</v>
      </c>
      <c r="AG50" s="3" t="str">
        <f>FIXED(VLOOKUP($A50,'Small Sample 2-Single Family'!$A:$R,AG$1,0),2)</f>
        <v>0.00</v>
      </c>
      <c r="AH50" s="13" t="str">
        <f>FIXED(VLOOKUP($A50,'Small Sample 2-Single Family'!$A:$R,AH$1,0),2)</f>
        <v>1.00</v>
      </c>
      <c r="AI50" s="9" t="str">
        <f>FIXED(VLOOKUP($A50,'Small Sample 2-Single Family'!$A:$R,AI$1,0),2)</f>
        <v>0.47</v>
      </c>
      <c r="AJ50" s="3" t="str">
        <f>FIXED(VLOOKUP($A50,'Small Sample 2-Single Family'!$A:$R,AJ$1,0),2)</f>
        <v>0.50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73" x14ac:dyDescent="0.25">
      <c r="A51" t="s">
        <v>77</v>
      </c>
      <c r="B51" s="4" t="s">
        <v>153</v>
      </c>
      <c r="C51" s="9" t="str">
        <f>FIXED(VLOOKUP($A51,'Full Sample-Single Family'!$A:$R,C$1,0),2)</f>
        <v>0.12</v>
      </c>
      <c r="D51" s="3" t="str">
        <f>FIXED(VLOOKUP($A51,'Full Sample-Single Family'!$A:$R,D$1,0),2)</f>
        <v>0.33</v>
      </c>
      <c r="E51" s="3" t="str">
        <f>FIXED(VLOOKUP($A51,'Full Sample-Single Family'!$A:$R,E$1,0),2)</f>
        <v>0.00</v>
      </c>
      <c r="F51" s="3" t="str">
        <f>FIXED(VLOOKUP($A51,'Full Sample-Single Family'!$A:$R,F$1,0),2)</f>
        <v>1.00</v>
      </c>
      <c r="G51" s="9" t="str">
        <f>FIXED(VLOOKUP($A51,'Full Sample-Single Family'!$A:$R,G$1,0),2)</f>
        <v>0.12</v>
      </c>
      <c r="H51" s="3" t="str">
        <f>FIXED(VLOOKUP($A51,'Full Sample-Single Family'!$A:$R,H$1,0),2)</f>
        <v>0.32</v>
      </c>
      <c r="I51" s="3" t="str">
        <f>FIXED(VLOOKUP($A51,'Full Sample-Single Family'!$A:$R,I$1,0),2)</f>
        <v>0.00</v>
      </c>
      <c r="J51" s="13" t="str">
        <f>FIXED(VLOOKUP($A51,'Full Sample-Single Family'!$A:$R,J$1,0),2)</f>
        <v>1.00</v>
      </c>
      <c r="K51" s="9" t="str">
        <f>FIXED(VLOOKUP($A51,'Full Sample-Single Family'!$A:$R,K$1,0),2)</f>
        <v>0.13</v>
      </c>
      <c r="L51" s="3" t="str">
        <f>FIXED(VLOOKUP($A51,'Full Sample-Single Family'!$A:$R,L$1,0),2)</f>
        <v>0.34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1-Single Family'!$A:$R,O$1,0),2)</f>
        <v>0.12</v>
      </c>
      <c r="P51" s="3" t="str">
        <f>FIXED(VLOOKUP($A51,'Small Sample 1-Single Family'!$A:$R,P$1,0),2)</f>
        <v>0.33</v>
      </c>
      <c r="Q51" s="3" t="str">
        <f>FIXED(VLOOKUP($A51,'Small Sample 1-Single Family'!$A:$R,Q$1,0),2)</f>
        <v>0.00</v>
      </c>
      <c r="R51" s="3" t="str">
        <f>FIXED(VLOOKUP($A51,'Small Sample 1-Single Family'!$A:$R,R$1,0),2)</f>
        <v>1.00</v>
      </c>
      <c r="S51" s="9" t="str">
        <f>FIXED(VLOOKUP($A51,'Small Sample 1-Single Family'!$A:$R,S$1,0),2)</f>
        <v>0.12</v>
      </c>
      <c r="T51" s="3" t="str">
        <f>FIXED(VLOOKUP($A51,'Small Sample 1-Single Family'!$A:$R,T$1,0),2)</f>
        <v>0.32</v>
      </c>
      <c r="U51" s="3" t="str">
        <f>FIXED(VLOOKUP($A51,'Small Sample 1-Single Family'!$A:$R,U$1,0),2)</f>
        <v>0.00</v>
      </c>
      <c r="V51" s="13" t="str">
        <f>FIXED(VLOOKUP($A51,'Small Sample 1-Single Family'!$A:$R,V$1,0),2)</f>
        <v>1.00</v>
      </c>
      <c r="W51" s="9" t="str">
        <f>FIXED(VLOOKUP($A51,'Small Sample 1-Single Family'!$A:$R,W$1,0),2)</f>
        <v>0.13</v>
      </c>
      <c r="X51" s="3" t="str">
        <f>FIXED(VLOOKUP($A51,'Small Sample 1-Single Family'!$A:$R,X$1,0),2)</f>
        <v>0.34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2-Single Family'!$A:$R,AA$1,0),2)</f>
        <v>0.12</v>
      </c>
      <c r="AB51" s="3" t="str">
        <f>FIXED(VLOOKUP($A51,'Small Sample 2-Single Family'!$A:$R,AB$1,0),2)</f>
        <v>0.33</v>
      </c>
      <c r="AC51" s="3" t="str">
        <f>FIXED(VLOOKUP($A51,'Small Sample 2-Single Family'!$A:$R,AC$1,0),2)</f>
        <v>0.00</v>
      </c>
      <c r="AD51" s="3" t="str">
        <f>FIXED(VLOOKUP($A51,'Small Sample 2-Single Family'!$A:$R,AD$1,0),2)</f>
        <v>1.00</v>
      </c>
      <c r="AE51" s="9" t="str">
        <f>FIXED(VLOOKUP($A51,'Small Sample 2-Single Family'!$A:$R,AE$1,0),2)</f>
        <v>0.12</v>
      </c>
      <c r="AF51" s="3" t="str">
        <f>FIXED(VLOOKUP($A51,'Small Sample 2-Single Family'!$A:$R,AF$1,0),2)</f>
        <v>0.32</v>
      </c>
      <c r="AG51" s="3" t="str">
        <f>FIXED(VLOOKUP($A51,'Small Sample 2-Single Family'!$A:$R,AG$1,0),2)</f>
        <v>0.00</v>
      </c>
      <c r="AH51" s="13" t="str">
        <f>FIXED(VLOOKUP($A51,'Small Sample 2-Single Family'!$A:$R,AH$1,0),2)</f>
        <v>1.00</v>
      </c>
      <c r="AI51" s="9" t="str">
        <f>FIXED(VLOOKUP($A51,'Small Sample 2-Single Family'!$A:$R,AI$1,0),2)</f>
        <v>0.13</v>
      </c>
      <c r="AJ51" s="3" t="str">
        <f>FIXED(VLOOKUP($A51,'Small Sample 2-Single Family'!$A:$R,AJ$1,0),2)</f>
        <v>0.33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73" x14ac:dyDescent="0.25">
      <c r="A52" t="s">
        <v>78</v>
      </c>
      <c r="B52" s="4" t="s">
        <v>154</v>
      </c>
      <c r="C52" s="9" t="str">
        <f>FIXED(VLOOKUP($A52,'Full Sample-Single Family'!$A:$R,C$1,0),2)</f>
        <v>0.25</v>
      </c>
      <c r="D52" s="3" t="str">
        <f>FIXED(VLOOKUP($A52,'Full Sample-Single Family'!$A:$R,D$1,0),2)</f>
        <v>0.43</v>
      </c>
      <c r="E52" s="3" t="str">
        <f>FIXED(VLOOKUP($A52,'Full Sample-Single Family'!$A:$R,E$1,0),2)</f>
        <v>0.00</v>
      </c>
      <c r="F52" s="3" t="str">
        <f>FIXED(VLOOKUP($A52,'Full Sample-Single Family'!$A:$R,F$1,0),2)</f>
        <v>1.00</v>
      </c>
      <c r="G52" s="9" t="str">
        <f>FIXED(VLOOKUP($A52,'Full Sample-Single Family'!$A:$R,G$1,0),2)</f>
        <v>0.24</v>
      </c>
      <c r="H52" s="3" t="str">
        <f>FIXED(VLOOKUP($A52,'Full Sample-Single Family'!$A:$R,H$1,0),2)</f>
        <v>0.42</v>
      </c>
      <c r="I52" s="3" t="str">
        <f>FIXED(VLOOKUP($A52,'Full Sample-Single Family'!$A:$R,I$1,0),2)</f>
        <v>0.00</v>
      </c>
      <c r="J52" s="13" t="str">
        <f>FIXED(VLOOKUP($A52,'Full Sample-Single Family'!$A:$R,J$1,0),2)</f>
        <v>1.00</v>
      </c>
      <c r="K52" s="9" t="str">
        <f>FIXED(VLOOKUP($A52,'Full Sample-Single Family'!$A:$R,K$1,0),2)</f>
        <v>0.28</v>
      </c>
      <c r="L52" s="3" t="str">
        <f>FIXED(VLOOKUP($A52,'Full Sample-Single Family'!$A:$R,L$1,0),2)</f>
        <v>0.45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1-Single Family'!$A:$R,O$1,0),2)</f>
        <v>0.26</v>
      </c>
      <c r="P52" s="3" t="str">
        <f>FIXED(VLOOKUP($A52,'Small Sample 1-Single Family'!$A:$R,P$1,0),2)</f>
        <v>0.44</v>
      </c>
      <c r="Q52" s="3" t="str">
        <f>FIXED(VLOOKUP($A52,'Small Sample 1-Single Family'!$A:$R,Q$1,0),2)</f>
        <v>0.00</v>
      </c>
      <c r="R52" s="3" t="str">
        <f>FIXED(VLOOKUP($A52,'Small Sample 1-Single Family'!$A:$R,R$1,0),2)</f>
        <v>1.00</v>
      </c>
      <c r="S52" s="9" t="str">
        <f>FIXED(VLOOKUP($A52,'Small Sample 1-Single Family'!$A:$R,S$1,0),2)</f>
        <v>0.24</v>
      </c>
      <c r="T52" s="3" t="str">
        <f>FIXED(VLOOKUP($A52,'Small Sample 1-Single Family'!$A:$R,T$1,0),2)</f>
        <v>0.43</v>
      </c>
      <c r="U52" s="3" t="str">
        <f>FIXED(VLOOKUP($A52,'Small Sample 1-Single Family'!$A:$R,U$1,0),2)</f>
        <v>0.00</v>
      </c>
      <c r="V52" s="13" t="str">
        <f>FIXED(VLOOKUP($A52,'Small Sample 1-Single Family'!$A:$R,V$1,0),2)</f>
        <v>1.00</v>
      </c>
      <c r="W52" s="9" t="str">
        <f>FIXED(VLOOKUP($A52,'Small Sample 1-Single Family'!$A:$R,W$1,0),2)</f>
        <v>0.28</v>
      </c>
      <c r="X52" s="3" t="str">
        <f>FIXED(VLOOKUP($A52,'Small Sample 1-Single Family'!$A:$R,X$1,0),2)</f>
        <v>0.45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2-Single Family'!$A:$R,AA$1,0),2)</f>
        <v>0.25</v>
      </c>
      <c r="AB52" s="3" t="str">
        <f>FIXED(VLOOKUP($A52,'Small Sample 2-Single Family'!$A:$R,AB$1,0),2)</f>
        <v>0.43</v>
      </c>
      <c r="AC52" s="3" t="str">
        <f>FIXED(VLOOKUP($A52,'Small Sample 2-Single Family'!$A:$R,AC$1,0),2)</f>
        <v>0.00</v>
      </c>
      <c r="AD52" s="3" t="str">
        <f>FIXED(VLOOKUP($A52,'Small Sample 2-Single Family'!$A:$R,AD$1,0),2)</f>
        <v>1.00</v>
      </c>
      <c r="AE52" s="9" t="str">
        <f>FIXED(VLOOKUP($A52,'Small Sample 2-Single Family'!$A:$R,AE$1,0),2)</f>
        <v>0.23</v>
      </c>
      <c r="AF52" s="3" t="str">
        <f>FIXED(VLOOKUP($A52,'Small Sample 2-Single Family'!$A:$R,AF$1,0),2)</f>
        <v>0.42</v>
      </c>
      <c r="AG52" s="3" t="str">
        <f>FIXED(VLOOKUP($A52,'Small Sample 2-Single Family'!$A:$R,AG$1,0),2)</f>
        <v>0.00</v>
      </c>
      <c r="AH52" s="13" t="str">
        <f>FIXED(VLOOKUP($A52,'Small Sample 2-Single Family'!$A:$R,AH$1,0),2)</f>
        <v>1.00</v>
      </c>
      <c r="AI52" s="9" t="str">
        <f>FIXED(VLOOKUP($A52,'Small Sample 2-Single Family'!$A:$R,AI$1,0),2)</f>
        <v>0.27</v>
      </c>
      <c r="AJ52" s="3" t="str">
        <f>FIXED(VLOOKUP($A52,'Small Sample 2-Single Family'!$A:$R,AJ$1,0),2)</f>
        <v>0.44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73" x14ac:dyDescent="0.25">
      <c r="A53" t="s">
        <v>170</v>
      </c>
      <c r="B53" s="4" t="s">
        <v>176</v>
      </c>
      <c r="C53" s="9" t="str">
        <f>FIXED(VLOOKUP($A53,'Full Sample-Single Family'!$A:$R,C$1,0),2)</f>
        <v>0.08</v>
      </c>
      <c r="D53" s="3" t="str">
        <f>FIXED(VLOOKUP($A53,'Full Sample-Single Family'!$A:$R,D$1,0),2)</f>
        <v>0.27</v>
      </c>
      <c r="E53" s="3" t="str">
        <f>FIXED(VLOOKUP($A53,'Full Sample-Single Family'!$A:$R,E$1,0),2)</f>
        <v>0.00</v>
      </c>
      <c r="F53" s="3" t="str">
        <f>FIXED(VLOOKUP($A53,'Full Sample-Single Family'!$A:$R,F$1,0),2)</f>
        <v>1.00</v>
      </c>
      <c r="G53" s="9" t="str">
        <f>FIXED(VLOOKUP($A53,'Full Sample-Single Family'!$A:$R,G$1,0),2)</f>
        <v>0.07</v>
      </c>
      <c r="H53" s="3" t="str">
        <f>FIXED(VLOOKUP($A53,'Full Sample-Single Family'!$A:$R,H$1,0),2)</f>
        <v>0.25</v>
      </c>
      <c r="I53" s="3" t="str">
        <f>FIXED(VLOOKUP($A53,'Full Sample-Single Family'!$A:$R,I$1,0),2)</f>
        <v>0.00</v>
      </c>
      <c r="J53" s="13" t="str">
        <f>FIXED(VLOOKUP($A53,'Full Sample-Single Family'!$A:$R,J$1,0),2)</f>
        <v>1.00</v>
      </c>
      <c r="K53" s="9" t="str">
        <f>FIXED(VLOOKUP($A53,'Full Sample-Single Family'!$A:$R,K$1,0),2)</f>
        <v>0.10</v>
      </c>
      <c r="L53" s="3" t="str">
        <f>FIXED(VLOOKUP($A53,'Full Sample-Single Family'!$A:$R,L$1,0),2)</f>
        <v>0.29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1-Single Family'!$A:$R,O$1,0),2)</f>
        <v>0.08</v>
      </c>
      <c r="P53" s="3" t="str">
        <f>FIXED(VLOOKUP($A53,'Small Sample 1-Single Family'!$A:$R,P$1,0),2)</f>
        <v>0.28</v>
      </c>
      <c r="Q53" s="3" t="str">
        <f>FIXED(VLOOKUP($A53,'Small Sample 1-Single Family'!$A:$R,Q$1,0),2)</f>
        <v>0.00</v>
      </c>
      <c r="R53" s="3" t="str">
        <f>FIXED(VLOOKUP($A53,'Small Sample 1-Single Family'!$A:$R,R$1,0),2)</f>
        <v>1.00</v>
      </c>
      <c r="S53" s="9" t="str">
        <f>FIXED(VLOOKUP($A53,'Small Sample 1-Single Family'!$A:$R,S$1,0),2)</f>
        <v>0.07</v>
      </c>
      <c r="T53" s="3" t="str">
        <f>FIXED(VLOOKUP($A53,'Small Sample 1-Single Family'!$A:$R,T$1,0),2)</f>
        <v>0.26</v>
      </c>
      <c r="U53" s="3" t="str">
        <f>FIXED(VLOOKUP($A53,'Small Sample 1-Single Family'!$A:$R,U$1,0),2)</f>
        <v>0.00</v>
      </c>
      <c r="V53" s="13" t="str">
        <f>FIXED(VLOOKUP($A53,'Small Sample 1-Single Family'!$A:$R,V$1,0),2)</f>
        <v>1.00</v>
      </c>
      <c r="W53" s="9" t="str">
        <f>FIXED(VLOOKUP($A53,'Small Sample 1-Single Family'!$A:$R,W$1,0),2)</f>
        <v>0.10</v>
      </c>
      <c r="X53" s="3" t="str">
        <f>FIXED(VLOOKUP($A53,'Small Sample 1-Single Family'!$A:$R,X$1,0),2)</f>
        <v>0.30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2-Single Family'!$A:$R,AA$1,0),2)</f>
        <v>0.08</v>
      </c>
      <c r="AB53" s="3" t="str">
        <f>FIXED(VLOOKUP($A53,'Small Sample 2-Single Family'!$A:$R,AB$1,0),2)</f>
        <v>0.27</v>
      </c>
      <c r="AC53" s="3" t="str">
        <f>FIXED(VLOOKUP($A53,'Small Sample 2-Single Family'!$A:$R,AC$1,0),2)</f>
        <v>0.00</v>
      </c>
      <c r="AD53" s="3" t="str">
        <f>FIXED(VLOOKUP($A53,'Small Sample 2-Single Family'!$A:$R,AD$1,0),2)</f>
        <v>1.00</v>
      </c>
      <c r="AE53" s="9" t="str">
        <f>FIXED(VLOOKUP($A53,'Small Sample 2-Single Family'!$A:$R,AE$1,0),2)</f>
        <v>0.07</v>
      </c>
      <c r="AF53" s="3" t="str">
        <f>FIXED(VLOOKUP($A53,'Small Sample 2-Single Family'!$A:$R,AF$1,0),2)</f>
        <v>0.25</v>
      </c>
      <c r="AG53" s="3" t="str">
        <f>FIXED(VLOOKUP($A53,'Small Sample 2-Single Family'!$A:$R,AG$1,0),2)</f>
        <v>0.00</v>
      </c>
      <c r="AH53" s="13" t="str">
        <f>FIXED(VLOOKUP($A53,'Small Sample 2-Single Family'!$A:$R,AH$1,0),2)</f>
        <v>1.00</v>
      </c>
      <c r="AI53" s="9" t="str">
        <f>FIXED(VLOOKUP($A53,'Small Sample 2-Single Family'!$A:$R,AI$1,0),2)</f>
        <v>0.10</v>
      </c>
      <c r="AJ53" s="3" t="str">
        <f>FIXED(VLOOKUP($A53,'Small Sample 2-Single Family'!$A:$R,AJ$1,0),2)</f>
        <v>0.30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73" x14ac:dyDescent="0.25">
      <c r="A54" t="s">
        <v>52</v>
      </c>
      <c r="B54" s="4" t="s">
        <v>132</v>
      </c>
      <c r="C54" s="9" t="str">
        <f>FIXED(VLOOKUP($A54,'Full Sample-Single Family'!$A:$R,C$1,0),2)</f>
        <v>0.44</v>
      </c>
      <c r="D54" s="3" t="str">
        <f>FIXED(VLOOKUP($A54,'Full Sample-Single Family'!$A:$R,D$1,0),2)</f>
        <v>0.50</v>
      </c>
      <c r="E54" s="3" t="str">
        <f>FIXED(VLOOKUP($A54,'Full Sample-Single Family'!$A:$R,E$1,0),2)</f>
        <v>0.00</v>
      </c>
      <c r="F54" s="3" t="str">
        <f>FIXED(VLOOKUP($A54,'Full Sample-Single Family'!$A:$R,F$1,0),2)</f>
        <v>1.00</v>
      </c>
      <c r="G54" s="9" t="str">
        <f>FIXED(VLOOKUP($A54,'Full Sample-Single Family'!$A:$R,G$1,0),2)</f>
        <v>0.41</v>
      </c>
      <c r="H54" s="3" t="str">
        <f>FIXED(VLOOKUP($A54,'Full Sample-Single Family'!$A:$R,H$1,0),2)</f>
        <v>0.49</v>
      </c>
      <c r="I54" s="3" t="str">
        <f>FIXED(VLOOKUP($A54,'Full Sample-Single Family'!$A:$R,I$1,0),2)</f>
        <v>0.00</v>
      </c>
      <c r="J54" s="13" t="str">
        <f>FIXED(VLOOKUP($A54,'Full Sample-Single Family'!$A:$R,J$1,0),2)</f>
        <v>1.00</v>
      </c>
      <c r="K54" s="9" t="str">
        <f>FIXED(VLOOKUP($A54,'Full Sample-Single Family'!$A:$R,K$1,0),2)</f>
        <v>0.49</v>
      </c>
      <c r="L54" s="3" t="str">
        <f>FIXED(VLOOKUP($A54,'Full Sample-Single Family'!$A:$R,L$1,0),2)</f>
        <v>0.50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1-Single Family'!$A:$R,O$1,0),2)</f>
        <v>0.45</v>
      </c>
      <c r="P54" s="3" t="str">
        <f>FIXED(VLOOKUP($A54,'Small Sample 1-Single Family'!$A:$R,P$1,0),2)</f>
        <v>0.50</v>
      </c>
      <c r="Q54" s="3" t="str">
        <f>FIXED(VLOOKUP($A54,'Small Sample 1-Single Family'!$A:$R,Q$1,0),2)</f>
        <v>0.00</v>
      </c>
      <c r="R54" s="3" t="str">
        <f>FIXED(VLOOKUP($A54,'Small Sample 1-Single Family'!$A:$R,R$1,0),2)</f>
        <v>1.00</v>
      </c>
      <c r="S54" s="9" t="str">
        <f>FIXED(VLOOKUP($A54,'Small Sample 1-Single Family'!$A:$R,S$1,0),2)</f>
        <v>0.42</v>
      </c>
      <c r="T54" s="3" t="str">
        <f>FIXED(VLOOKUP($A54,'Small Sample 1-Single Family'!$A:$R,T$1,0),2)</f>
        <v>0.49</v>
      </c>
      <c r="U54" s="3" t="str">
        <f>FIXED(VLOOKUP($A54,'Small Sample 1-Single Family'!$A:$R,U$1,0),2)</f>
        <v>0.00</v>
      </c>
      <c r="V54" s="13" t="str">
        <f>FIXED(VLOOKUP($A54,'Small Sample 1-Single Family'!$A:$R,V$1,0),2)</f>
        <v>1.00</v>
      </c>
      <c r="W54" s="9" t="str">
        <f>FIXED(VLOOKUP($A54,'Small Sample 1-Single Family'!$A:$R,W$1,0),2)</f>
        <v>0.49</v>
      </c>
      <c r="X54" s="3" t="str">
        <f>FIXED(VLOOKUP($A54,'Small Sample 1-Single Family'!$A:$R,X$1,0),2)</f>
        <v>0.50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2-Single Family'!$A:$R,AA$1,0),2)</f>
        <v>0.43</v>
      </c>
      <c r="AB54" s="3" t="str">
        <f>FIXED(VLOOKUP($A54,'Small Sample 2-Single Family'!$A:$R,AB$1,0),2)</f>
        <v>0.49</v>
      </c>
      <c r="AC54" s="3" t="str">
        <f>FIXED(VLOOKUP($A54,'Small Sample 2-Single Family'!$A:$R,AC$1,0),2)</f>
        <v>0.00</v>
      </c>
      <c r="AD54" s="3" t="str">
        <f>FIXED(VLOOKUP($A54,'Small Sample 2-Single Family'!$A:$R,AD$1,0),2)</f>
        <v>1.00</v>
      </c>
      <c r="AE54" s="9" t="str">
        <f>FIXED(VLOOKUP($A54,'Small Sample 2-Single Family'!$A:$R,AE$1,0),2)</f>
        <v>0.40</v>
      </c>
      <c r="AF54" s="3" t="str">
        <f>FIXED(VLOOKUP($A54,'Small Sample 2-Single Family'!$A:$R,AF$1,0),2)</f>
        <v>0.49</v>
      </c>
      <c r="AG54" s="3" t="str">
        <f>FIXED(VLOOKUP($A54,'Small Sample 2-Single Family'!$A:$R,AG$1,0),2)</f>
        <v>0.00</v>
      </c>
      <c r="AH54" s="13" t="str">
        <f>FIXED(VLOOKUP($A54,'Small Sample 2-Single Family'!$A:$R,AH$1,0),2)</f>
        <v>1.00</v>
      </c>
      <c r="AI54" s="9" t="str">
        <f>FIXED(VLOOKUP($A54,'Small Sample 2-Single Family'!$A:$R,AI$1,0),2)</f>
        <v>0.47</v>
      </c>
      <c r="AJ54" s="3" t="str">
        <f>FIXED(VLOOKUP($A54,'Small Sample 2-Single Family'!$A:$R,AJ$1,0),2)</f>
        <v>0.50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73" x14ac:dyDescent="0.25">
      <c r="A55" t="s">
        <v>51</v>
      </c>
      <c r="B55" t="s">
        <v>131</v>
      </c>
      <c r="C55" s="9" t="str">
        <f>FIXED(VLOOKUP($A55,'Full Sample-Single Family'!$A:$R,C$1,0),2)</f>
        <v>0.02</v>
      </c>
      <c r="D55" s="3" t="str">
        <f>FIXED(VLOOKUP($A55,'Full Sample-Single Family'!$A:$R,D$1,0),2)</f>
        <v>0.14</v>
      </c>
      <c r="E55" s="3" t="str">
        <f>FIXED(VLOOKUP($A55,'Full Sample-Single Family'!$A:$R,E$1,0),2)</f>
        <v>0.00</v>
      </c>
      <c r="F55" s="3" t="str">
        <f>FIXED(VLOOKUP($A55,'Full Sample-Single Family'!$A:$R,F$1,0),2)</f>
        <v>1.00</v>
      </c>
      <c r="G55" s="9" t="str">
        <f>FIXED(VLOOKUP($A55,'Full Sample-Single Family'!$A:$R,G$1,0),2)</f>
        <v>0.00</v>
      </c>
      <c r="H55" s="3" t="str">
        <f>FIXED(VLOOKUP($A55,'Full Sample-Single Family'!$A:$R,H$1,0),2)</f>
        <v>0.00</v>
      </c>
      <c r="I55" s="3" t="str">
        <f>FIXED(VLOOKUP($A55,'Full Sample-Single Family'!$A:$R,I$1,0),2)</f>
        <v>0.00</v>
      </c>
      <c r="J55" s="13" t="str">
        <f>FIXED(VLOOKUP($A55,'Full Sample-Single Family'!$A:$R,J$1,0),2)</f>
        <v>0.00</v>
      </c>
      <c r="K55" s="9" t="str">
        <f>FIXED(VLOOKUP($A55,'Full Sample-Single Family'!$A:$R,K$1,0),2)</f>
        <v>0.05</v>
      </c>
      <c r="L55" s="3" t="str">
        <f>FIXED(VLOOKUP($A55,'Full Sample-Single Family'!$A:$R,L$1,0),2)</f>
        <v>0.22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1-Single Family'!$A:$R,O$1,0),2)</f>
        <v>0.02</v>
      </c>
      <c r="P55" s="3" t="str">
        <f>FIXED(VLOOKUP($A55,'Small Sample 1-Single Family'!$A:$R,P$1,0),2)</f>
        <v>0.15</v>
      </c>
      <c r="Q55" s="3" t="str">
        <f>FIXED(VLOOKUP($A55,'Small Sample 1-Single Family'!$A:$R,Q$1,0),2)</f>
        <v>0.00</v>
      </c>
      <c r="R55" s="3" t="str">
        <f>FIXED(VLOOKUP($A55,'Small Sample 1-Single Family'!$A:$R,R$1,0),2)</f>
        <v>1.00</v>
      </c>
      <c r="S55" s="9" t="str">
        <f>FIXED(VLOOKUP($A55,'Small Sample 1-Single Family'!$A:$R,S$1,0),2)</f>
        <v>0.00</v>
      </c>
      <c r="T55" s="3" t="str">
        <f>FIXED(VLOOKUP($A55,'Small Sample 1-Single Family'!$A:$R,T$1,0),2)</f>
        <v>0.00</v>
      </c>
      <c r="U55" s="3" t="str">
        <f>FIXED(VLOOKUP($A55,'Small Sample 1-Single Family'!$A:$R,U$1,0),2)</f>
        <v>0.00</v>
      </c>
      <c r="V55" s="13" t="str">
        <f>FIXED(VLOOKUP($A55,'Small Sample 1-Single Family'!$A:$R,V$1,0),2)</f>
        <v>0.00</v>
      </c>
      <c r="W55" s="9" t="str">
        <f>FIXED(VLOOKUP($A55,'Small Sample 1-Single Family'!$A:$R,W$1,0),2)</f>
        <v>0.05</v>
      </c>
      <c r="X55" s="3" t="str">
        <f>FIXED(VLOOKUP($A55,'Small Sample 1-Single Family'!$A:$R,X$1,0),2)</f>
        <v>0.22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2-Single Family'!$A:$R,AA$1,0),2)</f>
        <v>0.02</v>
      </c>
      <c r="AB55" s="3" t="str">
        <f>FIXED(VLOOKUP($A55,'Small Sample 2-Single Family'!$A:$R,AB$1,0),2)</f>
        <v>0.14</v>
      </c>
      <c r="AC55" s="3" t="str">
        <f>FIXED(VLOOKUP($A55,'Small Sample 2-Single Family'!$A:$R,AC$1,0),2)</f>
        <v>0.00</v>
      </c>
      <c r="AD55" s="3" t="str">
        <f>FIXED(VLOOKUP($A55,'Small Sample 2-Single Family'!$A:$R,AD$1,0),2)</f>
        <v>1.00</v>
      </c>
      <c r="AE55" s="9" t="str">
        <f>FIXED(VLOOKUP($A55,'Small Sample 2-Single Family'!$A:$R,AE$1,0),2)</f>
        <v>0.00</v>
      </c>
      <c r="AF55" s="3" t="str">
        <f>FIXED(VLOOKUP($A55,'Small Sample 2-Single Family'!$A:$R,AF$1,0),2)</f>
        <v>0.00</v>
      </c>
      <c r="AG55" s="3" t="str">
        <f>FIXED(VLOOKUP($A55,'Small Sample 2-Single Family'!$A:$R,AG$1,0),2)</f>
        <v>0.00</v>
      </c>
      <c r="AH55" s="13" t="str">
        <f>FIXED(VLOOKUP($A55,'Small Sample 2-Single Family'!$A:$R,AH$1,0),2)</f>
        <v>0.00</v>
      </c>
      <c r="AI55" s="9" t="str">
        <f>FIXED(VLOOKUP($A55,'Small Sample 2-Single Family'!$A:$R,AI$1,0),2)</f>
        <v>0.05</v>
      </c>
      <c r="AJ55" s="3" t="str">
        <f>FIXED(VLOOKUP($A55,'Small Sample 2-Single Family'!$A:$R,AJ$1,0),2)</f>
        <v>0.22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73" x14ac:dyDescent="0.25">
      <c r="A56" t="s">
        <v>38</v>
      </c>
      <c r="B56" t="s">
        <v>185</v>
      </c>
      <c r="C56" s="9" t="str">
        <f>FIXED(VLOOKUP($A56,'Full Sample-Single Family'!$A:$R,C$1,0),2)</f>
        <v>2.50</v>
      </c>
      <c r="D56" s="3" t="str">
        <f>FIXED(VLOOKUP($A56,'Full Sample-Single Family'!$A:$R,D$1,0),2)</f>
        <v>2.58</v>
      </c>
      <c r="E56" s="3" t="str">
        <f>FIXED(VLOOKUP($A56,'Full Sample-Single Family'!$A:$R,E$1,0),2)</f>
        <v>0.00</v>
      </c>
      <c r="F56" s="3" t="str">
        <f>FIXED(VLOOKUP($A56,'Full Sample-Single Family'!$A:$R,F$1,0),2)</f>
        <v>13.55</v>
      </c>
      <c r="G56" s="9" t="str">
        <f>FIXED(VLOOKUP($A56,'Full Sample-Single Family'!$A:$R,G$1,0),2)</f>
        <v>2.56</v>
      </c>
      <c r="H56" s="3" t="str">
        <f>FIXED(VLOOKUP($A56,'Full Sample-Single Family'!$A:$R,H$1,0),2)</f>
        <v>2.62</v>
      </c>
      <c r="I56" s="3" t="str">
        <f>FIXED(VLOOKUP($A56,'Full Sample-Single Family'!$A:$R,I$1,0),2)</f>
        <v>0.00</v>
      </c>
      <c r="J56" s="13" t="str">
        <f>FIXED(VLOOKUP($A56,'Full Sample-Single Family'!$A:$R,J$1,0),2)</f>
        <v>13.55</v>
      </c>
      <c r="K56" s="9" t="str">
        <f>FIXED(VLOOKUP($A56,'Full Sample-Single Family'!$A:$R,K$1,0),2)</f>
        <v>2.42</v>
      </c>
      <c r="L56" s="3" t="str">
        <f>FIXED(VLOOKUP($A56,'Full Sample-Single Family'!$A:$R,L$1,0),2)</f>
        <v>2.52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1-Single Family'!$A:$R,O$1,0),2)</f>
        <v>2.53</v>
      </c>
      <c r="P56" s="3" t="str">
        <f>FIXED(VLOOKUP($A56,'Small Sample 1-Single Family'!$A:$R,P$1,0),2)</f>
        <v>2.61</v>
      </c>
      <c r="Q56" s="3" t="str">
        <f>FIXED(VLOOKUP($A56,'Small Sample 1-Single Family'!$A:$R,Q$1,0),2)</f>
        <v>0.00</v>
      </c>
      <c r="R56" s="3" t="str">
        <f>FIXED(VLOOKUP($A56,'Small Sample 1-Single Family'!$A:$R,R$1,0),2)</f>
        <v>13.55</v>
      </c>
      <c r="S56" s="9" t="str">
        <f>FIXED(VLOOKUP($A56,'Small Sample 1-Single Family'!$A:$R,S$1,0),2)</f>
        <v>2.61</v>
      </c>
      <c r="T56" s="3" t="str">
        <f>FIXED(VLOOKUP($A56,'Small Sample 1-Single Family'!$A:$R,T$1,0),2)</f>
        <v>2.67</v>
      </c>
      <c r="U56" s="3" t="str">
        <f>FIXED(VLOOKUP($A56,'Small Sample 1-Single Family'!$A:$R,U$1,0),2)</f>
        <v>0.00</v>
      </c>
      <c r="V56" s="13" t="str">
        <f>FIXED(VLOOKUP($A56,'Small Sample 1-Single Family'!$A:$R,V$1,0),2)</f>
        <v>13.55</v>
      </c>
      <c r="W56" s="9" t="str">
        <f>FIXED(VLOOKUP($A56,'Small Sample 1-Single Family'!$A:$R,W$1,0),2)</f>
        <v>2.43</v>
      </c>
      <c r="X56" s="3" t="str">
        <f>FIXED(VLOOKUP($A56,'Small Sample 1-Single Family'!$A:$R,X$1,0),2)</f>
        <v>2.54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2-Single Family'!$A:$R,AA$1,0),2)</f>
        <v>2.53</v>
      </c>
      <c r="AB56" s="3" t="str">
        <f>FIXED(VLOOKUP($A56,'Small Sample 2-Single Family'!$A:$R,AB$1,0),2)</f>
        <v>2.61</v>
      </c>
      <c r="AC56" s="3" t="str">
        <f>FIXED(VLOOKUP($A56,'Small Sample 2-Single Family'!$A:$R,AC$1,0),2)</f>
        <v>0.00</v>
      </c>
      <c r="AD56" s="3" t="str">
        <f>FIXED(VLOOKUP($A56,'Small Sample 2-Single Family'!$A:$R,AD$1,0),2)</f>
        <v>13.55</v>
      </c>
      <c r="AE56" s="9" t="str">
        <f>FIXED(VLOOKUP($A56,'Small Sample 2-Single Family'!$A:$R,AE$1,0),2)</f>
        <v>2.57</v>
      </c>
      <c r="AF56" s="3" t="str">
        <f>FIXED(VLOOKUP($A56,'Small Sample 2-Single Family'!$A:$R,AF$1,0),2)</f>
        <v>2.64</v>
      </c>
      <c r="AG56" s="3" t="str">
        <f>FIXED(VLOOKUP($A56,'Small Sample 2-Single Family'!$A:$R,AG$1,0),2)</f>
        <v>0.00</v>
      </c>
      <c r="AH56" s="13" t="str">
        <f>FIXED(VLOOKUP($A56,'Small Sample 2-Single Family'!$A:$R,AH$1,0),2)</f>
        <v>13.55</v>
      </c>
      <c r="AI56" s="9" t="str">
        <f>FIXED(VLOOKUP($A56,'Small Sample 2-Single Family'!$A:$R,AI$1,0),2)</f>
        <v>2.47</v>
      </c>
      <c r="AJ56" s="3" t="str">
        <f>FIXED(VLOOKUP($A56,'Small Sample 2-Single Family'!$A:$R,AJ$1,0),2)</f>
        <v>2.57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73" x14ac:dyDescent="0.25">
      <c r="A57" t="s">
        <v>39</v>
      </c>
      <c r="B57" t="s">
        <v>177</v>
      </c>
      <c r="C57" s="9" t="str">
        <f>FIXED(VLOOKUP($A57,'Full Sample-Single Family'!$A:$R,C$1,0),2)</f>
        <v>0.53</v>
      </c>
      <c r="D57" s="3" t="str">
        <f>FIXED(VLOOKUP($A57,'Full Sample-Single Family'!$A:$R,D$1,0),2)</f>
        <v>0.33</v>
      </c>
      <c r="E57" s="3" t="str">
        <f>FIXED(VLOOKUP($A57,'Full Sample-Single Family'!$A:$R,E$1,0),2)</f>
        <v>0.00</v>
      </c>
      <c r="F57" s="3" t="str">
        <f>FIXED(VLOOKUP($A57,'Full Sample-Single Family'!$A:$R,F$1,0),2)</f>
        <v>3.56</v>
      </c>
      <c r="G57" s="9" t="str">
        <f>FIXED(VLOOKUP($A57,'Full Sample-Single Family'!$A:$R,G$1,0),2)</f>
        <v>0.53</v>
      </c>
      <c r="H57" s="3" t="str">
        <f>FIXED(VLOOKUP($A57,'Full Sample-Single Family'!$A:$R,H$1,0),2)</f>
        <v>0.32</v>
      </c>
      <c r="I57" s="3" t="str">
        <f>FIXED(VLOOKUP($A57,'Full Sample-Single Family'!$A:$R,I$1,0),2)</f>
        <v>0.00</v>
      </c>
      <c r="J57" s="13" t="str">
        <f>FIXED(VLOOKUP($A57,'Full Sample-Single Family'!$A:$R,J$1,0),2)</f>
        <v>3.30</v>
      </c>
      <c r="K57" s="9" t="str">
        <f>FIXED(VLOOKUP($A57,'Full Sample-Single Family'!$A:$R,K$1,0),2)</f>
        <v>0.53</v>
      </c>
      <c r="L57" s="3" t="str">
        <f>FIXED(VLOOKUP($A57,'Full Sample-Single Family'!$A:$R,L$1,0),2)</f>
        <v>0.33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1-Single Family'!$A:$R,O$1,0),2)</f>
        <v>0.53</v>
      </c>
      <c r="P57" s="3" t="str">
        <f>FIXED(VLOOKUP($A57,'Small Sample 1-Single Family'!$A:$R,P$1,0),2)</f>
        <v>0.33</v>
      </c>
      <c r="Q57" s="3" t="str">
        <f>FIXED(VLOOKUP($A57,'Small Sample 1-Single Family'!$A:$R,Q$1,0),2)</f>
        <v>0.00</v>
      </c>
      <c r="R57" s="3" t="str">
        <f>FIXED(VLOOKUP($A57,'Small Sample 1-Single Family'!$A:$R,R$1,0),2)</f>
        <v>3.56</v>
      </c>
      <c r="S57" s="9" t="str">
        <f>FIXED(VLOOKUP($A57,'Small Sample 1-Single Family'!$A:$R,S$1,0),2)</f>
        <v>0.53</v>
      </c>
      <c r="T57" s="3" t="str">
        <f>FIXED(VLOOKUP($A57,'Small Sample 1-Single Family'!$A:$R,T$1,0),2)</f>
        <v>0.32</v>
      </c>
      <c r="U57" s="3" t="str">
        <f>FIXED(VLOOKUP($A57,'Small Sample 1-Single Family'!$A:$R,U$1,0),2)</f>
        <v>0.00</v>
      </c>
      <c r="V57" s="13" t="str">
        <f>FIXED(VLOOKUP($A57,'Small Sample 1-Single Family'!$A:$R,V$1,0),2)</f>
        <v>3.30</v>
      </c>
      <c r="W57" s="9" t="str">
        <f>FIXED(VLOOKUP($A57,'Small Sample 1-Single Family'!$A:$R,W$1,0),2)</f>
        <v>0.53</v>
      </c>
      <c r="X57" s="3" t="str">
        <f>FIXED(VLOOKUP($A57,'Small Sample 1-Single Family'!$A:$R,X$1,0),2)</f>
        <v>0.34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2-Single Family'!$A:$R,AA$1,0),2)</f>
        <v>0.53</v>
      </c>
      <c r="AB57" s="3" t="str">
        <f>FIXED(VLOOKUP($A57,'Small Sample 2-Single Family'!$A:$R,AB$1,0),2)</f>
        <v>0.33</v>
      </c>
      <c r="AC57" s="3" t="str">
        <f>FIXED(VLOOKUP($A57,'Small Sample 2-Single Family'!$A:$R,AC$1,0),2)</f>
        <v>0.00</v>
      </c>
      <c r="AD57" s="3" t="str">
        <f>FIXED(VLOOKUP($A57,'Small Sample 2-Single Family'!$A:$R,AD$1,0),2)</f>
        <v>3.56</v>
      </c>
      <c r="AE57" s="9" t="str">
        <f>FIXED(VLOOKUP($A57,'Small Sample 2-Single Family'!$A:$R,AE$1,0),2)</f>
        <v>0.53</v>
      </c>
      <c r="AF57" s="3" t="str">
        <f>FIXED(VLOOKUP($A57,'Small Sample 2-Single Family'!$A:$R,AF$1,0),2)</f>
        <v>0.33</v>
      </c>
      <c r="AG57" s="3" t="str">
        <f>FIXED(VLOOKUP($A57,'Small Sample 2-Single Family'!$A:$R,AG$1,0),2)</f>
        <v>0.00</v>
      </c>
      <c r="AH57" s="13" t="str">
        <f>FIXED(VLOOKUP($A57,'Small Sample 2-Single Family'!$A:$R,AH$1,0),2)</f>
        <v>3.30</v>
      </c>
      <c r="AI57" s="9" t="str">
        <f>FIXED(VLOOKUP($A57,'Small Sample 2-Single Family'!$A:$R,AI$1,0),2)</f>
        <v>0.52</v>
      </c>
      <c r="AJ57" s="3" t="str">
        <f>FIXED(VLOOKUP($A57,'Small Sample 2-Single Family'!$A:$R,AJ$1,0),2)</f>
        <v>0.34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73" x14ac:dyDescent="0.25">
      <c r="A58" t="s">
        <v>40</v>
      </c>
      <c r="B58" t="s">
        <v>178</v>
      </c>
      <c r="C58" s="9" t="str">
        <f>FIXED(VLOOKUP($A58,'Full Sample-Single Family'!$A:$R,C$1,0),2)</f>
        <v>5.26</v>
      </c>
      <c r="D58" s="3" t="str">
        <f>FIXED(VLOOKUP($A58,'Full Sample-Single Family'!$A:$R,D$1,0),2)</f>
        <v>4.24</v>
      </c>
      <c r="E58" s="3" t="str">
        <f>FIXED(VLOOKUP($A58,'Full Sample-Single Family'!$A:$R,E$1,0),2)</f>
        <v>0.01</v>
      </c>
      <c r="F58" s="3" t="str">
        <f>FIXED(VLOOKUP($A58,'Full Sample-Single Family'!$A:$R,F$1,0),2)</f>
        <v>21.00</v>
      </c>
      <c r="G58" s="9" t="str">
        <f>FIXED(VLOOKUP($A58,'Full Sample-Single Family'!$A:$R,G$1,0),2)</f>
        <v>5.25</v>
      </c>
      <c r="H58" s="3" t="str">
        <f>FIXED(VLOOKUP($A58,'Full Sample-Single Family'!$A:$R,H$1,0),2)</f>
        <v>4.20</v>
      </c>
      <c r="I58" s="3" t="str">
        <f>FIXED(VLOOKUP($A58,'Full Sample-Single Family'!$A:$R,I$1,0),2)</f>
        <v>0.01</v>
      </c>
      <c r="J58" s="13" t="str">
        <f>FIXED(VLOOKUP($A58,'Full Sample-Single Family'!$A:$R,J$1,0),2)</f>
        <v>21.00</v>
      </c>
      <c r="K58" s="9" t="str">
        <f>FIXED(VLOOKUP($A58,'Full Sample-Single Family'!$A:$R,K$1,0),2)</f>
        <v>5.28</v>
      </c>
      <c r="L58" s="3" t="str">
        <f>FIXED(VLOOKUP($A58,'Full Sample-Single Family'!$A:$R,L$1,0),2)</f>
        <v>4.29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1-Single Family'!$A:$R,O$1,0),2)</f>
        <v>5.15</v>
      </c>
      <c r="P58" s="3" t="str">
        <f>FIXED(VLOOKUP($A58,'Small Sample 1-Single Family'!$A:$R,P$1,0),2)</f>
        <v>4.19</v>
      </c>
      <c r="Q58" s="3" t="str">
        <f>FIXED(VLOOKUP($A58,'Small Sample 1-Single Family'!$A:$R,Q$1,0),2)</f>
        <v>0.01</v>
      </c>
      <c r="R58" s="3" t="str">
        <f>FIXED(VLOOKUP($A58,'Small Sample 1-Single Family'!$A:$R,R$1,0),2)</f>
        <v>21.00</v>
      </c>
      <c r="S58" s="9" t="str">
        <f>FIXED(VLOOKUP($A58,'Small Sample 1-Single Family'!$A:$R,S$1,0),2)</f>
        <v>5.05</v>
      </c>
      <c r="T58" s="3" t="str">
        <f>FIXED(VLOOKUP($A58,'Small Sample 1-Single Family'!$A:$R,T$1,0),2)</f>
        <v>4.11</v>
      </c>
      <c r="U58" s="3" t="str">
        <f>FIXED(VLOOKUP($A58,'Small Sample 1-Single Family'!$A:$R,U$1,0),2)</f>
        <v>0.02</v>
      </c>
      <c r="V58" s="13" t="str">
        <f>FIXED(VLOOKUP($A58,'Small Sample 1-Single Family'!$A:$R,V$1,0),2)</f>
        <v>21.00</v>
      </c>
      <c r="W58" s="9" t="str">
        <f>FIXED(VLOOKUP($A58,'Small Sample 1-Single Family'!$A:$R,W$1,0),2)</f>
        <v>5.26</v>
      </c>
      <c r="X58" s="3" t="str">
        <f>FIXED(VLOOKUP($A58,'Small Sample 1-Single Family'!$A:$R,X$1,0),2)</f>
        <v>4.27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2-Single Family'!$A:$R,AA$1,0),2)</f>
        <v>5.15</v>
      </c>
      <c r="AB58" s="3" t="str">
        <f>FIXED(VLOOKUP($A58,'Small Sample 2-Single Family'!$A:$R,AB$1,0),2)</f>
        <v>4.19</v>
      </c>
      <c r="AC58" s="3" t="str">
        <f>FIXED(VLOOKUP($A58,'Small Sample 2-Single Family'!$A:$R,AC$1,0),2)</f>
        <v>0.01</v>
      </c>
      <c r="AD58" s="3" t="str">
        <f>FIXED(VLOOKUP($A58,'Small Sample 2-Single Family'!$A:$R,AD$1,0),2)</f>
        <v>21.00</v>
      </c>
      <c r="AE58" s="9" t="str">
        <f>FIXED(VLOOKUP($A58,'Small Sample 2-Single Family'!$A:$R,AE$1,0),2)</f>
        <v>5.19</v>
      </c>
      <c r="AF58" s="3" t="str">
        <f>FIXED(VLOOKUP($A58,'Small Sample 2-Single Family'!$A:$R,AF$1,0),2)</f>
        <v>4.17</v>
      </c>
      <c r="AG58" s="3" t="str">
        <f>FIXED(VLOOKUP($A58,'Small Sample 2-Single Family'!$A:$R,AG$1,0),2)</f>
        <v>0.01</v>
      </c>
      <c r="AH58" s="13" t="str">
        <f>FIXED(VLOOKUP($A58,'Small Sample 2-Single Family'!$A:$R,AH$1,0),2)</f>
        <v>21.00</v>
      </c>
      <c r="AI58" s="9" t="str">
        <f>FIXED(VLOOKUP($A58,'Small Sample 2-Single Family'!$A:$R,AI$1,0),2)</f>
        <v>5.08</v>
      </c>
      <c r="AJ58" s="3" t="str">
        <f>FIXED(VLOOKUP($A58,'Small Sample 2-Single Family'!$A:$R,AJ$1,0),2)</f>
        <v>4.21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73" x14ac:dyDescent="0.25">
      <c r="A59" t="s">
        <v>41</v>
      </c>
      <c r="B59" t="s">
        <v>179</v>
      </c>
      <c r="C59" s="9" t="str">
        <f>FIXED(VLOOKUP($A59,'Full Sample-Single Family'!$A:$R,C$1,0),2)</f>
        <v>10.82</v>
      </c>
      <c r="D59" s="3" t="str">
        <f>FIXED(VLOOKUP($A59,'Full Sample-Single Family'!$A:$R,D$1,0),2)</f>
        <v>5.60</v>
      </c>
      <c r="E59" s="3" t="str">
        <f>FIXED(VLOOKUP($A59,'Full Sample-Single Family'!$A:$R,E$1,0),2)</f>
        <v>0.32</v>
      </c>
      <c r="F59" s="3" t="str">
        <f>FIXED(VLOOKUP($A59,'Full Sample-Single Family'!$A:$R,F$1,0),2)</f>
        <v>30.99</v>
      </c>
      <c r="G59" s="9" t="str">
        <f>FIXED(VLOOKUP($A59,'Full Sample-Single Family'!$A:$R,G$1,0),2)</f>
        <v>10.76</v>
      </c>
      <c r="H59" s="3" t="str">
        <f>FIXED(VLOOKUP($A59,'Full Sample-Single Family'!$A:$R,H$1,0),2)</f>
        <v>5.60</v>
      </c>
      <c r="I59" s="3" t="str">
        <f>FIXED(VLOOKUP($A59,'Full Sample-Single Family'!$A:$R,I$1,0),2)</f>
        <v>0.32</v>
      </c>
      <c r="J59" s="13" t="str">
        <f>FIXED(VLOOKUP($A59,'Full Sample-Single Family'!$A:$R,J$1,0),2)</f>
        <v>30.00</v>
      </c>
      <c r="K59" s="9" t="str">
        <f>FIXED(VLOOKUP($A59,'Full Sample-Single Family'!$A:$R,K$1,0),2)</f>
        <v>10.92</v>
      </c>
      <c r="L59" s="3" t="str">
        <f>FIXED(VLOOKUP($A59,'Full Sample-Single Family'!$A:$R,L$1,0),2)</f>
        <v>5.59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1-Single Family'!$A:$R,O$1,0),2)</f>
        <v>10.90</v>
      </c>
      <c r="P59" s="3" t="str">
        <f>FIXED(VLOOKUP($A59,'Small Sample 1-Single Family'!$A:$R,P$1,0),2)</f>
        <v>5.59</v>
      </c>
      <c r="Q59" s="3" t="str">
        <f>FIXED(VLOOKUP($A59,'Small Sample 1-Single Family'!$A:$R,Q$1,0),2)</f>
        <v>0.32</v>
      </c>
      <c r="R59" s="3" t="str">
        <f>FIXED(VLOOKUP($A59,'Small Sample 1-Single Family'!$A:$R,R$1,0),2)</f>
        <v>30.99</v>
      </c>
      <c r="S59" s="9" t="str">
        <f>FIXED(VLOOKUP($A59,'Small Sample 1-Single Family'!$A:$R,S$1,0),2)</f>
        <v>10.89</v>
      </c>
      <c r="T59" s="3" t="str">
        <f>FIXED(VLOOKUP($A59,'Small Sample 1-Single Family'!$A:$R,T$1,0),2)</f>
        <v>5.59</v>
      </c>
      <c r="U59" s="3" t="str">
        <f>FIXED(VLOOKUP($A59,'Small Sample 1-Single Family'!$A:$R,U$1,0),2)</f>
        <v>0.32</v>
      </c>
      <c r="V59" s="13" t="str">
        <f>FIXED(VLOOKUP($A59,'Small Sample 1-Single Family'!$A:$R,V$1,0),2)</f>
        <v>30.00</v>
      </c>
      <c r="W59" s="9" t="str">
        <f>FIXED(VLOOKUP($A59,'Small Sample 1-Single Family'!$A:$R,W$1,0),2)</f>
        <v>10.91</v>
      </c>
      <c r="X59" s="3" t="str">
        <f>FIXED(VLOOKUP($A59,'Small Sample 1-Single Family'!$A:$R,X$1,0),2)</f>
        <v>5.60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2-Single Family'!$A:$R,AA$1,0),2)</f>
        <v>10.90</v>
      </c>
      <c r="AB59" s="3" t="str">
        <f>FIXED(VLOOKUP($A59,'Small Sample 2-Single Family'!$A:$R,AB$1,0),2)</f>
        <v>5.59</v>
      </c>
      <c r="AC59" s="3" t="str">
        <f>FIXED(VLOOKUP($A59,'Small Sample 2-Single Family'!$A:$R,AC$1,0),2)</f>
        <v>0.32</v>
      </c>
      <c r="AD59" s="3" t="str">
        <f>FIXED(VLOOKUP($A59,'Small Sample 2-Single Family'!$A:$R,AD$1,0),2)</f>
        <v>30.99</v>
      </c>
      <c r="AE59" s="9" t="str">
        <f>FIXED(VLOOKUP($A59,'Small Sample 2-Single Family'!$A:$R,AE$1,0),2)</f>
        <v>10.79</v>
      </c>
      <c r="AF59" s="3" t="str">
        <f>FIXED(VLOOKUP($A59,'Small Sample 2-Single Family'!$A:$R,AF$1,0),2)</f>
        <v>5.61</v>
      </c>
      <c r="AG59" s="3" t="str">
        <f>FIXED(VLOOKUP($A59,'Small Sample 2-Single Family'!$A:$R,AG$1,0),2)</f>
        <v>0.32</v>
      </c>
      <c r="AH59" s="13" t="str">
        <f>FIXED(VLOOKUP($A59,'Small Sample 2-Single Family'!$A:$R,AH$1,0),2)</f>
        <v>30.00</v>
      </c>
      <c r="AI59" s="9" t="str">
        <f>FIXED(VLOOKUP($A59,'Small Sample 2-Single Family'!$A:$R,AI$1,0),2)</f>
        <v>11.09</v>
      </c>
      <c r="AJ59" s="3" t="str">
        <f>FIXED(VLOOKUP($A59,'Small Sample 2-Single Family'!$A:$R,AJ$1,0),2)</f>
        <v>5.57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73" x14ac:dyDescent="0.25">
      <c r="A60" t="s">
        <v>173</v>
      </c>
      <c r="B60" t="s">
        <v>180</v>
      </c>
      <c r="C60" s="9" t="str">
        <f>FIXED(VLOOKUP($A60,'Full Sample-Single Family'!$A:$R,C$1,0),2)</f>
        <v>1.06</v>
      </c>
      <c r="D60" s="3" t="str">
        <f>FIXED(VLOOKUP($A60,'Full Sample-Single Family'!$A:$R,D$1,0),2)</f>
        <v>0.82</v>
      </c>
      <c r="E60" s="3" t="str">
        <f>FIXED(VLOOKUP($A60,'Full Sample-Single Family'!$A:$R,E$1,0),2)</f>
        <v>0.02</v>
      </c>
      <c r="F60" s="3" t="str">
        <f>FIXED(VLOOKUP($A60,'Full Sample-Single Family'!$A:$R,F$1,0),2)</f>
        <v>7.83</v>
      </c>
      <c r="G60" s="9" t="str">
        <f>FIXED(VLOOKUP($A60,'Full Sample-Single Family'!$A:$R,G$1,0),2)</f>
        <v>1.05</v>
      </c>
      <c r="H60" s="3" t="str">
        <f>FIXED(VLOOKUP($A60,'Full Sample-Single Family'!$A:$R,H$1,0),2)</f>
        <v>0.80</v>
      </c>
      <c r="I60" s="3" t="str">
        <f>FIXED(VLOOKUP($A60,'Full Sample-Single Family'!$A:$R,I$1,0),2)</f>
        <v>0.03</v>
      </c>
      <c r="J60" s="13" t="str">
        <f>FIXED(VLOOKUP($A60,'Full Sample-Single Family'!$A:$R,J$1,0),2)</f>
        <v>7.83</v>
      </c>
      <c r="K60" s="9" t="str">
        <f>FIXED(VLOOKUP($A60,'Full Sample-Single Family'!$A:$R,K$1,0),2)</f>
        <v>1.07</v>
      </c>
      <c r="L60" s="3" t="str">
        <f>FIXED(VLOOKUP($A60,'Full Sample-Single Family'!$A:$R,L$1,0),2)</f>
        <v>0.85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1-Single Family'!$A:$R,O$1,0),2)</f>
        <v>1.04</v>
      </c>
      <c r="P60" s="3" t="str">
        <f>FIXED(VLOOKUP($A60,'Small Sample 1-Single Family'!$A:$R,P$1,0),2)</f>
        <v>0.81</v>
      </c>
      <c r="Q60" s="3" t="str">
        <f>FIXED(VLOOKUP($A60,'Small Sample 1-Single Family'!$A:$R,Q$1,0),2)</f>
        <v>0.02</v>
      </c>
      <c r="R60" s="3" t="str">
        <f>FIXED(VLOOKUP($A60,'Small Sample 1-Single Family'!$A:$R,R$1,0),2)</f>
        <v>7.83</v>
      </c>
      <c r="S60" s="9" t="str">
        <f>FIXED(VLOOKUP($A60,'Small Sample 1-Single Family'!$A:$R,S$1,0),2)</f>
        <v>1.02</v>
      </c>
      <c r="T60" s="3" t="str">
        <f>FIXED(VLOOKUP($A60,'Small Sample 1-Single Family'!$A:$R,T$1,0),2)</f>
        <v>0.78</v>
      </c>
      <c r="U60" s="3" t="str">
        <f>FIXED(VLOOKUP($A60,'Small Sample 1-Single Family'!$A:$R,U$1,0),2)</f>
        <v>0.03</v>
      </c>
      <c r="V60" s="13" t="str">
        <f>FIXED(VLOOKUP($A60,'Small Sample 1-Single Family'!$A:$R,V$1,0),2)</f>
        <v>7.83</v>
      </c>
      <c r="W60" s="9" t="str">
        <f>FIXED(VLOOKUP($A60,'Small Sample 1-Single Family'!$A:$R,W$1,0),2)</f>
        <v>1.06</v>
      </c>
      <c r="X60" s="3" t="str">
        <f>FIXED(VLOOKUP($A60,'Small Sample 1-Single Family'!$A:$R,X$1,0),2)</f>
        <v>0.85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2-Single Family'!$A:$R,AA$1,0),2)</f>
        <v>1.04</v>
      </c>
      <c r="AB60" s="3" t="str">
        <f>FIXED(VLOOKUP($A60,'Small Sample 2-Single Family'!$A:$R,AB$1,0),2)</f>
        <v>0.81</v>
      </c>
      <c r="AC60" s="3" t="str">
        <f>FIXED(VLOOKUP($A60,'Small Sample 2-Single Family'!$A:$R,AC$1,0),2)</f>
        <v>0.02</v>
      </c>
      <c r="AD60" s="3" t="str">
        <f>FIXED(VLOOKUP($A60,'Small Sample 2-Single Family'!$A:$R,AD$1,0),2)</f>
        <v>7.83</v>
      </c>
      <c r="AE60" s="9" t="str">
        <f>FIXED(VLOOKUP($A60,'Small Sample 2-Single Family'!$A:$R,AE$1,0),2)</f>
        <v>1.05</v>
      </c>
      <c r="AF60" s="3" t="str">
        <f>FIXED(VLOOKUP($A60,'Small Sample 2-Single Family'!$A:$R,AF$1,0),2)</f>
        <v>0.80</v>
      </c>
      <c r="AG60" s="3" t="str">
        <f>FIXED(VLOOKUP($A60,'Small Sample 2-Single Family'!$A:$R,AG$1,0),2)</f>
        <v>0.03</v>
      </c>
      <c r="AH60" s="13" t="str">
        <f>FIXED(VLOOKUP($A60,'Small Sample 2-Single Family'!$A:$R,AH$1,0),2)</f>
        <v>7.83</v>
      </c>
      <c r="AI60" s="9" t="str">
        <f>FIXED(VLOOKUP($A60,'Small Sample 2-Single Family'!$A:$R,AI$1,0),2)</f>
        <v>1.04</v>
      </c>
      <c r="AJ60" s="3" t="str">
        <f>FIXED(VLOOKUP($A60,'Small Sample 2-Single Family'!$A:$R,AJ$1,0),2)</f>
        <v>0.83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  <c r="AN60" s="23"/>
      <c r="AO60" s="3"/>
      <c r="AP60" s="3"/>
      <c r="AQ60" s="3"/>
      <c r="AR60" s="23"/>
      <c r="AS60" s="3"/>
      <c r="AT60" s="3"/>
      <c r="AU60" s="13"/>
      <c r="AV60" s="23"/>
      <c r="AW60" s="3"/>
      <c r="AX60" s="3"/>
      <c r="AY60" s="13"/>
      <c r="AZ60" s="23"/>
      <c r="BA60" s="3"/>
      <c r="BB60" s="3"/>
      <c r="BC60" s="3"/>
      <c r="BD60" s="23"/>
      <c r="BE60" s="3"/>
      <c r="BF60" s="3"/>
      <c r="BG60" s="13"/>
      <c r="BH60" s="23"/>
      <c r="BI60" s="3"/>
      <c r="BJ60" s="3"/>
      <c r="BK60" s="3"/>
      <c r="BL60" s="23"/>
      <c r="BM60" s="3"/>
      <c r="BN60" s="3"/>
      <c r="BO60" s="3"/>
      <c r="BP60" s="23"/>
      <c r="BQ60" s="3"/>
      <c r="BR60" s="3"/>
      <c r="BS60" s="13"/>
      <c r="BT60" s="23"/>
      <c r="BU60" s="3"/>
    </row>
    <row r="61" spans="1:73" x14ac:dyDescent="0.25">
      <c r="A61" t="s">
        <v>174</v>
      </c>
      <c r="B61" t="s">
        <v>181</v>
      </c>
      <c r="C61" s="9" t="str">
        <f>FIXED(VLOOKUP($A61,'Full Sample-Single Family'!$A:$R,C$1,0),2)</f>
        <v>2.49</v>
      </c>
      <c r="D61" s="3" t="str">
        <f>FIXED(VLOOKUP($A61,'Full Sample-Single Family'!$A:$R,D$1,0),2)</f>
        <v>1.82</v>
      </c>
      <c r="E61" s="3" t="str">
        <f>FIXED(VLOOKUP($A61,'Full Sample-Single Family'!$A:$R,E$1,0),2)</f>
        <v>0.04</v>
      </c>
      <c r="F61" s="3" t="str">
        <f>FIXED(VLOOKUP($A61,'Full Sample-Single Family'!$A:$R,F$1,0),2)</f>
        <v>17.68</v>
      </c>
      <c r="G61" s="9" t="str">
        <f>FIXED(VLOOKUP($A61,'Full Sample-Single Family'!$A:$R,G$1,0),2)</f>
        <v>2.47</v>
      </c>
      <c r="H61" s="3" t="str">
        <f>FIXED(VLOOKUP($A61,'Full Sample-Single Family'!$A:$R,H$1,0),2)</f>
        <v>1.80</v>
      </c>
      <c r="I61" s="3" t="str">
        <f>FIXED(VLOOKUP($A61,'Full Sample-Single Family'!$A:$R,I$1,0),2)</f>
        <v>0.04</v>
      </c>
      <c r="J61" s="13" t="str">
        <f>FIXED(VLOOKUP($A61,'Full Sample-Single Family'!$A:$R,J$1,0),2)</f>
        <v>17.68</v>
      </c>
      <c r="K61" s="9" t="str">
        <f>FIXED(VLOOKUP($A61,'Full Sample-Single Family'!$A:$R,K$1,0),2)</f>
        <v>2.51</v>
      </c>
      <c r="L61" s="3" t="str">
        <f>FIXED(VLOOKUP($A61,'Full Sample-Single Family'!$A:$R,L$1,0),2)</f>
        <v>1.84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1-Single Family'!$A:$R,O$1,0),2)</f>
        <v>2.48</v>
      </c>
      <c r="P61" s="3" t="str">
        <f>FIXED(VLOOKUP($A61,'Small Sample 1-Single Family'!$A:$R,P$1,0),2)</f>
        <v>1.82</v>
      </c>
      <c r="Q61" s="3" t="str">
        <f>FIXED(VLOOKUP($A61,'Small Sample 1-Single Family'!$A:$R,Q$1,0),2)</f>
        <v>0.04</v>
      </c>
      <c r="R61" s="3" t="str">
        <f>FIXED(VLOOKUP($A61,'Small Sample 1-Single Family'!$A:$R,R$1,0),2)</f>
        <v>17.68</v>
      </c>
      <c r="S61" s="9" t="str">
        <f>FIXED(VLOOKUP($A61,'Small Sample 1-Single Family'!$A:$R,S$1,0),2)</f>
        <v>2.46</v>
      </c>
      <c r="T61" s="3" t="str">
        <f>FIXED(VLOOKUP($A61,'Small Sample 1-Single Family'!$A:$R,T$1,0),2)</f>
        <v>1.80</v>
      </c>
      <c r="U61" s="3" t="str">
        <f>FIXED(VLOOKUP($A61,'Small Sample 1-Single Family'!$A:$R,U$1,0),2)</f>
        <v>0.04</v>
      </c>
      <c r="V61" s="13" t="str">
        <f>FIXED(VLOOKUP($A61,'Small Sample 1-Single Family'!$A:$R,V$1,0),2)</f>
        <v>17.68</v>
      </c>
      <c r="W61" s="9" t="str">
        <f>FIXED(VLOOKUP($A61,'Small Sample 1-Single Family'!$A:$R,W$1,0),2)</f>
        <v>2.51</v>
      </c>
      <c r="X61" s="3" t="str">
        <f>FIXED(VLOOKUP($A61,'Small Sample 1-Single Family'!$A:$R,X$1,0),2)</f>
        <v>1.85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2-Single Family'!$A:$R,AA$1,0),2)</f>
        <v>2.48</v>
      </c>
      <c r="AB61" s="3" t="str">
        <f>FIXED(VLOOKUP($A61,'Small Sample 2-Single Family'!$A:$R,AB$1,0),2)</f>
        <v>1.82</v>
      </c>
      <c r="AC61" s="3" t="str">
        <f>FIXED(VLOOKUP($A61,'Small Sample 2-Single Family'!$A:$R,AC$1,0),2)</f>
        <v>0.04</v>
      </c>
      <c r="AD61" s="3" t="str">
        <f>FIXED(VLOOKUP($A61,'Small Sample 2-Single Family'!$A:$R,AD$1,0),2)</f>
        <v>17.68</v>
      </c>
      <c r="AE61" s="9" t="str">
        <f>FIXED(VLOOKUP($A61,'Small Sample 2-Single Family'!$A:$R,AE$1,0),2)</f>
        <v>2.47</v>
      </c>
      <c r="AF61" s="3" t="str">
        <f>FIXED(VLOOKUP($A61,'Small Sample 2-Single Family'!$A:$R,AF$1,0),2)</f>
        <v>1.80</v>
      </c>
      <c r="AG61" s="3" t="str">
        <f>FIXED(VLOOKUP($A61,'Small Sample 2-Single Family'!$A:$R,AG$1,0),2)</f>
        <v>0.04</v>
      </c>
      <c r="AH61" s="13" t="str">
        <f>FIXED(VLOOKUP($A61,'Small Sample 2-Single Family'!$A:$R,AH$1,0),2)</f>
        <v>17.68</v>
      </c>
      <c r="AI61" s="9" t="str">
        <f>FIXED(VLOOKUP($A61,'Small Sample 2-Single Family'!$A:$R,AI$1,0),2)</f>
        <v>2.51</v>
      </c>
      <c r="AJ61" s="3" t="str">
        <f>FIXED(VLOOKUP($A61,'Small Sample 2-Single Family'!$A:$R,AJ$1,0),2)</f>
        <v>1.87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73" x14ac:dyDescent="0.25">
      <c r="A62" t="s">
        <v>175</v>
      </c>
      <c r="B62" t="s">
        <v>182</v>
      </c>
      <c r="C62" s="9" t="str">
        <f>FIXED(VLOOKUP($A62,'Full Sample-Single Family'!$A:$R,C$1,0),2)</f>
        <v>2.58</v>
      </c>
      <c r="D62" s="3" t="str">
        <f>FIXED(VLOOKUP($A62,'Full Sample-Single Family'!$A:$R,D$1,0),2)</f>
        <v>1.73</v>
      </c>
      <c r="E62" s="3" t="str">
        <f>FIXED(VLOOKUP($A62,'Full Sample-Single Family'!$A:$R,E$1,0),2)</f>
        <v>0.04</v>
      </c>
      <c r="F62" s="3" t="str">
        <f>FIXED(VLOOKUP($A62,'Full Sample-Single Family'!$A:$R,F$1,0),2)</f>
        <v>17.68</v>
      </c>
      <c r="G62" s="9" t="str">
        <f>FIXED(VLOOKUP($A62,'Full Sample-Single Family'!$A:$R,G$1,0),2)</f>
        <v>2.56</v>
      </c>
      <c r="H62" s="3" t="str">
        <f>FIXED(VLOOKUP($A62,'Full Sample-Single Family'!$A:$R,H$1,0),2)</f>
        <v>1.70</v>
      </c>
      <c r="I62" s="3" t="str">
        <f>FIXED(VLOOKUP($A62,'Full Sample-Single Family'!$A:$R,I$1,0),2)</f>
        <v>0.05</v>
      </c>
      <c r="J62" s="13" t="str">
        <f>FIXED(VLOOKUP($A62,'Full Sample-Single Family'!$A:$R,J$1,0),2)</f>
        <v>17.68</v>
      </c>
      <c r="K62" s="9" t="str">
        <f>FIXED(VLOOKUP($A62,'Full Sample-Single Family'!$A:$R,K$1,0),2)</f>
        <v>2.61</v>
      </c>
      <c r="L62" s="3" t="str">
        <f>FIXED(VLOOKUP($A62,'Full Sample-Single Family'!$A:$R,L$1,0),2)</f>
        <v>1.76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1-Single Family'!$A:$R,O$1,0),2)</f>
        <v>2.57</v>
      </c>
      <c r="P62" s="3" t="str">
        <f>FIXED(VLOOKUP($A62,'Small Sample 1-Single Family'!$A:$R,P$1,0),2)</f>
        <v>1.74</v>
      </c>
      <c r="Q62" s="3" t="str">
        <f>FIXED(VLOOKUP($A62,'Small Sample 1-Single Family'!$A:$R,Q$1,0),2)</f>
        <v>0.04</v>
      </c>
      <c r="R62" s="3" t="str">
        <f>FIXED(VLOOKUP($A62,'Small Sample 1-Single Family'!$A:$R,R$1,0),2)</f>
        <v>17.68</v>
      </c>
      <c r="S62" s="9" t="str">
        <f>FIXED(VLOOKUP($A62,'Small Sample 1-Single Family'!$A:$R,S$1,0),2)</f>
        <v>2.53</v>
      </c>
      <c r="T62" s="3" t="str">
        <f>FIXED(VLOOKUP($A62,'Small Sample 1-Single Family'!$A:$R,T$1,0),2)</f>
        <v>1.71</v>
      </c>
      <c r="U62" s="3" t="str">
        <f>FIXED(VLOOKUP($A62,'Small Sample 1-Single Family'!$A:$R,U$1,0),2)</f>
        <v>0.05</v>
      </c>
      <c r="V62" s="13" t="str">
        <f>FIXED(VLOOKUP($A62,'Small Sample 1-Single Family'!$A:$R,V$1,0),2)</f>
        <v>17.68</v>
      </c>
      <c r="W62" s="9" t="str">
        <f>FIXED(VLOOKUP($A62,'Small Sample 1-Single Family'!$A:$R,W$1,0),2)</f>
        <v>2.61</v>
      </c>
      <c r="X62" s="3" t="str">
        <f>FIXED(VLOOKUP($A62,'Small Sample 1-Single Family'!$A:$R,X$1,0),2)</f>
        <v>1.77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2-Single Family'!$A:$R,AA$1,0),2)</f>
        <v>2.57</v>
      </c>
      <c r="AB62" s="3" t="str">
        <f>FIXED(VLOOKUP($A62,'Small Sample 2-Single Family'!$A:$R,AB$1,0),2)</f>
        <v>1.74</v>
      </c>
      <c r="AC62" s="3" t="str">
        <f>FIXED(VLOOKUP($A62,'Small Sample 2-Single Family'!$A:$R,AC$1,0),2)</f>
        <v>0.04</v>
      </c>
      <c r="AD62" s="3" t="str">
        <f>FIXED(VLOOKUP($A62,'Small Sample 2-Single Family'!$A:$R,AD$1,0),2)</f>
        <v>17.68</v>
      </c>
      <c r="AE62" s="9" t="str">
        <f>FIXED(VLOOKUP($A62,'Small Sample 2-Single Family'!$A:$R,AE$1,0),2)</f>
        <v>2.55</v>
      </c>
      <c r="AF62" s="3" t="str">
        <f>FIXED(VLOOKUP($A62,'Small Sample 2-Single Family'!$A:$R,AF$1,0),2)</f>
        <v>1.70</v>
      </c>
      <c r="AG62" s="3" t="str">
        <f>FIXED(VLOOKUP($A62,'Small Sample 2-Single Family'!$A:$R,AG$1,0),2)</f>
        <v>0.05</v>
      </c>
      <c r="AH62" s="13" t="str">
        <f>FIXED(VLOOKUP($A62,'Small Sample 2-Single Family'!$A:$R,AH$1,0),2)</f>
        <v>17.68</v>
      </c>
      <c r="AI62" s="9" t="str">
        <f>FIXED(VLOOKUP($A62,'Small Sample 2-Single Family'!$A:$R,AI$1,0),2)</f>
        <v>2.60</v>
      </c>
      <c r="AJ62" s="3" t="str">
        <f>FIXED(VLOOKUP($A62,'Small Sample 2-Single Family'!$A:$R,AJ$1,0),2)</f>
        <v>1.80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73" x14ac:dyDescent="0.25">
      <c r="A63" t="s">
        <v>53</v>
      </c>
      <c r="B63" t="s">
        <v>183</v>
      </c>
      <c r="C63" s="9" t="str">
        <f>FIXED(VLOOKUP($A63,'Full Sample-Single Family'!$A:$R,C$1,0),2)</f>
        <v>2,363,465.00</v>
      </c>
      <c r="D63" s="3" t="str">
        <f>FIXED(VLOOKUP($A63,'Full Sample-Single Family'!$A:$R,D$1,0),2)</f>
        <v>7,872.91</v>
      </c>
      <c r="E63" s="3" t="str">
        <f>FIXED(VLOOKUP($A63,'Full Sample-Single Family'!$A:$R,E$1,0),2)</f>
        <v>2,350,907.00</v>
      </c>
      <c r="F63" s="3" t="str">
        <f>FIXED(VLOOKUP($A63,'Full Sample-Single Family'!$A:$R,F$1,0),2)</f>
        <v>2,399,920.00</v>
      </c>
      <c r="G63" s="9" t="str">
        <f>FIXED(VLOOKUP($A63,'Full Sample-Single Family'!$A:$R,G$1,0),2)</f>
        <v>2,363,456.00</v>
      </c>
      <c r="H63" s="3" t="str">
        <f>FIXED(VLOOKUP($A63,'Full Sample-Single Family'!$A:$R,H$1,0),2)</f>
        <v>7,714.65</v>
      </c>
      <c r="I63" s="3" t="str">
        <f>FIXED(VLOOKUP($A63,'Full Sample-Single Family'!$A:$R,I$1,0),2)</f>
        <v>2,350,907.00</v>
      </c>
      <c r="J63" s="13" t="str">
        <f>FIXED(VLOOKUP($A63,'Full Sample-Single Family'!$A:$R,J$1,0),2)</f>
        <v>2,399,920.00</v>
      </c>
      <c r="K63" s="9" t="str">
        <f>FIXED(VLOOKUP($A63,'Full Sample-Single Family'!$A:$R,K$1,0),2)</f>
        <v>2,363,478.00</v>
      </c>
      <c r="L63" s="3" t="str">
        <f>FIXED(VLOOKUP($A63,'Full Sample-Single Family'!$A:$R,L$1,0),2)</f>
        <v>8,084.63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1-Single Family'!$A:$R,O$1,0),2)</f>
        <v>2,363,536.00</v>
      </c>
      <c r="P63" s="3" t="str">
        <f>FIXED(VLOOKUP($A63,'Small Sample 1-Single Family'!$A:$R,P$1,0),2)</f>
        <v>7,934.19</v>
      </c>
      <c r="Q63" s="3" t="str">
        <f>FIXED(VLOOKUP($A63,'Small Sample 1-Single Family'!$A:$R,Q$1,0),2)</f>
        <v>2,350,907.00</v>
      </c>
      <c r="R63" s="3" t="str">
        <f>FIXED(VLOOKUP($A63,'Small Sample 1-Single Family'!$A:$R,R$1,0),2)</f>
        <v>2,399,920.00</v>
      </c>
      <c r="S63" s="9" t="str">
        <f>FIXED(VLOOKUP($A63,'Small Sample 1-Single Family'!$A:$R,S$1,0),2)</f>
        <v>2,363,565.00</v>
      </c>
      <c r="T63" s="3" t="str">
        <f>FIXED(VLOOKUP($A63,'Small Sample 1-Single Family'!$A:$R,T$1,0),2)</f>
        <v>7,783.46</v>
      </c>
      <c r="U63" s="3" t="str">
        <f>FIXED(VLOOKUP($A63,'Small Sample 1-Single Family'!$A:$R,U$1,0),2)</f>
        <v>2,350,907.00</v>
      </c>
      <c r="V63" s="13" t="str">
        <f>FIXED(VLOOKUP($A63,'Small Sample 1-Single Family'!$A:$R,V$1,0),2)</f>
        <v>2,399,920.00</v>
      </c>
      <c r="W63" s="9" t="str">
        <f>FIXED(VLOOKUP($A63,'Small Sample 1-Single Family'!$A:$R,W$1,0),2)</f>
        <v>2,363,503.00</v>
      </c>
      <c r="X63" s="3" t="str">
        <f>FIXED(VLOOKUP($A63,'Small Sample 1-Single Family'!$A:$R,X$1,0),2)</f>
        <v>8,102.00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2-Single Family'!$A:$R,AA$1,0),2)</f>
        <v>2,363,536.00</v>
      </c>
      <c r="AB63" s="3" t="str">
        <f>FIXED(VLOOKUP($A63,'Small Sample 2-Single Family'!$A:$R,AB$1,0),2)</f>
        <v>7,934.19</v>
      </c>
      <c r="AC63" s="3" t="str">
        <f>FIXED(VLOOKUP($A63,'Small Sample 2-Single Family'!$A:$R,AC$1,0),2)</f>
        <v>2,350,907.00</v>
      </c>
      <c r="AD63" s="3" t="str">
        <f>FIXED(VLOOKUP($A63,'Small Sample 2-Single Family'!$A:$R,AD$1,0),2)</f>
        <v>2,399,920.00</v>
      </c>
      <c r="AE63" s="9" t="str">
        <f>FIXED(VLOOKUP($A63,'Small Sample 2-Single Family'!$A:$R,AE$1,0),2)</f>
        <v>2,363,482.00</v>
      </c>
      <c r="AF63" s="3" t="str">
        <f>FIXED(VLOOKUP($A63,'Small Sample 2-Single Family'!$A:$R,AF$1,0),2)</f>
        <v>7,750.59</v>
      </c>
      <c r="AG63" s="3" t="str">
        <f>FIXED(VLOOKUP($A63,'Small Sample 2-Single Family'!$A:$R,AG$1,0),2)</f>
        <v>2,350,907.00</v>
      </c>
      <c r="AH63" s="13" t="str">
        <f>FIXED(VLOOKUP($A63,'Small Sample 2-Single Family'!$A:$R,AH$1,0),2)</f>
        <v>2,399,920.00</v>
      </c>
      <c r="AI63" s="9" t="str">
        <f>FIXED(VLOOKUP($A63,'Small Sample 2-Single Family'!$A:$R,AI$1,0),2)</f>
        <v>2,363,626.00</v>
      </c>
      <c r="AJ63" s="3" t="str">
        <f>FIXED(VLOOKUP($A63,'Small Sample 2-Single Family'!$A:$R,AJ$1,0),2)</f>
        <v>8,231.75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73" x14ac:dyDescent="0.25">
      <c r="A64" t="s">
        <v>54</v>
      </c>
      <c r="B64" t="s">
        <v>184</v>
      </c>
      <c r="C64" s="9" t="str">
        <f>FIXED(VLOOKUP($A64,'Full Sample-Single Family'!$A:$R,C$1,0),2)</f>
        <v>610,985.70</v>
      </c>
      <c r="D64" s="3" t="str">
        <f>FIXED(VLOOKUP($A64,'Full Sample-Single Family'!$A:$R,D$1,0),2)</f>
        <v>14,875.55</v>
      </c>
      <c r="E64" s="3" t="str">
        <f>FIXED(VLOOKUP($A64,'Full Sample-Single Family'!$A:$R,E$1,0),2)</f>
        <v>579,824.20</v>
      </c>
      <c r="F64" s="3" t="str">
        <f>FIXED(VLOOKUP($A64,'Full Sample-Single Family'!$A:$R,F$1,0),2)</f>
        <v>638,667.70</v>
      </c>
      <c r="G64" s="9" t="str">
        <f>FIXED(VLOOKUP($A64,'Full Sample-Single Family'!$A:$R,G$1,0),2)</f>
        <v>610,585.90</v>
      </c>
      <c r="H64" s="3" t="str">
        <f>FIXED(VLOOKUP($A64,'Full Sample-Single Family'!$A:$R,H$1,0),2)</f>
        <v>14,742.42</v>
      </c>
      <c r="I64" s="3" t="str">
        <f>FIXED(VLOOKUP($A64,'Full Sample-Single Family'!$A:$R,I$1,0),2)</f>
        <v>579,824.20</v>
      </c>
      <c r="J64" s="13" t="str">
        <f>FIXED(VLOOKUP($A64,'Full Sample-Single Family'!$A:$R,J$1,0),2)</f>
        <v>638,667.70</v>
      </c>
      <c r="K64" s="9" t="str">
        <f>FIXED(VLOOKUP($A64,'Full Sample-Single Family'!$A:$R,K$1,0),2)</f>
        <v>611,532.20</v>
      </c>
      <c r="L64" s="3" t="str">
        <f>FIXED(VLOOKUP($A64,'Full Sample-Single Family'!$A:$R,L$1,0),2)</f>
        <v>15,039.22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1-Single Family'!$A:$R,O$1,0),2)</f>
        <v>611,470.30</v>
      </c>
      <c r="P64" s="3" t="str">
        <f>FIXED(VLOOKUP($A64,'Small Sample 1-Single Family'!$A:$R,P$1,0),2)</f>
        <v>14,767.08</v>
      </c>
      <c r="Q64" s="3" t="str">
        <f>FIXED(VLOOKUP($A64,'Small Sample 1-Single Family'!$A:$R,Q$1,0),2)</f>
        <v>579,824.20</v>
      </c>
      <c r="R64" s="3" t="str">
        <f>FIXED(VLOOKUP($A64,'Small Sample 1-Single Family'!$A:$R,R$1,0),2)</f>
        <v>638,667.70</v>
      </c>
      <c r="S64" s="9" t="str">
        <f>FIXED(VLOOKUP($A64,'Small Sample 1-Single Family'!$A:$R,S$1,0),2)</f>
        <v>611,417.00</v>
      </c>
      <c r="T64" s="3" t="str">
        <f>FIXED(VLOOKUP($A64,'Small Sample 1-Single Family'!$A:$R,T$1,0),2)</f>
        <v>14,570.06</v>
      </c>
      <c r="U64" s="3" t="str">
        <f>FIXED(VLOOKUP($A64,'Small Sample 1-Single Family'!$A:$R,U$1,0),2)</f>
        <v>579,824.20</v>
      </c>
      <c r="V64" s="13" t="str">
        <f>FIXED(VLOOKUP($A64,'Small Sample 1-Single Family'!$A:$R,V$1,0),2)</f>
        <v>638,667.70</v>
      </c>
      <c r="W64" s="9" t="str">
        <f>FIXED(VLOOKUP($A64,'Small Sample 1-Single Family'!$A:$R,W$1,0),2)</f>
        <v>611,530.70</v>
      </c>
      <c r="X64" s="3" t="str">
        <f>FIXED(VLOOKUP($A64,'Small Sample 1-Single Family'!$A:$R,X$1,0),2)</f>
        <v>14,987.88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2-Single Family'!$A:$R,AA$1,0),2)</f>
        <v>611,470.30</v>
      </c>
      <c r="AB64" s="3" t="str">
        <f>FIXED(VLOOKUP($A64,'Small Sample 2-Single Family'!$A:$R,AB$1,0),2)</f>
        <v>14,767.08</v>
      </c>
      <c r="AC64" s="3" t="str">
        <f>FIXED(VLOOKUP($A64,'Small Sample 2-Single Family'!$A:$R,AC$1,0),2)</f>
        <v>579,824.20</v>
      </c>
      <c r="AD64" s="3" t="str">
        <f>FIXED(VLOOKUP($A64,'Small Sample 2-Single Family'!$A:$R,AD$1,0),2)</f>
        <v>638,667.70</v>
      </c>
      <c r="AE64" s="9" t="str">
        <f>FIXED(VLOOKUP($A64,'Small Sample 2-Single Family'!$A:$R,AE$1,0),2)</f>
        <v>610,831.90</v>
      </c>
      <c r="AF64" s="3" t="str">
        <f>FIXED(VLOOKUP($A64,'Small Sample 2-Single Family'!$A:$R,AF$1,0),2)</f>
        <v>14,700.88</v>
      </c>
      <c r="AG64" s="3" t="str">
        <f>FIXED(VLOOKUP($A64,'Small Sample 2-Single Family'!$A:$R,AG$1,0),2)</f>
        <v>579,824.20</v>
      </c>
      <c r="AH64" s="13" t="str">
        <f>FIXED(VLOOKUP($A64,'Small Sample 2-Single Family'!$A:$R,AH$1,0),2)</f>
        <v>638,667.70</v>
      </c>
      <c r="AI64" s="9" t="str">
        <f>FIXED(VLOOKUP($A64,'Small Sample 2-Single Family'!$A:$R,AI$1,0),2)</f>
        <v>612,537.50</v>
      </c>
      <c r="AJ64" s="3" t="str">
        <f>FIXED(VLOOKUP($A64,'Small Sample 2-Single Family'!$A:$R,AJ$1,0),2)</f>
        <v>14,816.78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Sample-Single Family'!$A:$R,C$1,0),2)</f>
        <v>0.03</v>
      </c>
      <c r="D65" s="3" t="str">
        <f>FIXED(VLOOKUP($A65,'Full Sample-Single Family'!$A:$R,D$1,0),2)</f>
        <v>0.18</v>
      </c>
      <c r="E65" s="3" t="str">
        <f>FIXED(VLOOKUP($A65,'Full Sample-Single Family'!$A:$R,E$1,0),2)</f>
        <v>0.00</v>
      </c>
      <c r="F65" s="3" t="str">
        <f>FIXED(VLOOKUP($A65,'Full Sample-Single Family'!$A:$R,F$1,0),2)</f>
        <v>1.00</v>
      </c>
      <c r="G65" s="9" t="str">
        <f>FIXED(VLOOKUP($A65,'Full Sample-Single Family'!$A:$R,G$1,0),2)</f>
        <v>0.03</v>
      </c>
      <c r="H65" s="3" t="str">
        <f>FIXED(VLOOKUP($A65,'Full Sample-Single Family'!$A:$R,H$1,0),2)</f>
        <v>0.17</v>
      </c>
      <c r="I65" s="3" t="str">
        <f>FIXED(VLOOKUP($A65,'Full Sample-Single Family'!$A:$R,I$1,0),2)</f>
        <v>0.00</v>
      </c>
      <c r="J65" s="13" t="str">
        <f>FIXED(VLOOKUP($A65,'Full Sample-Single Family'!$A:$R,J$1,0),2)</f>
        <v>1.00</v>
      </c>
      <c r="K65" s="9" t="str">
        <f>FIXED(VLOOKUP($A65,'Full Sample-Single Family'!$A:$R,K$1,0),2)</f>
        <v>0.04</v>
      </c>
      <c r="L65" s="3" t="str">
        <f>FIXED(VLOOKUP($A65,'Full Sample-Single Family'!$A:$R,L$1,0),2)</f>
        <v>0.19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1-Single Family'!$A:$R,O$1,0),2)</f>
        <v>0.03</v>
      </c>
      <c r="P65" s="3" t="str">
        <f>FIXED(VLOOKUP($A65,'Small Sample 1-Single Family'!$A:$R,P$1,0),2)</f>
        <v>0.18</v>
      </c>
      <c r="Q65" s="3" t="str">
        <f>FIXED(VLOOKUP($A65,'Small Sample 1-Single Family'!$A:$R,Q$1,0),2)</f>
        <v>0.00</v>
      </c>
      <c r="R65" s="3" t="str">
        <f>FIXED(VLOOKUP($A65,'Small Sample 1-Single Family'!$A:$R,R$1,0),2)</f>
        <v>1.00</v>
      </c>
      <c r="S65" s="9" t="str">
        <f>FIXED(VLOOKUP($A65,'Small Sample 1-Single Family'!$A:$R,S$1,0),2)</f>
        <v>0.03</v>
      </c>
      <c r="T65" s="3" t="str">
        <f>FIXED(VLOOKUP($A65,'Small Sample 1-Single Family'!$A:$R,T$1,0),2)</f>
        <v>0.17</v>
      </c>
      <c r="U65" s="3" t="str">
        <f>FIXED(VLOOKUP($A65,'Small Sample 1-Single Family'!$A:$R,U$1,0),2)</f>
        <v>0.00</v>
      </c>
      <c r="V65" s="13" t="str">
        <f>FIXED(VLOOKUP($A65,'Small Sample 1-Single Family'!$A:$R,V$1,0),2)</f>
        <v>1.00</v>
      </c>
      <c r="W65" s="9" t="str">
        <f>FIXED(VLOOKUP($A65,'Small Sample 1-Single Family'!$A:$R,W$1,0),2)</f>
        <v>0.04</v>
      </c>
      <c r="X65" s="3" t="str">
        <f>FIXED(VLOOKUP($A65,'Small Sample 1-Single Family'!$A:$R,X$1,0),2)</f>
        <v>0.18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2-Single Family'!$A:$R,AA$1,0),2)</f>
        <v>0.03</v>
      </c>
      <c r="AB65" s="3" t="str">
        <f>FIXED(VLOOKUP($A65,'Small Sample 2-Single Family'!$A:$R,AB$1,0),2)</f>
        <v>0.18</v>
      </c>
      <c r="AC65" s="3" t="str">
        <f>FIXED(VLOOKUP($A65,'Small Sample 2-Single Family'!$A:$R,AC$1,0),2)</f>
        <v>0.00</v>
      </c>
      <c r="AD65" s="3" t="str">
        <f>FIXED(VLOOKUP($A65,'Small Sample 2-Single Family'!$A:$R,AD$1,0),2)</f>
        <v>1.00</v>
      </c>
      <c r="AE65" s="9" t="str">
        <f>FIXED(VLOOKUP($A65,'Small Sample 2-Single Family'!$A:$R,AE$1,0),2)</f>
        <v>0.03</v>
      </c>
      <c r="AF65" s="3" t="str">
        <f>FIXED(VLOOKUP($A65,'Small Sample 2-Single Family'!$A:$R,AF$1,0),2)</f>
        <v>0.17</v>
      </c>
      <c r="AG65" s="3" t="str">
        <f>FIXED(VLOOKUP($A65,'Small Sample 2-Single Family'!$A:$R,AG$1,0),2)</f>
        <v>0.00</v>
      </c>
      <c r="AH65" s="13" t="str">
        <f>FIXED(VLOOKUP($A65,'Small Sample 2-Single Family'!$A:$R,AH$1,0),2)</f>
        <v>1.00</v>
      </c>
      <c r="AI65" s="9" t="str">
        <f>FIXED(VLOOKUP($A65,'Small Sample 2-Single Family'!$A:$R,AI$1,0),2)</f>
        <v>0.04</v>
      </c>
      <c r="AJ65" s="3" t="str">
        <f>FIXED(VLOOKUP($A65,'Small Sample 2-Single Family'!$A:$R,AJ$1,0),2)</f>
        <v>0.19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23">
        <f>VLOOKUP($A66,'Full Sample-Single Family'!$A:$R,C$1,0)</f>
        <v>2.9999999999999997E-4</v>
      </c>
      <c r="D66" s="3" t="str">
        <f>FIXED(VLOOKUP($A66,'Full Sample-Single Family'!$A:$R,D$1,0),2)</f>
        <v>0.02</v>
      </c>
      <c r="E66" s="3" t="str">
        <f>FIXED(VLOOKUP($A66,'Full Sample-Single Family'!$A:$R,E$1,0),2)</f>
        <v>0.00</v>
      </c>
      <c r="F66" s="3" t="str">
        <f>FIXED(VLOOKUP($A66,'Full Sample-Single Family'!$A:$R,F$1,0),2)</f>
        <v>1.00</v>
      </c>
      <c r="G66" s="23">
        <f>VLOOKUP($A66,'Full Sample-Single Family'!$A:$R,G$1,0)</f>
        <v>5.0000000000000001E-4</v>
      </c>
      <c r="H66" s="3" t="str">
        <f>FIXED(VLOOKUP($A66,'Full Sample-Single Family'!$A:$R,H$1,0),2)</f>
        <v>0.02</v>
      </c>
      <c r="I66" s="3" t="str">
        <f>FIXED(VLOOKUP($A66,'Full Sample-Single Family'!$A:$R,I$1,0),2)</f>
        <v>0.00</v>
      </c>
      <c r="J66" s="13" t="str">
        <f>FIXED(VLOOKUP($A66,'Full Sample-Single Family'!$A:$R,J$1,0),2)</f>
        <v>1.00</v>
      </c>
      <c r="K66" s="23">
        <f>VLOOKUP($A66,'Full Sample-Single Family'!$A:$R,K$1,0)</f>
        <v>1E-4</v>
      </c>
      <c r="L66" s="3" t="str">
        <f>FIXED(VLOOKUP($A66,'Full Sample-Single Family'!$A:$R,L$1,0),2)</f>
        <v>0.01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23">
        <f>VLOOKUP($A66,'Small Sample 1-Single Family'!$A:$R,O$1,0)</f>
        <v>4.0000000000000002E-4</v>
      </c>
      <c r="P66" s="3" t="str">
        <f>FIXED(VLOOKUP($A66,'Small Sample 1-Single Family'!$A:$R,P$1,0),2)</f>
        <v>0.02</v>
      </c>
      <c r="Q66" s="3" t="str">
        <f>FIXED(VLOOKUP($A66,'Small Sample 1-Single Family'!$A:$R,Q$1,0),2)</f>
        <v>0.00</v>
      </c>
      <c r="R66" s="3" t="str">
        <f>FIXED(VLOOKUP($A66,'Small Sample 1-Single Family'!$A:$R,R$1,0),2)</f>
        <v>1.00</v>
      </c>
      <c r="S66" s="23">
        <f>VLOOKUP($A66,'Small Sample 1-Single Family'!$A:$R,S$1,0)</f>
        <v>1E-3</v>
      </c>
      <c r="T66" s="3" t="str">
        <f>FIXED(VLOOKUP($A66,'Small Sample 1-Single Family'!$A:$R,T$1,0),2)</f>
        <v>0.02</v>
      </c>
      <c r="U66" s="3" t="str">
        <f>FIXED(VLOOKUP($A66,'Small Sample 1-Single Family'!$A:$R,U$1,0),2)</f>
        <v>0.00</v>
      </c>
      <c r="V66" s="13" t="str">
        <f>FIXED(VLOOKUP($A66,'Small Sample 1-Single Family'!$A:$R,V$1,0),2)</f>
        <v>1.00</v>
      </c>
      <c r="W66" s="23">
        <f>VLOOKUP($A66,'Small Sample 1-Single Family'!$A:$R,W$1,0)</f>
        <v>1E-4</v>
      </c>
      <c r="X66" s="3" t="str">
        <f>FIXED(VLOOKUP($A66,'Small Sample 1-Single Family'!$A:$R,X$1,0),2)</f>
        <v>0.01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23">
        <f>VLOOKUP($A66,'Small Sample 2-Single Family'!$A:$R,AA$1,0)</f>
        <v>4.0000000000000002E-4</v>
      </c>
      <c r="AB66" s="3" t="str">
        <f>FIXED(VLOOKUP($A66,'Small Sample 2-Single Family'!$A:$R,AB$1,0),2)</f>
        <v>0.02</v>
      </c>
      <c r="AC66" s="3" t="str">
        <f>FIXED(VLOOKUP($A66,'Small Sample 2-Single Family'!$A:$R,AC$1,0),2)</f>
        <v>0.00</v>
      </c>
      <c r="AD66" s="3" t="str">
        <f>FIXED(VLOOKUP($A66,'Small Sample 2-Single Family'!$A:$R,AD$1,0),2)</f>
        <v>1.00</v>
      </c>
      <c r="AE66" s="23">
        <f>VLOOKUP($A66,'Small Sample 2-Single Family'!$A:$R,AE$1,0)</f>
        <v>5.0000000000000001E-4</v>
      </c>
      <c r="AF66" s="3" t="str">
        <f>FIXED(VLOOKUP($A66,'Small Sample 2-Single Family'!$A:$R,AF$1,0),2)</f>
        <v>0.02</v>
      </c>
      <c r="AG66" s="3" t="str">
        <f>FIXED(VLOOKUP($A66,'Small Sample 2-Single Family'!$A:$R,AG$1,0),2)</f>
        <v>0.00</v>
      </c>
      <c r="AH66" s="13" t="str">
        <f>FIXED(VLOOKUP($A66,'Small Sample 2-Single Family'!$A:$R,AH$1,0),2)</f>
        <v>1.00</v>
      </c>
      <c r="AI66" s="23">
        <f>VLOOKUP($A66,'Small Sample 2-Single Family'!$A:$R,AI$1,0)</f>
        <v>1E-4</v>
      </c>
      <c r="AJ66" s="3" t="str">
        <f>FIXED(VLOOKUP($A66,'Small Sample 2-Single Family'!$A:$R,AJ$1,0),2)</f>
        <v>0.01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23">
        <f>VLOOKUP($A67,'Full Sample-Single Family'!$A:$R,C$1,0)</f>
        <v>3.0000000000000001E-3</v>
      </c>
      <c r="D67" s="3" t="str">
        <f>FIXED(VLOOKUP($A67,'Full Sample-Single Family'!$A:$R,D$1,0),2)</f>
        <v>0.06</v>
      </c>
      <c r="E67" s="3" t="str">
        <f>FIXED(VLOOKUP($A67,'Full Sample-Single Family'!$A:$R,E$1,0),2)</f>
        <v>0.00</v>
      </c>
      <c r="F67" s="3" t="str">
        <f>FIXED(VLOOKUP($A67,'Full Sample-Single Family'!$A:$R,F$1,0),2)</f>
        <v>1.00</v>
      </c>
      <c r="G67" s="23">
        <f>VLOOKUP($A67,'Full Sample-Single Family'!$A:$R,G$1,0)</f>
        <v>3.0000000000000001E-3</v>
      </c>
      <c r="H67" s="3" t="str">
        <f>FIXED(VLOOKUP($A67,'Full Sample-Single Family'!$A:$R,H$1,0),2)</f>
        <v>0.06</v>
      </c>
      <c r="I67" s="3" t="str">
        <f>FIXED(VLOOKUP($A67,'Full Sample-Single Family'!$A:$R,I$1,0),2)</f>
        <v>0.00</v>
      </c>
      <c r="J67" s="13" t="str">
        <f>FIXED(VLOOKUP($A67,'Full Sample-Single Family'!$A:$R,J$1,0),2)</f>
        <v>1.00</v>
      </c>
      <c r="K67" s="23">
        <f>VLOOKUP($A67,'Full Sample-Single Family'!$A:$R,K$1,0)</f>
        <v>4.0000000000000001E-3</v>
      </c>
      <c r="L67" s="3" t="str">
        <f>FIXED(VLOOKUP($A67,'Full Sample-Single Family'!$A:$R,L$1,0),2)</f>
        <v>0.06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23">
        <f>VLOOKUP($A67,'Small Sample 1-Single Family'!$A:$R,O$1,0)</f>
        <v>3.0000000000000001E-3</v>
      </c>
      <c r="P67" s="3" t="str">
        <f>FIXED(VLOOKUP($A67,'Small Sample 1-Single Family'!$A:$R,P$1,0),2)</f>
        <v>0.06</v>
      </c>
      <c r="Q67" s="3" t="str">
        <f>FIXED(VLOOKUP($A67,'Small Sample 1-Single Family'!$A:$R,Q$1,0),2)</f>
        <v>0.00</v>
      </c>
      <c r="R67" s="3" t="str">
        <f>FIXED(VLOOKUP($A67,'Small Sample 1-Single Family'!$A:$R,R$1,0),2)</f>
        <v>1.00</v>
      </c>
      <c r="S67" s="23">
        <f>VLOOKUP($A67,'Small Sample 1-Single Family'!$A:$R,S$1,0)</f>
        <v>3.0000000000000001E-3</v>
      </c>
      <c r="T67" s="3" t="str">
        <f>FIXED(VLOOKUP($A67,'Small Sample 1-Single Family'!$A:$R,T$1,0),2)</f>
        <v>0.05</v>
      </c>
      <c r="U67" s="3" t="str">
        <f>FIXED(VLOOKUP($A67,'Small Sample 1-Single Family'!$A:$R,U$1,0),2)</f>
        <v>0.00</v>
      </c>
      <c r="V67" s="13" t="str">
        <f>FIXED(VLOOKUP($A67,'Small Sample 1-Single Family'!$A:$R,V$1,0),2)</f>
        <v>1.00</v>
      </c>
      <c r="W67" s="23">
        <f>VLOOKUP($A67,'Small Sample 1-Single Family'!$A:$R,W$1,0)</f>
        <v>4.0000000000000001E-3</v>
      </c>
      <c r="X67" s="3" t="str">
        <f>FIXED(VLOOKUP($A67,'Small Sample 1-Single Family'!$A:$R,X$1,0),2)</f>
        <v>0.06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23">
        <f>VLOOKUP($A67,'Small Sample 2-Single Family'!$A:$R,AA$1,0)</f>
        <v>3.0000000000000001E-3</v>
      </c>
      <c r="AB67" s="3" t="str">
        <f>FIXED(VLOOKUP($A67,'Small Sample 2-Single Family'!$A:$R,AB$1,0),2)</f>
        <v>0.06</v>
      </c>
      <c r="AC67" s="3" t="str">
        <f>FIXED(VLOOKUP($A67,'Small Sample 2-Single Family'!$A:$R,AC$1,0),2)</f>
        <v>0.00</v>
      </c>
      <c r="AD67" s="3" t="str">
        <f>FIXED(VLOOKUP($A67,'Small Sample 2-Single Family'!$A:$R,AD$1,0),2)</f>
        <v>1.00</v>
      </c>
      <c r="AE67" s="23">
        <f>VLOOKUP($A67,'Small Sample 2-Single Family'!$A:$R,AE$1,0)</f>
        <v>3.0000000000000001E-3</v>
      </c>
      <c r="AF67" s="3" t="str">
        <f>FIXED(VLOOKUP($A67,'Small Sample 2-Single Family'!$A:$R,AF$1,0),2)</f>
        <v>0.06</v>
      </c>
      <c r="AG67" s="3" t="str">
        <f>FIXED(VLOOKUP($A67,'Small Sample 2-Single Family'!$A:$R,AG$1,0),2)</f>
        <v>0.00</v>
      </c>
      <c r="AH67" s="13" t="str">
        <f>FIXED(VLOOKUP($A67,'Small Sample 2-Single Family'!$A:$R,AH$1,0),2)</f>
        <v>1.00</v>
      </c>
      <c r="AI67" s="23">
        <f>VLOOKUP($A67,'Small Sample 2-Single Family'!$A:$R,AI$1,0)</f>
        <v>3.0000000000000001E-3</v>
      </c>
      <c r="AJ67" s="3" t="str">
        <f>FIXED(VLOOKUP($A67,'Small Sample 2-Single Family'!$A:$R,AJ$1,0),2)</f>
        <v>0.05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23">
        <f>VLOOKUP($A68,'Full Sample-Single Family'!$A:$R,C$1,0)</f>
        <v>4.0000000000000001E-3</v>
      </c>
      <c r="D68" s="3" t="str">
        <f>FIXED(VLOOKUP($A68,'Full Sample-Single Family'!$A:$R,D$1,0),2)</f>
        <v>0.06</v>
      </c>
      <c r="E68" s="3" t="str">
        <f>FIXED(VLOOKUP($A68,'Full Sample-Single Family'!$A:$R,E$1,0),2)</f>
        <v>0.00</v>
      </c>
      <c r="F68" s="3" t="str">
        <f>FIXED(VLOOKUP($A68,'Full Sample-Single Family'!$A:$R,F$1,0),2)</f>
        <v>1.00</v>
      </c>
      <c r="G68" s="23">
        <f>VLOOKUP($A68,'Full Sample-Single Family'!$A:$R,G$1,0)</f>
        <v>4.0000000000000001E-3</v>
      </c>
      <c r="H68" s="3" t="str">
        <f>FIXED(VLOOKUP($A68,'Full Sample-Single Family'!$A:$R,H$1,0),2)</f>
        <v>0.06</v>
      </c>
      <c r="I68" s="3" t="str">
        <f>FIXED(VLOOKUP($A68,'Full Sample-Single Family'!$A:$R,I$1,0),2)</f>
        <v>0.00</v>
      </c>
      <c r="J68" s="13" t="str">
        <f>FIXED(VLOOKUP($A68,'Full Sample-Single Family'!$A:$R,J$1,0),2)</f>
        <v>1.00</v>
      </c>
      <c r="K68" s="23">
        <f>VLOOKUP($A68,'Full Sample-Single Family'!$A:$R,K$1,0)</f>
        <v>4.0000000000000001E-3</v>
      </c>
      <c r="L68" s="3" t="str">
        <f>FIXED(VLOOKUP($A68,'Full Sample-Single Family'!$A:$R,L$1,0),2)</f>
        <v>0.06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23">
        <f>VLOOKUP($A68,'Small Sample 1-Single Family'!$A:$R,O$1,0)</f>
        <v>4.0000000000000001E-3</v>
      </c>
      <c r="P68" s="3" t="str">
        <f>FIXED(VLOOKUP($A68,'Small Sample 1-Single Family'!$A:$R,P$1,0),2)</f>
        <v>0.06</v>
      </c>
      <c r="Q68" s="3" t="str">
        <f>FIXED(VLOOKUP($A68,'Small Sample 1-Single Family'!$A:$R,Q$1,0),2)</f>
        <v>0.00</v>
      </c>
      <c r="R68" s="3" t="str">
        <f>FIXED(VLOOKUP($A68,'Small Sample 1-Single Family'!$A:$R,R$1,0),2)</f>
        <v>1.00</v>
      </c>
      <c r="S68" s="23">
        <f>VLOOKUP($A68,'Small Sample 1-Single Family'!$A:$R,S$1,0)</f>
        <v>4.0000000000000001E-3</v>
      </c>
      <c r="T68" s="3" t="str">
        <f>FIXED(VLOOKUP($A68,'Small Sample 1-Single Family'!$A:$R,T$1,0),2)</f>
        <v>0.06</v>
      </c>
      <c r="U68" s="3" t="str">
        <f>FIXED(VLOOKUP($A68,'Small Sample 1-Single Family'!$A:$R,U$1,0),2)</f>
        <v>0.00</v>
      </c>
      <c r="V68" s="13" t="str">
        <f>FIXED(VLOOKUP($A68,'Small Sample 1-Single Family'!$A:$R,V$1,0),2)</f>
        <v>1.00</v>
      </c>
      <c r="W68" s="23">
        <f>VLOOKUP($A68,'Small Sample 1-Single Family'!$A:$R,W$1,0)</f>
        <v>4.0000000000000001E-3</v>
      </c>
      <c r="X68" s="3" t="str">
        <f>FIXED(VLOOKUP($A68,'Small Sample 1-Single Family'!$A:$R,X$1,0),2)</f>
        <v>0.06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23">
        <f>VLOOKUP($A68,'Small Sample 2-Single Family'!$A:$R,AA$1,0)</f>
        <v>4.0000000000000001E-3</v>
      </c>
      <c r="AB68" s="3" t="str">
        <f>FIXED(VLOOKUP($A68,'Small Sample 2-Single Family'!$A:$R,AB$1,0),2)</f>
        <v>0.06</v>
      </c>
      <c r="AC68" s="3" t="str">
        <f>FIXED(VLOOKUP($A68,'Small Sample 2-Single Family'!$A:$R,AC$1,0),2)</f>
        <v>0.00</v>
      </c>
      <c r="AD68" s="3" t="str">
        <f>FIXED(VLOOKUP($A68,'Small Sample 2-Single Family'!$A:$R,AD$1,0),2)</f>
        <v>1.00</v>
      </c>
      <c r="AE68" s="23">
        <f>VLOOKUP($A68,'Small Sample 2-Single Family'!$A:$R,AE$1,0)</f>
        <v>4.0000000000000001E-3</v>
      </c>
      <c r="AF68" s="3" t="str">
        <f>FIXED(VLOOKUP($A68,'Small Sample 2-Single Family'!$A:$R,AF$1,0),2)</f>
        <v>0.06</v>
      </c>
      <c r="AG68" s="3" t="str">
        <f>FIXED(VLOOKUP($A68,'Small Sample 2-Single Family'!$A:$R,AG$1,0),2)</f>
        <v>0.00</v>
      </c>
      <c r="AH68" s="13" t="str">
        <f>FIXED(VLOOKUP($A68,'Small Sample 2-Single Family'!$A:$R,AH$1,0),2)</f>
        <v>1.00</v>
      </c>
      <c r="AI68" s="23">
        <f>VLOOKUP($A68,'Small Sample 2-Single Family'!$A:$R,AI$1,0)</f>
        <v>4.0000000000000001E-3</v>
      </c>
      <c r="AJ68" s="3" t="str">
        <f>FIXED(VLOOKUP($A68,'Small Sample 2-Single Family'!$A:$R,AJ$1,0),2)</f>
        <v>0.06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Sample-Single Family'!$A:$R,C$1,0),2)</f>
        <v>0.55</v>
      </c>
      <c r="D69" s="3" t="str">
        <f>FIXED(VLOOKUP($A69,'Full Sample-Single Family'!$A:$R,D$1,0),2)</f>
        <v>0.50</v>
      </c>
      <c r="E69" s="3" t="str">
        <f>FIXED(VLOOKUP($A69,'Full Sample-Single Family'!$A:$R,E$1,0),2)</f>
        <v>0.00</v>
      </c>
      <c r="F69" s="3" t="str">
        <f>FIXED(VLOOKUP($A69,'Full Sample-Single Family'!$A:$R,F$1,0),2)</f>
        <v>1.00</v>
      </c>
      <c r="G69" s="9" t="str">
        <f>FIXED(VLOOKUP($A69,'Full Sample-Single Family'!$A:$R,G$1,0),2)</f>
        <v>0.56</v>
      </c>
      <c r="H69" s="3" t="str">
        <f>FIXED(VLOOKUP($A69,'Full Sample-Single Family'!$A:$R,H$1,0),2)</f>
        <v>0.50</v>
      </c>
      <c r="I69" s="3" t="str">
        <f>FIXED(VLOOKUP($A69,'Full Sample-Single Family'!$A:$R,I$1,0),2)</f>
        <v>0.00</v>
      </c>
      <c r="J69" s="13" t="str">
        <f>FIXED(VLOOKUP($A69,'Full Sample-Single Family'!$A:$R,J$1,0),2)</f>
        <v>1.00</v>
      </c>
      <c r="K69" s="9" t="str">
        <f>FIXED(VLOOKUP($A69,'Full Sample-Single Family'!$A:$R,K$1,0),2)</f>
        <v>0.53</v>
      </c>
      <c r="L69" s="3" t="str">
        <f>FIXED(VLOOKUP($A69,'Full Sample-Single Family'!$A:$R,L$1,0),2)</f>
        <v>0.50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1-Single Family'!$A:$R,O$1,0),2)</f>
        <v>0.54</v>
      </c>
      <c r="P69" s="3" t="str">
        <f>FIXED(VLOOKUP($A69,'Small Sample 1-Single Family'!$A:$R,P$1,0),2)</f>
        <v>0.50</v>
      </c>
      <c r="Q69" s="3" t="str">
        <f>FIXED(VLOOKUP($A69,'Small Sample 1-Single Family'!$A:$R,Q$1,0),2)</f>
        <v>0.00</v>
      </c>
      <c r="R69" s="3" t="str">
        <f>FIXED(VLOOKUP($A69,'Small Sample 1-Single Family'!$A:$R,R$1,0),2)</f>
        <v>1.00</v>
      </c>
      <c r="S69" s="9" t="str">
        <f>FIXED(VLOOKUP($A69,'Small Sample 1-Single Family'!$A:$R,S$1,0),2)</f>
        <v>0.55</v>
      </c>
      <c r="T69" s="3" t="str">
        <f>FIXED(VLOOKUP($A69,'Small Sample 1-Single Family'!$A:$R,T$1,0),2)</f>
        <v>0.50</v>
      </c>
      <c r="U69" s="3" t="str">
        <f>FIXED(VLOOKUP($A69,'Small Sample 1-Single Family'!$A:$R,U$1,0),2)</f>
        <v>0.00</v>
      </c>
      <c r="V69" s="13" t="str">
        <f>FIXED(VLOOKUP($A69,'Small Sample 1-Single Family'!$A:$R,V$1,0),2)</f>
        <v>1.00</v>
      </c>
      <c r="W69" s="9" t="str">
        <f>FIXED(VLOOKUP($A69,'Small Sample 1-Single Family'!$A:$R,W$1,0),2)</f>
        <v>0.53</v>
      </c>
      <c r="X69" s="3" t="str">
        <f>FIXED(VLOOKUP($A69,'Small Sample 1-Single Family'!$A:$R,X$1,0),2)</f>
        <v>0.50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2-Single Family'!$A:$R,AA$1,0),2)</f>
        <v>0.54</v>
      </c>
      <c r="AB69" s="3" t="str">
        <f>FIXED(VLOOKUP($A69,'Small Sample 2-Single Family'!$A:$R,AB$1,0),2)</f>
        <v>0.50</v>
      </c>
      <c r="AC69" s="3" t="str">
        <f>FIXED(VLOOKUP($A69,'Small Sample 2-Single Family'!$A:$R,AC$1,0),2)</f>
        <v>0.00</v>
      </c>
      <c r="AD69" s="3" t="str">
        <f>FIXED(VLOOKUP($A69,'Small Sample 2-Single Family'!$A:$R,AD$1,0),2)</f>
        <v>1.00</v>
      </c>
      <c r="AE69" s="9" t="str">
        <f>FIXED(VLOOKUP($A69,'Small Sample 2-Single Family'!$A:$R,AE$1,0),2)</f>
        <v>0.56</v>
      </c>
      <c r="AF69" s="3" t="str">
        <f>FIXED(VLOOKUP($A69,'Small Sample 2-Single Family'!$A:$R,AF$1,0),2)</f>
        <v>0.50</v>
      </c>
      <c r="AG69" s="3" t="str">
        <f>FIXED(VLOOKUP($A69,'Small Sample 2-Single Family'!$A:$R,AG$1,0),2)</f>
        <v>0.00</v>
      </c>
      <c r="AH69" s="13" t="str">
        <f>FIXED(VLOOKUP($A69,'Small Sample 2-Single Family'!$A:$R,AH$1,0),2)</f>
        <v>1.00</v>
      </c>
      <c r="AI69" s="9" t="str">
        <f>FIXED(VLOOKUP($A69,'Small Sample 2-Single Family'!$A:$R,AI$1,0),2)</f>
        <v>0.50</v>
      </c>
      <c r="AJ69" s="3" t="str">
        <f>FIXED(VLOOKUP($A69,'Small Sample 2-Single Family'!$A:$R,AJ$1,0),2)</f>
        <v>0.50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Sample-Single Family'!$A:$R,C$1,0),2)</f>
        <v>0.01</v>
      </c>
      <c r="D70" s="3" t="str">
        <f>FIXED(VLOOKUP($A70,'Full Sample-Single Family'!$A:$R,D$1,0),2)</f>
        <v>0.09</v>
      </c>
      <c r="E70" s="3" t="str">
        <f>FIXED(VLOOKUP($A70,'Full Sample-Single Family'!$A:$R,E$1,0),2)</f>
        <v>0.00</v>
      </c>
      <c r="F70" s="3" t="str">
        <f>FIXED(VLOOKUP($A70,'Full Sample-Single Family'!$A:$R,F$1,0),2)</f>
        <v>1.00</v>
      </c>
      <c r="G70" s="9" t="str">
        <f>FIXED(VLOOKUP($A70,'Full Sample-Single Family'!$A:$R,G$1,0),2)</f>
        <v>0.01</v>
      </c>
      <c r="H70" s="3" t="str">
        <f>FIXED(VLOOKUP($A70,'Full Sample-Single Family'!$A:$R,H$1,0),2)</f>
        <v>0.08</v>
      </c>
      <c r="I70" s="3" t="str">
        <f>FIXED(VLOOKUP($A70,'Full Sample-Single Family'!$A:$R,I$1,0),2)</f>
        <v>0.00</v>
      </c>
      <c r="J70" s="13" t="str">
        <f>FIXED(VLOOKUP($A70,'Full Sample-Single Family'!$A:$R,J$1,0),2)</f>
        <v>1.00</v>
      </c>
      <c r="K70" s="9" t="str">
        <f>FIXED(VLOOKUP($A70,'Full Sample-Single Family'!$A:$R,K$1,0),2)</f>
        <v>0.01</v>
      </c>
      <c r="L70" s="3" t="str">
        <f>FIXED(VLOOKUP($A70,'Full Sample-Single Family'!$A:$R,L$1,0),2)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1-Single Family'!$A:$R,O$1,0),2)</f>
        <v>0.01</v>
      </c>
      <c r="P70" s="3" t="str">
        <f>FIXED(VLOOKUP($A70,'Small Sample 1-Single Family'!$A:$R,P$1,0),2)</f>
        <v>0.09</v>
      </c>
      <c r="Q70" s="3" t="str">
        <f>FIXED(VLOOKUP($A70,'Small Sample 1-Single Family'!$A:$R,Q$1,0),2)</f>
        <v>0.00</v>
      </c>
      <c r="R70" s="3" t="str">
        <f>FIXED(VLOOKUP($A70,'Small Sample 1-Single Family'!$A:$R,R$1,0),2)</f>
        <v>1.00</v>
      </c>
      <c r="S70" s="9" t="str">
        <f>FIXED(VLOOKUP($A70,'Small Sample 1-Single Family'!$A:$R,S$1,0),2)</f>
        <v>0.01</v>
      </c>
      <c r="T70" s="3" t="str">
        <f>FIXED(VLOOKUP($A70,'Small Sample 1-Single Family'!$A:$R,T$1,0),2)</f>
        <v>0.08</v>
      </c>
      <c r="U70" s="3" t="str">
        <f>FIXED(VLOOKUP($A70,'Small Sample 1-Single Family'!$A:$R,U$1,0),2)</f>
        <v>0.00</v>
      </c>
      <c r="V70" s="13" t="str">
        <f>FIXED(VLOOKUP($A70,'Small Sample 1-Single Family'!$A:$R,V$1,0),2)</f>
        <v>1.00</v>
      </c>
      <c r="W70" s="9" t="str">
        <f>FIXED(VLOOKUP($A70,'Small Sample 1-Single Family'!$A:$R,W$1,0),2)</f>
        <v>0.01</v>
      </c>
      <c r="X70" s="3" t="str">
        <f>FIXED(VLOOKUP($A70,'Small Sample 1-Single Family'!$A:$R,X$1,0),2)</f>
        <v>0.10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2-Single Family'!$A:$R,AA$1,0),2)</f>
        <v>0.01</v>
      </c>
      <c r="AB70" s="3" t="str">
        <f>FIXED(VLOOKUP($A70,'Small Sample 2-Single Family'!$A:$R,AB$1,0),2)</f>
        <v>0.09</v>
      </c>
      <c r="AC70" s="3" t="str">
        <f>FIXED(VLOOKUP($A70,'Small Sample 2-Single Family'!$A:$R,AC$1,0),2)</f>
        <v>0.00</v>
      </c>
      <c r="AD70" s="3" t="str">
        <f>FIXED(VLOOKUP($A70,'Small Sample 2-Single Family'!$A:$R,AD$1,0),2)</f>
        <v>1.00</v>
      </c>
      <c r="AE70" s="9" t="str">
        <f>FIXED(VLOOKUP($A70,'Small Sample 2-Single Family'!$A:$R,AE$1,0),2)</f>
        <v>0.01</v>
      </c>
      <c r="AF70" s="3" t="str">
        <f>FIXED(VLOOKUP($A70,'Small Sample 2-Single Family'!$A:$R,AF$1,0),2)</f>
        <v>0.08</v>
      </c>
      <c r="AG70" s="3" t="str">
        <f>FIXED(VLOOKUP($A70,'Small Sample 2-Single Family'!$A:$R,AG$1,0),2)</f>
        <v>0.00</v>
      </c>
      <c r="AH70" s="13" t="str">
        <f>FIXED(VLOOKUP($A70,'Small Sample 2-Single Family'!$A:$R,AH$1,0),2)</f>
        <v>1.00</v>
      </c>
      <c r="AI70" s="9" t="str">
        <f>FIXED(VLOOKUP($A70,'Small Sample 2-Single Family'!$A:$R,AI$1,0),2)</f>
        <v>0.01</v>
      </c>
      <c r="AJ70" s="3" t="str">
        <f>FIXED(VLOOKUP($A70,'Small Sample 2-Single Family'!$A:$R,AJ$1,0),2)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Sample-Single Family'!$A:$R,C$1,0),2)</f>
        <v>0.40</v>
      </c>
      <c r="D71" s="3" t="str">
        <f>FIXED(VLOOKUP($A71,'Full Sample-Single Family'!$A:$R,D$1,0),2)</f>
        <v>0.49</v>
      </c>
      <c r="E71" s="3" t="str">
        <f>FIXED(VLOOKUP($A71,'Full Sample-Single Family'!$A:$R,E$1,0),2)</f>
        <v>0.00</v>
      </c>
      <c r="F71" s="3" t="str">
        <f>FIXED(VLOOKUP($A71,'Full Sample-Single Family'!$A:$R,F$1,0),2)</f>
        <v>1.00</v>
      </c>
      <c r="G71" s="9" t="str">
        <f>FIXED(VLOOKUP($A71,'Full Sample-Single Family'!$A:$R,G$1,0),2)</f>
        <v>0.39</v>
      </c>
      <c r="H71" s="3" t="str">
        <f>FIXED(VLOOKUP($A71,'Full Sample-Single Family'!$A:$R,H$1,0),2)</f>
        <v>0.49</v>
      </c>
      <c r="I71" s="3" t="str">
        <f>FIXED(VLOOKUP($A71,'Full Sample-Single Family'!$A:$R,I$1,0),2)</f>
        <v>0.00</v>
      </c>
      <c r="J71" s="13" t="str">
        <f>FIXED(VLOOKUP($A71,'Full Sample-Single Family'!$A:$R,J$1,0),2)</f>
        <v>1.00</v>
      </c>
      <c r="K71" s="9" t="str">
        <f>FIXED(VLOOKUP($A71,'Full Sample-Single Family'!$A:$R,K$1,0),2)</f>
        <v>0.42</v>
      </c>
      <c r="L71" s="3" t="str">
        <f>FIXED(VLOOKUP($A71,'Full Sample-Single Family'!$A:$R,L$1,0),2)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1-Single Family'!$A:$R,O$1,0),2)</f>
        <v>0.42</v>
      </c>
      <c r="P71" s="3" t="str">
        <f>FIXED(VLOOKUP($A71,'Small Sample 1-Single Family'!$A:$R,P$1,0),2)</f>
        <v>0.49</v>
      </c>
      <c r="Q71" s="3" t="str">
        <f>FIXED(VLOOKUP($A71,'Small Sample 1-Single Family'!$A:$R,Q$1,0),2)</f>
        <v>0.00</v>
      </c>
      <c r="R71" s="3" t="str">
        <f>FIXED(VLOOKUP($A71,'Small Sample 1-Single Family'!$A:$R,R$1,0),2)</f>
        <v>1.00</v>
      </c>
      <c r="S71" s="9" t="str">
        <f>FIXED(VLOOKUP($A71,'Small Sample 1-Single Family'!$A:$R,S$1,0),2)</f>
        <v>0.41</v>
      </c>
      <c r="T71" s="3" t="str">
        <f>FIXED(VLOOKUP($A71,'Small Sample 1-Single Family'!$A:$R,T$1,0),2)</f>
        <v>0.49</v>
      </c>
      <c r="U71" s="3" t="str">
        <f>FIXED(VLOOKUP($A71,'Small Sample 1-Single Family'!$A:$R,U$1,0),2)</f>
        <v>0.00</v>
      </c>
      <c r="V71" s="13" t="str">
        <f>FIXED(VLOOKUP($A71,'Small Sample 1-Single Family'!$A:$R,V$1,0),2)</f>
        <v>1.00</v>
      </c>
      <c r="W71" s="9" t="str">
        <f>FIXED(VLOOKUP($A71,'Small Sample 1-Single Family'!$A:$R,W$1,0),2)</f>
        <v>0.42</v>
      </c>
      <c r="X71" s="3" t="str">
        <f>FIXED(VLOOKUP($A71,'Small Sample 1-Single Family'!$A:$R,X$1,0),2)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2-Single Family'!$A:$R,AA$1,0),2)</f>
        <v>0.42</v>
      </c>
      <c r="AB71" s="3" t="str">
        <f>FIXED(VLOOKUP($A71,'Small Sample 2-Single Family'!$A:$R,AB$1,0),2)</f>
        <v>0.49</v>
      </c>
      <c r="AC71" s="3" t="str">
        <f>FIXED(VLOOKUP($A71,'Small Sample 2-Single Family'!$A:$R,AC$1,0),2)</f>
        <v>0.00</v>
      </c>
      <c r="AD71" s="3" t="str">
        <f>FIXED(VLOOKUP($A71,'Small Sample 2-Single Family'!$A:$R,AD$1,0),2)</f>
        <v>1.00</v>
      </c>
      <c r="AE71" s="9" t="str">
        <f>FIXED(VLOOKUP($A71,'Small Sample 2-Single Family'!$A:$R,AE$1,0),2)</f>
        <v>0.40</v>
      </c>
      <c r="AF71" s="3" t="str">
        <f>FIXED(VLOOKUP($A71,'Small Sample 2-Single Family'!$A:$R,AF$1,0),2)</f>
        <v>0.49</v>
      </c>
      <c r="AG71" s="3" t="str">
        <f>FIXED(VLOOKUP($A71,'Small Sample 2-Single Family'!$A:$R,AG$1,0),2)</f>
        <v>0.00</v>
      </c>
      <c r="AH71" s="13" t="str">
        <f>FIXED(VLOOKUP($A71,'Small Sample 2-Single Family'!$A:$R,AH$1,0),2)</f>
        <v>1.00</v>
      </c>
      <c r="AI71" s="9" t="str">
        <f>FIXED(VLOOKUP($A71,'Small Sample 2-Single Family'!$A:$R,AI$1,0),2)</f>
        <v>0.45</v>
      </c>
      <c r="AJ71" s="3" t="str">
        <f>FIXED(VLOOKUP($A71,'Small Sample 2-Single Family'!$A:$R,AJ$1,0),2)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Sample-Single Family'!$A:$R,C$1,0),2)</f>
        <v>0.22</v>
      </c>
      <c r="D72" s="3" t="str">
        <f>FIXED(VLOOKUP($A72,'Full Sample-Single Family'!$A:$R,D$1,0),2)</f>
        <v>0.16</v>
      </c>
      <c r="E72" s="3" t="str">
        <f>FIXED(VLOOKUP($A72,'Full Sample-Single Family'!$A:$R,E$1,0),2)</f>
        <v>0.00</v>
      </c>
      <c r="F72" s="3" t="str">
        <f>FIXED(VLOOKUP($A72,'Full Sample-Single Family'!$A:$R,F$1,0),2)</f>
        <v>0.92</v>
      </c>
      <c r="G72" s="9" t="str">
        <f>FIXED(VLOOKUP($A72,'Full Sample-Single Family'!$A:$R,G$1,0),2)</f>
        <v>0.22</v>
      </c>
      <c r="H72" s="3" t="str">
        <f>FIXED(VLOOKUP($A72,'Full Sample-Single Family'!$A:$R,H$1,0),2)</f>
        <v>0.15</v>
      </c>
      <c r="I72" s="3" t="str">
        <f>FIXED(VLOOKUP($A72,'Full Sample-Single Family'!$A:$R,I$1,0),2)</f>
        <v>0.00</v>
      </c>
      <c r="J72" s="13" t="str">
        <f>FIXED(VLOOKUP($A72,'Full Sample-Single Family'!$A:$R,J$1,0),2)</f>
        <v>0.86</v>
      </c>
      <c r="K72" s="9" t="str">
        <f>FIXED(VLOOKUP($A72,'Full Sample-Single Family'!$A:$R,K$1,0),2)</f>
        <v>0.22</v>
      </c>
      <c r="L72" s="3" t="str">
        <f>FIXED(VLOOKUP($A72,'Full Sample-Single Family'!$A:$R,L$1,0),2)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0.92</v>
      </c>
      <c r="O72" s="9" t="str">
        <f>FIXED(VLOOKUP($A72,'Small Sample 1-Single Family'!$A:$R,O$1,0),2)</f>
        <v>0.22</v>
      </c>
      <c r="P72" s="3" t="str">
        <f>FIXED(VLOOKUP($A72,'Small Sample 1-Single Family'!$A:$R,P$1,0),2)</f>
        <v>0.16</v>
      </c>
      <c r="Q72" s="3" t="str">
        <f>FIXED(VLOOKUP($A72,'Small Sample 1-Single Family'!$A:$R,Q$1,0),2)</f>
        <v>0.00</v>
      </c>
      <c r="R72" s="3" t="str">
        <f>FIXED(VLOOKUP($A72,'Small Sample 1-Single Family'!$A:$R,R$1,0),2)</f>
        <v>0.92</v>
      </c>
      <c r="S72" s="9" t="str">
        <f>FIXED(VLOOKUP($A72,'Small Sample 1-Single Family'!$A:$R,S$1,0),2)</f>
        <v>0.22</v>
      </c>
      <c r="T72" s="3" t="str">
        <f>FIXED(VLOOKUP($A72,'Small Sample 1-Single Family'!$A:$R,T$1,0),2)</f>
        <v>0.15</v>
      </c>
      <c r="U72" s="3" t="str">
        <f>FIXED(VLOOKUP($A72,'Small Sample 1-Single Family'!$A:$R,U$1,0),2)</f>
        <v>0.00</v>
      </c>
      <c r="V72" s="13" t="str">
        <f>FIXED(VLOOKUP($A72,'Small Sample 1-Single Family'!$A:$R,V$1,0),2)</f>
        <v>0.86</v>
      </c>
      <c r="W72" s="9" t="str">
        <f>FIXED(VLOOKUP($A72,'Small Sample 1-Single Family'!$A:$R,W$1,0),2)</f>
        <v>0.22</v>
      </c>
      <c r="X72" s="3" t="str">
        <f>FIXED(VLOOKUP($A72,'Small Sample 1-Single Family'!$A:$R,X$1,0),2)</f>
        <v>0.16</v>
      </c>
      <c r="Y72" s="3" t="str">
        <f>FIXED(VLOOKUP($A72,'Small Sample 1-No Sub'!$A:$R,Y$1,0),2)</f>
        <v>0.00</v>
      </c>
      <c r="Z72" s="3" t="str">
        <f>FIXED(VLOOKUP($A72,'Small Sample 1-No Sub'!$A:$R,Z$1,0),2)</f>
        <v>0.92</v>
      </c>
      <c r="AA72" s="9" t="str">
        <f>FIXED(VLOOKUP($A72,'Small Sample 2-Single Family'!$A:$R,AA$1,0),2)</f>
        <v>0.22</v>
      </c>
      <c r="AB72" s="3" t="str">
        <f>FIXED(VLOOKUP($A72,'Small Sample 2-Single Family'!$A:$R,AB$1,0),2)</f>
        <v>0.16</v>
      </c>
      <c r="AC72" s="3" t="str">
        <f>FIXED(VLOOKUP($A72,'Small Sample 2-Single Family'!$A:$R,AC$1,0),2)</f>
        <v>0.00</v>
      </c>
      <c r="AD72" s="3" t="str">
        <f>FIXED(VLOOKUP($A72,'Small Sample 2-Single Family'!$A:$R,AD$1,0),2)</f>
        <v>0.92</v>
      </c>
      <c r="AE72" s="9" t="str">
        <f>FIXED(VLOOKUP($A72,'Small Sample 2-Single Family'!$A:$R,AE$1,0),2)</f>
        <v>0.22</v>
      </c>
      <c r="AF72" s="3" t="str">
        <f>FIXED(VLOOKUP($A72,'Small Sample 2-Single Family'!$A:$R,AF$1,0),2)</f>
        <v>0.15</v>
      </c>
      <c r="AG72" s="3" t="str">
        <f>FIXED(VLOOKUP($A72,'Small Sample 2-Single Family'!$A:$R,AG$1,0),2)</f>
        <v>0.00</v>
      </c>
      <c r="AH72" s="13" t="str">
        <f>FIXED(VLOOKUP($A72,'Small Sample 2-Single Family'!$A:$R,AH$1,0),2)</f>
        <v>0.86</v>
      </c>
      <c r="AI72" s="9" t="str">
        <f>FIXED(VLOOKUP($A72,'Small Sample 2-Single Family'!$A:$R,AI$1,0),2)</f>
        <v>0.21</v>
      </c>
      <c r="AJ72" s="3" t="str">
        <f>FIXED(VLOOKUP($A72,'Small Sample 2-Single Family'!$A:$R,AJ$1,0),2)</f>
        <v>0.17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Sample-Single Family'!$A:$R,C$1,0),2)</f>
        <v>0.02</v>
      </c>
      <c r="D73" s="3" t="str">
        <f>FIXED(VLOOKUP($A73,'Full Sample-Single Family'!$A:$R,D$1,0),2)</f>
        <v>0.03</v>
      </c>
      <c r="E73" s="3" t="str">
        <f>FIXED(VLOOKUP($A73,'Full Sample-Single Family'!$A:$R,E$1,0),2)</f>
        <v>0.00</v>
      </c>
      <c r="F73" s="3" t="str">
        <f>FIXED(VLOOKUP($A73,'Full Sample-Single Family'!$A:$R,F$1,0),2)</f>
        <v>0.36</v>
      </c>
      <c r="G73" s="9" t="str">
        <f>FIXED(VLOOKUP($A73,'Full Sample-Single Family'!$A:$R,G$1,0),2)</f>
        <v>0.02</v>
      </c>
      <c r="H73" s="3" t="str">
        <f>FIXED(VLOOKUP($A73,'Full Sample-Single Family'!$A:$R,H$1,0),2)</f>
        <v>0.03</v>
      </c>
      <c r="I73" s="3" t="str">
        <f>FIXED(VLOOKUP($A73,'Full Sample-Single Family'!$A:$R,I$1,0),2)</f>
        <v>0.00</v>
      </c>
      <c r="J73" s="13" t="str">
        <f>FIXED(VLOOKUP($A73,'Full Sample-Single Family'!$A:$R,J$1,0),2)</f>
        <v>0.36</v>
      </c>
      <c r="K73" s="9" t="str">
        <f>FIXED(VLOOKUP($A73,'Full Sample-Single Family'!$A:$R,K$1,0),2)</f>
        <v>0.02</v>
      </c>
      <c r="L73" s="3" t="str">
        <f>FIXED(VLOOKUP($A73,'Full Sample-Single Family'!$A:$R,L$1,0),2)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0.78</v>
      </c>
      <c r="O73" s="9" t="str">
        <f>FIXED(VLOOKUP($A73,'Small Sample 1-Single Family'!$A:$R,O$1,0),2)</f>
        <v>0.02</v>
      </c>
      <c r="P73" s="3" t="str">
        <f>FIXED(VLOOKUP($A73,'Small Sample 1-Single Family'!$A:$R,P$1,0),2)</f>
        <v>0.03</v>
      </c>
      <c r="Q73" s="3" t="str">
        <f>FIXED(VLOOKUP($A73,'Small Sample 1-Single Family'!$A:$R,Q$1,0),2)</f>
        <v>0.00</v>
      </c>
      <c r="R73" s="3" t="str">
        <f>FIXED(VLOOKUP($A73,'Small Sample 1-Single Family'!$A:$R,R$1,0),2)</f>
        <v>0.36</v>
      </c>
      <c r="S73" s="9" t="str">
        <f>FIXED(VLOOKUP($A73,'Small Sample 1-Single Family'!$A:$R,S$1,0),2)</f>
        <v>0.02</v>
      </c>
      <c r="T73" s="3" t="str">
        <f>FIXED(VLOOKUP($A73,'Small Sample 1-Single Family'!$A:$R,T$1,0),2)</f>
        <v>0.03</v>
      </c>
      <c r="U73" s="3" t="str">
        <f>FIXED(VLOOKUP($A73,'Small Sample 1-Single Family'!$A:$R,U$1,0),2)</f>
        <v>0.00</v>
      </c>
      <c r="V73" s="13" t="str">
        <f>FIXED(VLOOKUP($A73,'Small Sample 1-Single Family'!$A:$R,V$1,0),2)</f>
        <v>0.36</v>
      </c>
      <c r="W73" s="9" t="str">
        <f>FIXED(VLOOKUP($A73,'Small Sample 1-Single Family'!$A:$R,W$1,0),2)</f>
        <v>0.02</v>
      </c>
      <c r="X73" s="3" t="str">
        <f>FIXED(VLOOKUP($A73,'Small Sample 1-Single Family'!$A:$R,X$1,0),2)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0.78</v>
      </c>
      <c r="AA73" s="9" t="str">
        <f>FIXED(VLOOKUP($A73,'Small Sample 2-Single Family'!$A:$R,AA$1,0),2)</f>
        <v>0.02</v>
      </c>
      <c r="AB73" s="3" t="str">
        <f>FIXED(VLOOKUP($A73,'Small Sample 2-Single Family'!$A:$R,AB$1,0),2)</f>
        <v>0.03</v>
      </c>
      <c r="AC73" s="3" t="str">
        <f>FIXED(VLOOKUP($A73,'Small Sample 2-Single Family'!$A:$R,AC$1,0),2)</f>
        <v>0.00</v>
      </c>
      <c r="AD73" s="3" t="str">
        <f>FIXED(VLOOKUP($A73,'Small Sample 2-Single Family'!$A:$R,AD$1,0),2)</f>
        <v>0.36</v>
      </c>
      <c r="AE73" s="9" t="str">
        <f>FIXED(VLOOKUP($A73,'Small Sample 2-Single Family'!$A:$R,AE$1,0),2)</f>
        <v>0.02</v>
      </c>
      <c r="AF73" s="3" t="str">
        <f>FIXED(VLOOKUP($A73,'Small Sample 2-Single Family'!$A:$R,AF$1,0),2)</f>
        <v>0.03</v>
      </c>
      <c r="AG73" s="3" t="str">
        <f>FIXED(VLOOKUP($A73,'Small Sample 2-Single Family'!$A:$R,AG$1,0),2)</f>
        <v>0.00</v>
      </c>
      <c r="AH73" s="13" t="str">
        <f>FIXED(VLOOKUP($A73,'Small Sample 2-Single Family'!$A:$R,AH$1,0),2)</f>
        <v>0.36</v>
      </c>
      <c r="AI73" s="9" t="str">
        <f>FIXED(VLOOKUP($A73,'Small Sample 2-Single Family'!$A:$R,AI$1,0),2)</f>
        <v>0.02</v>
      </c>
      <c r="AJ73" s="3" t="str">
        <f>FIXED(VLOOKUP($A73,'Small Sample 2-Single Family'!$A:$R,AJ$1,0),2)</f>
        <v>0.03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Sample-Single Family'!$A:$R,C$1,0),2)</f>
        <v>0.41</v>
      </c>
      <c r="D74" s="3" t="str">
        <f>FIXED(VLOOKUP($A74,'Full Sample-Single Family'!$A:$R,D$1,0),2)</f>
        <v>0.19</v>
      </c>
      <c r="E74" s="3" t="str">
        <f>FIXED(VLOOKUP($A74,'Full Sample-Single Family'!$A:$R,E$1,0),2)</f>
        <v>0.00</v>
      </c>
      <c r="F74" s="3" t="str">
        <f>FIXED(VLOOKUP($A74,'Full Sample-Single Family'!$A:$R,F$1,0),2)</f>
        <v>0.97</v>
      </c>
      <c r="G74" s="9" t="str">
        <f>FIXED(VLOOKUP($A74,'Full Sample-Single Family'!$A:$R,G$1,0),2)</f>
        <v>0.42</v>
      </c>
      <c r="H74" s="3" t="str">
        <f>FIXED(VLOOKUP($A74,'Full Sample-Single Family'!$A:$R,H$1,0),2)</f>
        <v>0.19</v>
      </c>
      <c r="I74" s="3" t="str">
        <f>FIXED(VLOOKUP($A74,'Full Sample-Single Family'!$A:$R,I$1,0),2)</f>
        <v>0.00</v>
      </c>
      <c r="J74" s="13" t="str">
        <f>FIXED(VLOOKUP($A74,'Full Sample-Single Family'!$A:$R,J$1,0),2)</f>
        <v>0.97</v>
      </c>
      <c r="K74" s="9" t="str">
        <f>FIXED(VLOOKUP($A74,'Full Sample-Single Family'!$A:$R,K$1,0),2)</f>
        <v>0.41</v>
      </c>
      <c r="L74" s="3" t="str">
        <f>FIXED(VLOOKUP($A74,'Full Sample-Single Family'!$A:$R,L$1,0),2)</f>
        <v>0.20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1-Single Family'!$A:$R,O$1,0),2)</f>
        <v>0.42</v>
      </c>
      <c r="P74" s="3" t="str">
        <f>FIXED(VLOOKUP($A74,'Small Sample 1-Single Family'!$A:$R,P$1,0),2)</f>
        <v>0.20</v>
      </c>
      <c r="Q74" s="3" t="str">
        <f>FIXED(VLOOKUP($A74,'Small Sample 1-Single Family'!$A:$R,Q$1,0),2)</f>
        <v>0.00</v>
      </c>
      <c r="R74" s="3" t="str">
        <f>FIXED(VLOOKUP($A74,'Small Sample 1-Single Family'!$A:$R,R$1,0),2)</f>
        <v>0.97</v>
      </c>
      <c r="S74" s="9" t="str">
        <f>FIXED(VLOOKUP($A74,'Small Sample 1-Single Family'!$A:$R,S$1,0),2)</f>
        <v>0.43</v>
      </c>
      <c r="T74" s="3" t="str">
        <f>FIXED(VLOOKUP($A74,'Small Sample 1-Single Family'!$A:$R,T$1,0),2)</f>
        <v>0.19</v>
      </c>
      <c r="U74" s="3" t="str">
        <f>FIXED(VLOOKUP($A74,'Small Sample 1-Single Family'!$A:$R,U$1,0),2)</f>
        <v>0.00</v>
      </c>
      <c r="V74" s="13" t="str">
        <f>FIXED(VLOOKUP($A74,'Small Sample 1-Single Family'!$A:$R,V$1,0),2)</f>
        <v>0.97</v>
      </c>
      <c r="W74" s="9" t="str">
        <f>FIXED(VLOOKUP($A74,'Small Sample 1-Single Family'!$A:$R,W$1,0),2)</f>
        <v>0.41</v>
      </c>
      <c r="X74" s="3" t="str">
        <f>FIXED(VLOOKUP($A74,'Small Sample 1-Single Family'!$A:$R,X$1,0),2)</f>
        <v>0.20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2-Single Family'!$A:$R,AA$1,0),2)</f>
        <v>0.42</v>
      </c>
      <c r="AB74" s="3" t="str">
        <f>FIXED(VLOOKUP($A74,'Small Sample 2-Single Family'!$A:$R,AB$1,0),2)</f>
        <v>0.19</v>
      </c>
      <c r="AC74" s="3" t="str">
        <f>FIXED(VLOOKUP($A74,'Small Sample 2-Single Family'!$A:$R,AC$1,0),2)</f>
        <v>0.00</v>
      </c>
      <c r="AD74" s="3" t="str">
        <f>FIXED(VLOOKUP($A74,'Small Sample 2-Single Family'!$A:$R,AD$1,0),2)</f>
        <v>0.97</v>
      </c>
      <c r="AE74" s="9" t="str">
        <f>FIXED(VLOOKUP($A74,'Small Sample 2-Single Family'!$A:$R,AE$1,0),2)</f>
        <v>0.42</v>
      </c>
      <c r="AF74" s="3" t="str">
        <f>FIXED(VLOOKUP($A74,'Small Sample 2-Single Family'!$A:$R,AF$1,0),2)</f>
        <v>0.19</v>
      </c>
      <c r="AG74" s="3" t="str">
        <f>FIXED(VLOOKUP($A74,'Small Sample 2-Single Family'!$A:$R,AG$1,0),2)</f>
        <v>0.00</v>
      </c>
      <c r="AH74" s="13" t="str">
        <f>FIXED(VLOOKUP($A74,'Small Sample 2-Single Family'!$A:$R,AH$1,0),2)</f>
        <v>0.97</v>
      </c>
      <c r="AI74" s="9" t="str">
        <f>FIXED(VLOOKUP($A74,'Small Sample 2-Single Family'!$A:$R,AI$1,0),2)</f>
        <v>0.42</v>
      </c>
      <c r="AJ74" s="3" t="str">
        <f>FIXED(VLOOKUP($A74,'Small Sample 2-Single Family'!$A:$R,AJ$1,0),2)</f>
        <v>0.20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Sample-Single Family'!$A:$R,C$1,0),2)</f>
        <v>0.08</v>
      </c>
      <c r="D75" s="3" t="str">
        <f>FIXED(VLOOKUP($A75,'Full Sample-Single Family'!$A:$R,D$1,0),2)</f>
        <v>0.11</v>
      </c>
      <c r="E75" s="3" t="str">
        <f>FIXED(VLOOKUP($A75,'Full Sample-Single Family'!$A:$R,E$1,0),2)</f>
        <v>0.00</v>
      </c>
      <c r="F75" s="3" t="str">
        <f>FIXED(VLOOKUP($A75,'Full Sample-Single Family'!$A:$R,F$1,0),2)</f>
        <v>0.71</v>
      </c>
      <c r="G75" s="9" t="str">
        <f>FIXED(VLOOKUP($A75,'Full Sample-Single Family'!$A:$R,G$1,0),2)</f>
        <v>0.08</v>
      </c>
      <c r="H75" s="3" t="str">
        <f>FIXED(VLOOKUP($A75,'Full Sample-Single Family'!$A:$R,H$1,0),2)</f>
        <v>0.10</v>
      </c>
      <c r="I75" s="3" t="str">
        <f>FIXED(VLOOKUP($A75,'Full Sample-Single Family'!$A:$R,I$1,0),2)</f>
        <v>0.00</v>
      </c>
      <c r="J75" s="13" t="str">
        <f>FIXED(VLOOKUP($A75,'Full Sample-Single Family'!$A:$R,J$1,0),2)</f>
        <v>0.61</v>
      </c>
      <c r="K75" s="9" t="str">
        <f>FIXED(VLOOKUP($A75,'Full Sample-Single Family'!$A:$R,K$1,0),2)</f>
        <v>0.08</v>
      </c>
      <c r="L75" s="3" t="str">
        <f>FIXED(VLOOKUP($A75,'Full Sample-Single Family'!$A:$R,L$1,0),2)</f>
        <v>0.12</v>
      </c>
      <c r="M75" s="3" t="str">
        <f>FIXED(VLOOKUP($A75,'Full Sample-No Sub'!$A:$R,M$1,0),2)</f>
        <v>0.00</v>
      </c>
      <c r="N75" s="13" t="str">
        <f>FIXED(VLOOKUP($A75,'Full Sample-No Sub'!$A:$R,N$1,0),2)</f>
        <v>0.71</v>
      </c>
      <c r="O75" s="9" t="str">
        <f>FIXED(VLOOKUP($A75,'Small Sample 1-Single Family'!$A:$R,O$1,0),2)</f>
        <v>0.08</v>
      </c>
      <c r="P75" s="3" t="str">
        <f>FIXED(VLOOKUP($A75,'Small Sample 1-Single Family'!$A:$R,P$1,0),2)</f>
        <v>0.11</v>
      </c>
      <c r="Q75" s="3" t="str">
        <f>FIXED(VLOOKUP($A75,'Small Sample 1-Single Family'!$A:$R,Q$1,0),2)</f>
        <v>0.00</v>
      </c>
      <c r="R75" s="3" t="str">
        <f>FIXED(VLOOKUP($A75,'Small Sample 1-Single Family'!$A:$R,R$1,0),2)</f>
        <v>0.71</v>
      </c>
      <c r="S75" s="9" t="str">
        <f>FIXED(VLOOKUP($A75,'Small Sample 1-Single Family'!$A:$R,S$1,0),2)</f>
        <v>0.08</v>
      </c>
      <c r="T75" s="3" t="str">
        <f>FIXED(VLOOKUP($A75,'Small Sample 1-Single Family'!$A:$R,T$1,0),2)</f>
        <v>0.09</v>
      </c>
      <c r="U75" s="3" t="str">
        <f>FIXED(VLOOKUP($A75,'Small Sample 1-Single Family'!$A:$R,U$1,0),2)</f>
        <v>0.00</v>
      </c>
      <c r="V75" s="13" t="str">
        <f>FIXED(VLOOKUP($A75,'Small Sample 1-Single Family'!$A:$R,V$1,0),2)</f>
        <v>0.61</v>
      </c>
      <c r="W75" s="9" t="str">
        <f>FIXED(VLOOKUP($A75,'Small Sample 1-Single Family'!$A:$R,W$1,0),2)</f>
        <v>0.08</v>
      </c>
      <c r="X75" s="3" t="str">
        <f>FIXED(VLOOKUP($A75,'Small Sample 1-Single Family'!$A:$R,X$1,0),2)</f>
        <v>0.12</v>
      </c>
      <c r="Y75" s="3" t="str">
        <f>FIXED(VLOOKUP($A75,'Small Sample 1-No Sub'!$A:$R,Y$1,0),2)</f>
        <v>0.00</v>
      </c>
      <c r="Z75" s="3" t="str">
        <f>FIXED(VLOOKUP($A75,'Small Sample 1-No Sub'!$A:$R,Z$1,0),2)</f>
        <v>0.71</v>
      </c>
      <c r="AA75" s="9" t="str">
        <f>FIXED(VLOOKUP($A75,'Small Sample 2-Single Family'!$A:$R,AA$1,0),2)</f>
        <v>0.08</v>
      </c>
      <c r="AB75" s="3" t="str">
        <f>FIXED(VLOOKUP($A75,'Small Sample 2-Single Family'!$A:$R,AB$1,0),2)</f>
        <v>0.10</v>
      </c>
      <c r="AC75" s="3" t="str">
        <f>FIXED(VLOOKUP($A75,'Small Sample 2-Single Family'!$A:$R,AC$1,0),2)</f>
        <v>0.00</v>
      </c>
      <c r="AD75" s="3" t="str">
        <f>FIXED(VLOOKUP($A75,'Small Sample 2-Single Family'!$A:$R,AD$1,0),2)</f>
        <v>0.71</v>
      </c>
      <c r="AE75" s="9" t="str">
        <f>FIXED(VLOOKUP($A75,'Small Sample 2-Single Family'!$A:$R,AE$1,0),2)</f>
        <v>0.08</v>
      </c>
      <c r="AF75" s="3" t="str">
        <f>FIXED(VLOOKUP($A75,'Small Sample 2-Single Family'!$A:$R,AF$1,0),2)</f>
        <v>0.10</v>
      </c>
      <c r="AG75" s="3" t="str">
        <f>FIXED(VLOOKUP($A75,'Small Sample 2-Single Family'!$A:$R,AG$1,0),2)</f>
        <v>0.00</v>
      </c>
      <c r="AH75" s="13" t="str">
        <f>FIXED(VLOOKUP($A75,'Small Sample 2-Single Family'!$A:$R,AH$1,0),2)</f>
        <v>0.61</v>
      </c>
      <c r="AI75" s="9" t="str">
        <f>FIXED(VLOOKUP($A75,'Small Sample 2-Single Family'!$A:$R,AI$1,0),2)</f>
        <v>0.08</v>
      </c>
      <c r="AJ75" s="3" t="str">
        <f>FIXED(VLOOKUP($A75,'Small Sample 2-Single Family'!$A:$R,AJ$1,0),2)</f>
        <v>0.11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Sample-Single Family'!$A:$R,C$1,0),2)</f>
        <v>0.94</v>
      </c>
      <c r="D76" s="3" t="str">
        <f>FIXED(VLOOKUP($A76,'Full Sample-Single Family'!$A:$R,D$1,0),2)</f>
        <v>0.08</v>
      </c>
      <c r="E76" s="3" t="str">
        <f>FIXED(VLOOKUP($A76,'Full Sample-Single Family'!$A:$R,E$1,0),2)</f>
        <v>0.01</v>
      </c>
      <c r="F76" s="3" t="str">
        <f>FIXED(VLOOKUP($A76,'Full Sample-Single Family'!$A:$R,F$1,0),2)</f>
        <v>1.00</v>
      </c>
      <c r="G76" s="9" t="str">
        <f>FIXED(VLOOKUP($A76,'Full Sample-Single Family'!$A:$R,G$1,0),2)</f>
        <v>0.94</v>
      </c>
      <c r="H76" s="3" t="str">
        <f>FIXED(VLOOKUP($A76,'Full Sample-Single Family'!$A:$R,H$1,0),2)</f>
        <v>0.07</v>
      </c>
      <c r="I76" s="3" t="str">
        <f>FIXED(VLOOKUP($A76,'Full Sample-Single Family'!$A:$R,I$1,0),2)</f>
        <v>0.01</v>
      </c>
      <c r="J76" s="13" t="str">
        <f>FIXED(VLOOKUP($A76,'Full Sample-Single Family'!$A:$R,J$1,0),2)</f>
        <v>1.00</v>
      </c>
      <c r="K76" s="9" t="str">
        <f>FIXED(VLOOKUP($A76,'Full Sample-Single Family'!$A:$R,K$1,0),2)</f>
        <v>0.93</v>
      </c>
      <c r="L76" s="3" t="str">
        <f>FIXED(VLOOKUP($A76,'Full Sample-Single Family'!$A:$R,L$1,0),2)</f>
        <v>0.09</v>
      </c>
      <c r="M76" s="3" t="str">
        <f>FIXED(VLOOKUP($A76,'Full Sample-No Sub'!$A:$R,M$1,0),2)</f>
        <v>0.07</v>
      </c>
      <c r="N76" s="13" t="str">
        <f>FIXED(VLOOKUP($A76,'Full Sample-No Sub'!$A:$R,N$1,0),2)</f>
        <v>1.00</v>
      </c>
      <c r="O76" s="9" t="str">
        <f>FIXED(VLOOKUP($A76,'Small Sample 1-Single Family'!$A:$R,O$1,0),2)</f>
        <v>0.94</v>
      </c>
      <c r="P76" s="3" t="str">
        <f>FIXED(VLOOKUP($A76,'Small Sample 1-Single Family'!$A:$R,P$1,0),2)</f>
        <v>0.08</v>
      </c>
      <c r="Q76" s="3" t="str">
        <f>FIXED(VLOOKUP($A76,'Small Sample 1-Single Family'!$A:$R,Q$1,0),2)</f>
        <v>0.01</v>
      </c>
      <c r="R76" s="3" t="str">
        <f>FIXED(VLOOKUP($A76,'Small Sample 1-Single Family'!$A:$R,R$1,0),2)</f>
        <v>1.00</v>
      </c>
      <c r="S76" s="9" t="str">
        <f>FIXED(VLOOKUP($A76,'Small Sample 1-Single Family'!$A:$R,S$1,0),2)</f>
        <v>0.94</v>
      </c>
      <c r="T76" s="3" t="str">
        <f>FIXED(VLOOKUP($A76,'Small Sample 1-Single Family'!$A:$R,T$1,0),2)</f>
        <v>0.07</v>
      </c>
      <c r="U76" s="3" t="str">
        <f>FIXED(VLOOKUP($A76,'Small Sample 1-Single Family'!$A:$R,U$1,0),2)</f>
        <v>0.01</v>
      </c>
      <c r="V76" s="13" t="str">
        <f>FIXED(VLOOKUP($A76,'Small Sample 1-Single Family'!$A:$R,V$1,0),2)</f>
        <v>1.00</v>
      </c>
      <c r="W76" s="9" t="str">
        <f>FIXED(VLOOKUP($A76,'Small Sample 1-Single Family'!$A:$R,W$1,0),2)</f>
        <v>0.93</v>
      </c>
      <c r="X76" s="3" t="str">
        <f>FIXED(VLOOKUP($A76,'Small Sample 1-Single Family'!$A:$R,X$1,0),2)</f>
        <v>0.09</v>
      </c>
      <c r="Y76" s="3" t="str">
        <f>FIXED(VLOOKUP($A76,'Small Sample 1-No Sub'!$A:$R,Y$1,0),2)</f>
        <v>0.07</v>
      </c>
      <c r="Z76" s="3" t="str">
        <f>FIXED(VLOOKUP($A76,'Small Sample 1-No Sub'!$A:$R,Z$1,0),2)</f>
        <v>1.00</v>
      </c>
      <c r="AA76" s="9" t="str">
        <f>FIXED(VLOOKUP($A76,'Small Sample 2-Single Family'!$A:$R,AA$1,0),2)</f>
        <v>0.93</v>
      </c>
      <c r="AB76" s="3" t="str">
        <f>FIXED(VLOOKUP($A76,'Small Sample 2-Single Family'!$A:$R,AB$1,0),2)</f>
        <v>0.08</v>
      </c>
      <c r="AC76" s="3" t="str">
        <f>FIXED(VLOOKUP($A76,'Small Sample 2-Single Family'!$A:$R,AC$1,0),2)</f>
        <v>0.01</v>
      </c>
      <c r="AD76" s="3" t="str">
        <f>FIXED(VLOOKUP($A76,'Small Sample 2-Single Family'!$A:$R,AD$1,0),2)</f>
        <v>1.00</v>
      </c>
      <c r="AE76" s="9" t="str">
        <f>FIXED(VLOOKUP($A76,'Small Sample 2-Single Family'!$A:$R,AE$1,0),2)</f>
        <v>0.94</v>
      </c>
      <c r="AF76" s="3" t="str">
        <f>FIXED(VLOOKUP($A76,'Small Sample 2-Single Family'!$A:$R,AF$1,0),2)</f>
        <v>0.07</v>
      </c>
      <c r="AG76" s="3" t="str">
        <f>FIXED(VLOOKUP($A76,'Small Sample 2-Single Family'!$A:$R,AG$1,0),2)</f>
        <v>0.01</v>
      </c>
      <c r="AH76" s="13" t="str">
        <f>FIXED(VLOOKUP($A76,'Small Sample 2-Single Family'!$A:$R,AH$1,0),2)</f>
        <v>1.00</v>
      </c>
      <c r="AI76" s="9" t="str">
        <f>FIXED(VLOOKUP($A76,'Small Sample 2-Single Family'!$A:$R,AI$1,0),2)</f>
        <v>0.93</v>
      </c>
      <c r="AJ76" s="3" t="str">
        <f>FIXED(VLOOKUP($A76,'Small Sample 2-Single Family'!$A:$R,AJ$1,0),2)</f>
        <v>0.09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Sample-Single Family'!$A:$R,C$1,0),2)</f>
        <v>0.06</v>
      </c>
      <c r="D77" s="3" t="str">
        <f>FIXED(VLOOKUP($A77,'Full Sample-Single Family'!$A:$R,D$1,0),2)</f>
        <v>0.08</v>
      </c>
      <c r="E77" s="3" t="str">
        <f>FIXED(VLOOKUP($A77,'Full Sample-Single Family'!$A:$R,E$1,0),2)</f>
        <v>0.00</v>
      </c>
      <c r="F77" s="3" t="str">
        <f>FIXED(VLOOKUP($A77,'Full Sample-Single Family'!$A:$R,F$1,0),2)</f>
        <v>0.70</v>
      </c>
      <c r="G77" s="9" t="str">
        <f>FIXED(VLOOKUP($A77,'Full Sample-Single Family'!$A:$R,G$1,0),2)</f>
        <v>0.06</v>
      </c>
      <c r="H77" s="3" t="str">
        <f>FIXED(VLOOKUP($A77,'Full Sample-Single Family'!$A:$R,H$1,0),2)</f>
        <v>0.07</v>
      </c>
      <c r="I77" s="3" t="str">
        <f>FIXED(VLOOKUP($A77,'Full Sample-Single Family'!$A:$R,I$1,0),2)</f>
        <v>0.00</v>
      </c>
      <c r="J77" s="13" t="str">
        <f>FIXED(VLOOKUP($A77,'Full Sample-Single Family'!$A:$R,J$1,0),2)</f>
        <v>0.70</v>
      </c>
      <c r="K77" s="9" t="str">
        <f>FIXED(VLOOKUP($A77,'Full Sample-Single Family'!$A:$R,K$1,0),2)</f>
        <v>0.06</v>
      </c>
      <c r="L77" s="3" t="str">
        <f>FIXED(VLOOKUP($A77,'Full Sample-Single Family'!$A:$R,L$1,0),2)</f>
        <v>0.08</v>
      </c>
      <c r="M77" s="3" t="str">
        <f>FIXED(VLOOKUP($A77,'Full Sample-No Sub'!$A:$R,M$1,0),2)</f>
        <v>0.00</v>
      </c>
      <c r="N77" s="13" t="str">
        <f>FIXED(VLOOKUP($A77,'Full Sample-No Sub'!$A:$R,N$1,0),2)</f>
        <v>0.93</v>
      </c>
      <c r="O77" s="9" t="str">
        <f>FIXED(VLOOKUP($A77,'Small Sample 1-Single Family'!$A:$R,O$1,0),2)</f>
        <v>0.06</v>
      </c>
      <c r="P77" s="3" t="str">
        <f>FIXED(VLOOKUP($A77,'Small Sample 1-Single Family'!$A:$R,P$1,0),2)</f>
        <v>0.08</v>
      </c>
      <c r="Q77" s="3" t="str">
        <f>FIXED(VLOOKUP($A77,'Small Sample 1-Single Family'!$A:$R,Q$1,0),2)</f>
        <v>0.00</v>
      </c>
      <c r="R77" s="3" t="str">
        <f>FIXED(VLOOKUP($A77,'Small Sample 1-Single Family'!$A:$R,R$1,0),2)</f>
        <v>0.70</v>
      </c>
      <c r="S77" s="9" t="str">
        <f>FIXED(VLOOKUP($A77,'Small Sample 1-Single Family'!$A:$R,S$1,0),2)</f>
        <v>0.06</v>
      </c>
      <c r="T77" s="3" t="str">
        <f>FIXED(VLOOKUP($A77,'Small Sample 1-Single Family'!$A:$R,T$1,0),2)</f>
        <v>0.07</v>
      </c>
      <c r="U77" s="3" t="str">
        <f>FIXED(VLOOKUP($A77,'Small Sample 1-Single Family'!$A:$R,U$1,0),2)</f>
        <v>0.00</v>
      </c>
      <c r="V77" s="13" t="str">
        <f>FIXED(VLOOKUP($A77,'Small Sample 1-Single Family'!$A:$R,V$1,0),2)</f>
        <v>0.67</v>
      </c>
      <c r="W77" s="9" t="str">
        <f>FIXED(VLOOKUP($A77,'Small Sample 1-Single Family'!$A:$R,W$1,0),2)</f>
        <v>0.06</v>
      </c>
      <c r="X77" s="3" t="str">
        <f>FIXED(VLOOKUP($A77,'Small Sample 1-Single Family'!$A:$R,X$1,0),2)</f>
        <v>0.08</v>
      </c>
      <c r="Y77" s="3" t="str">
        <f>FIXED(VLOOKUP($A77,'Small Sample 1-No Sub'!$A:$R,Y$1,0),2)</f>
        <v>0.00</v>
      </c>
      <c r="Z77" s="3" t="str">
        <f>FIXED(VLOOKUP($A77,'Small Sample 1-No Sub'!$A:$R,Z$1,0),2)</f>
        <v>0.93</v>
      </c>
      <c r="AA77" s="9" t="str">
        <f>FIXED(VLOOKUP($A77,'Small Sample 2-Single Family'!$A:$R,AA$1,0),2)</f>
        <v>0.06</v>
      </c>
      <c r="AB77" s="3" t="str">
        <f>FIXED(VLOOKUP($A77,'Small Sample 2-Single Family'!$A:$R,AB$1,0),2)</f>
        <v>0.08</v>
      </c>
      <c r="AC77" s="3" t="str">
        <f>FIXED(VLOOKUP($A77,'Small Sample 2-Single Family'!$A:$R,AC$1,0),2)</f>
        <v>0.00</v>
      </c>
      <c r="AD77" s="3" t="str">
        <f>FIXED(VLOOKUP($A77,'Small Sample 2-Single Family'!$A:$R,AD$1,0),2)</f>
        <v>0.70</v>
      </c>
      <c r="AE77" s="9" t="str">
        <f>FIXED(VLOOKUP($A77,'Small Sample 2-Single Family'!$A:$R,AE$1,0),2)</f>
        <v>0.06</v>
      </c>
      <c r="AF77" s="3" t="str">
        <f>FIXED(VLOOKUP($A77,'Small Sample 2-Single Family'!$A:$R,AF$1,0),2)</f>
        <v>0.07</v>
      </c>
      <c r="AG77" s="3" t="str">
        <f>FIXED(VLOOKUP($A77,'Small Sample 2-Single Family'!$A:$R,AG$1,0),2)</f>
        <v>0.00</v>
      </c>
      <c r="AH77" s="13" t="str">
        <f>FIXED(VLOOKUP($A77,'Small Sample 2-Single Family'!$A:$R,AH$1,0),2)</f>
        <v>0.67</v>
      </c>
      <c r="AI77" s="9" t="str">
        <f>FIXED(VLOOKUP($A77,'Small Sample 2-Single Family'!$A:$R,AI$1,0),2)</f>
        <v>0.07</v>
      </c>
      <c r="AJ77" s="3" t="str">
        <f>FIXED(VLOOKUP($A77,'Small Sample 2-Single Family'!$A:$R,AJ$1,0),2)</f>
        <v>0.09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Sample-Single Family'!$A:$R,C$1,0),2)</f>
        <v>0.75</v>
      </c>
      <c r="D78" s="3" t="str">
        <f>FIXED(VLOOKUP($A78,'Full Sample-Single Family'!$A:$R,D$1,0),2)</f>
        <v>0.17</v>
      </c>
      <c r="E78" s="3" t="str">
        <f>FIXED(VLOOKUP($A78,'Full Sample-Single Family'!$A:$R,E$1,0),2)</f>
        <v>0.00</v>
      </c>
      <c r="F78" s="3" t="str">
        <f>FIXED(VLOOKUP($A78,'Full Sample-Single Family'!$A:$R,F$1,0),2)</f>
        <v>1.00</v>
      </c>
      <c r="G78" s="9" t="str">
        <f>FIXED(VLOOKUP($A78,'Full Sample-Single Family'!$A:$R,G$1,0),2)</f>
        <v>0.74</v>
      </c>
      <c r="H78" s="3" t="str">
        <f>FIXED(VLOOKUP($A78,'Full Sample-Single Family'!$A:$R,H$1,0),2)</f>
        <v>0.16</v>
      </c>
      <c r="I78" s="3" t="str">
        <f>FIXED(VLOOKUP($A78,'Full Sample-Single Family'!$A:$R,I$1,0),2)</f>
        <v>0.00</v>
      </c>
      <c r="J78" s="13" t="str">
        <f>FIXED(VLOOKUP($A78,'Full Sample-Single Family'!$A:$R,J$1,0),2)</f>
        <v>1.00</v>
      </c>
      <c r="K78" s="9" t="str">
        <f>FIXED(VLOOKUP($A78,'Full Sample-Single Family'!$A:$R,K$1,0),2)</f>
        <v>0.76</v>
      </c>
      <c r="L78" s="3" t="str">
        <f>FIXED(VLOOKUP($A78,'Full Sample-Single Family'!$A:$R,L$1,0),2)</f>
        <v>0.17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1-Single Family'!$A:$R,O$1,0),2)</f>
        <v>0.75</v>
      </c>
      <c r="P78" s="3" t="str">
        <f>FIXED(VLOOKUP($A78,'Small Sample 1-Single Family'!$A:$R,P$1,0),2)</f>
        <v>0.17</v>
      </c>
      <c r="Q78" s="3" t="str">
        <f>FIXED(VLOOKUP($A78,'Small Sample 1-Single Family'!$A:$R,Q$1,0),2)</f>
        <v>0.00</v>
      </c>
      <c r="R78" s="3" t="str">
        <f>FIXED(VLOOKUP($A78,'Small Sample 1-Single Family'!$A:$R,R$1,0),2)</f>
        <v>1.00</v>
      </c>
      <c r="S78" s="9" t="str">
        <f>FIXED(VLOOKUP($A78,'Small Sample 1-Single Family'!$A:$R,S$1,0),2)</f>
        <v>0.74</v>
      </c>
      <c r="T78" s="3" t="str">
        <f>FIXED(VLOOKUP($A78,'Small Sample 1-Single Family'!$A:$R,T$1,0),2)</f>
        <v>0.16</v>
      </c>
      <c r="U78" s="3" t="str">
        <f>FIXED(VLOOKUP($A78,'Small Sample 1-Single Family'!$A:$R,U$1,0),2)</f>
        <v>0.00</v>
      </c>
      <c r="V78" s="13" t="str">
        <f>FIXED(VLOOKUP($A78,'Small Sample 1-Single Family'!$A:$R,V$1,0),2)</f>
        <v>1.00</v>
      </c>
      <c r="W78" s="9" t="str">
        <f>FIXED(VLOOKUP($A78,'Small Sample 1-Single Family'!$A:$R,W$1,0),2)</f>
        <v>0.76</v>
      </c>
      <c r="X78" s="3" t="str">
        <f>FIXED(VLOOKUP($A78,'Small Sample 1-Single Family'!$A:$R,X$1,0),2)</f>
        <v>0.17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2-Single Family'!$A:$R,AA$1,0),2)</f>
        <v>0.75</v>
      </c>
      <c r="AB78" s="3" t="str">
        <f>FIXED(VLOOKUP($A78,'Small Sample 2-Single Family'!$A:$R,AB$1,0),2)</f>
        <v>0.17</v>
      </c>
      <c r="AC78" s="3" t="str">
        <f>FIXED(VLOOKUP($A78,'Small Sample 2-Single Family'!$A:$R,AC$1,0),2)</f>
        <v>0.00</v>
      </c>
      <c r="AD78" s="3" t="str">
        <f>FIXED(VLOOKUP($A78,'Small Sample 2-Single Family'!$A:$R,AD$1,0),2)</f>
        <v>1.00</v>
      </c>
      <c r="AE78" s="9" t="str">
        <f>FIXED(VLOOKUP($A78,'Small Sample 2-Single Family'!$A:$R,AE$1,0),2)</f>
        <v>0.74</v>
      </c>
      <c r="AF78" s="3" t="str">
        <f>FIXED(VLOOKUP($A78,'Small Sample 2-Single Family'!$A:$R,AF$1,0),2)</f>
        <v>0.16</v>
      </c>
      <c r="AG78" s="3" t="str">
        <f>FIXED(VLOOKUP($A78,'Small Sample 2-Single Family'!$A:$R,AG$1,0),2)</f>
        <v>0.00</v>
      </c>
      <c r="AH78" s="13" t="str">
        <f>FIXED(VLOOKUP($A78,'Small Sample 2-Single Family'!$A:$R,AH$1,0),2)</f>
        <v>1.00</v>
      </c>
      <c r="AI78" s="9" t="str">
        <f>FIXED(VLOOKUP($A78,'Small Sample 2-Single Family'!$A:$R,AI$1,0),2)</f>
        <v>0.76</v>
      </c>
      <c r="AJ78" s="3" t="str">
        <f>FIXED(VLOOKUP($A78,'Small Sample 2-Single Family'!$A:$R,AJ$1,0),2)</f>
        <v>0.18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Sample-Single Family'!$A:$R,C$1,0),2)</f>
        <v>0.25</v>
      </c>
      <c r="D79" s="3" t="str">
        <f>FIXED(VLOOKUP($A79,'Full Sample-Single Family'!$A:$R,D$1,0),2)</f>
        <v>0.17</v>
      </c>
      <c r="E79" s="3" t="str">
        <f>FIXED(VLOOKUP($A79,'Full Sample-Single Family'!$A:$R,E$1,0),2)</f>
        <v>0.00</v>
      </c>
      <c r="F79" s="3" t="str">
        <f>FIXED(VLOOKUP($A79,'Full Sample-Single Family'!$A:$R,F$1,0),2)</f>
        <v>1.00</v>
      </c>
      <c r="G79" s="9" t="str">
        <f>FIXED(VLOOKUP($A79,'Full Sample-Single Family'!$A:$R,G$1,0),2)</f>
        <v>0.26</v>
      </c>
      <c r="H79" s="3" t="str">
        <f>FIXED(VLOOKUP($A79,'Full Sample-Single Family'!$A:$R,H$1,0),2)</f>
        <v>0.16</v>
      </c>
      <c r="I79" s="3" t="str">
        <f>FIXED(VLOOKUP($A79,'Full Sample-Single Family'!$A:$R,I$1,0),2)</f>
        <v>0.00</v>
      </c>
      <c r="J79" s="13" t="str">
        <f>FIXED(VLOOKUP($A79,'Full Sample-Single Family'!$A:$R,J$1,0),2)</f>
        <v>1.00</v>
      </c>
      <c r="K79" s="9" t="str">
        <f>FIXED(VLOOKUP($A79,'Full Sample-Single Family'!$A:$R,K$1,0),2)</f>
        <v>0.24</v>
      </c>
      <c r="L79" s="3" t="str">
        <f>FIXED(VLOOKUP($A79,'Full Sample-Single Family'!$A:$R,L$1,0),2)</f>
        <v>0.17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1-Single Family'!$A:$R,O$1,0),2)</f>
        <v>0.25</v>
      </c>
      <c r="P79" s="3" t="str">
        <f>FIXED(VLOOKUP($A79,'Small Sample 1-Single Family'!$A:$R,P$1,0),2)</f>
        <v>0.17</v>
      </c>
      <c r="Q79" s="3" t="str">
        <f>FIXED(VLOOKUP($A79,'Small Sample 1-Single Family'!$A:$R,Q$1,0),2)</f>
        <v>0.00</v>
      </c>
      <c r="R79" s="3" t="str">
        <f>FIXED(VLOOKUP($A79,'Small Sample 1-Single Family'!$A:$R,R$1,0),2)</f>
        <v>1.00</v>
      </c>
      <c r="S79" s="9" t="str">
        <f>FIXED(VLOOKUP($A79,'Small Sample 1-Single Family'!$A:$R,S$1,0),2)</f>
        <v>0.26</v>
      </c>
      <c r="T79" s="3" t="str">
        <f>FIXED(VLOOKUP($A79,'Small Sample 1-Single Family'!$A:$R,T$1,0),2)</f>
        <v>0.16</v>
      </c>
      <c r="U79" s="3" t="str">
        <f>FIXED(VLOOKUP($A79,'Small Sample 1-Single Family'!$A:$R,U$1,0),2)</f>
        <v>0.00</v>
      </c>
      <c r="V79" s="13" t="str">
        <f>FIXED(VLOOKUP($A79,'Small Sample 1-Single Family'!$A:$R,V$1,0),2)</f>
        <v>1.00</v>
      </c>
      <c r="W79" s="9" t="str">
        <f>FIXED(VLOOKUP($A79,'Small Sample 1-Single Family'!$A:$R,W$1,0),2)</f>
        <v>0.24</v>
      </c>
      <c r="X79" s="3" t="str">
        <f>FIXED(VLOOKUP($A79,'Small Sample 1-Single Family'!$A:$R,X$1,0),2)</f>
        <v>0.17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2-Single Family'!$A:$R,AA$1,0),2)</f>
        <v>0.25</v>
      </c>
      <c r="AB79" s="3" t="str">
        <f>FIXED(VLOOKUP($A79,'Small Sample 2-Single Family'!$A:$R,AB$1,0),2)</f>
        <v>0.17</v>
      </c>
      <c r="AC79" s="3" t="str">
        <f>FIXED(VLOOKUP($A79,'Small Sample 2-Single Family'!$A:$R,AC$1,0),2)</f>
        <v>0.00</v>
      </c>
      <c r="AD79" s="3" t="str">
        <f>FIXED(VLOOKUP($A79,'Small Sample 2-Single Family'!$A:$R,AD$1,0),2)</f>
        <v>1.00</v>
      </c>
      <c r="AE79" s="9" t="str">
        <f>FIXED(VLOOKUP($A79,'Small Sample 2-Single Family'!$A:$R,AE$1,0),2)</f>
        <v>0.26</v>
      </c>
      <c r="AF79" s="3" t="str">
        <f>FIXED(VLOOKUP($A79,'Small Sample 2-Single Family'!$A:$R,AF$1,0),2)</f>
        <v>0.16</v>
      </c>
      <c r="AG79" s="3" t="str">
        <f>FIXED(VLOOKUP($A79,'Small Sample 2-Single Family'!$A:$R,AG$1,0),2)</f>
        <v>0.00</v>
      </c>
      <c r="AH79" s="13" t="str">
        <f>FIXED(VLOOKUP($A79,'Small Sample 2-Single Family'!$A:$R,AH$1,0),2)</f>
        <v>1.00</v>
      </c>
      <c r="AI79" s="9" t="str">
        <f>FIXED(VLOOKUP($A79,'Small Sample 2-Single Family'!$A:$R,AI$1,0),2)</f>
        <v>0.24</v>
      </c>
      <c r="AJ79" s="3" t="str">
        <f>FIXED(VLOOKUP($A79,'Small Sample 2-Single Family'!$A:$R,AJ$1,0),2)</f>
        <v>0.18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36">
        <f>'Full Sample-Single Family'!B3</f>
        <v>22965</v>
      </c>
      <c r="D81" s="37"/>
      <c r="E81" s="37"/>
      <c r="F81" s="37"/>
      <c r="G81" s="36">
        <f>'Full Sample-Single Family'!H3</f>
        <v>13263</v>
      </c>
      <c r="H81" s="37"/>
      <c r="I81" s="37"/>
      <c r="J81" s="38"/>
      <c r="K81" s="36">
        <f>'Full Sample-Single Family'!N3</f>
        <v>9702</v>
      </c>
      <c r="L81" s="37"/>
      <c r="M81" s="37"/>
      <c r="N81" s="38"/>
      <c r="O81" s="36">
        <f>'Small Sample 1-Single Family'!B3</f>
        <v>19900</v>
      </c>
      <c r="P81" s="37"/>
      <c r="Q81" s="37"/>
      <c r="R81" s="37"/>
      <c r="S81" s="36">
        <f>'Small Sample 1-Single Family'!H3</f>
        <v>10574</v>
      </c>
      <c r="T81" s="37"/>
      <c r="U81" s="37"/>
      <c r="V81" s="38"/>
      <c r="W81" s="36">
        <f>'Small Sample 1-Single Family'!N3</f>
        <v>9326</v>
      </c>
      <c r="X81" s="37"/>
      <c r="Y81" s="37"/>
      <c r="Z81" s="37"/>
      <c r="AA81" s="36">
        <f>'Small Sample 2-Single Family'!B3</f>
        <v>19900</v>
      </c>
      <c r="AB81" s="37"/>
      <c r="AC81" s="37"/>
      <c r="AD81" s="37"/>
      <c r="AE81" s="36">
        <f>'Small Sample 2-Single Family'!H3</f>
        <v>12452</v>
      </c>
      <c r="AF81" s="37"/>
      <c r="AG81" s="37"/>
      <c r="AH81" s="38"/>
      <c r="AI81" s="36">
        <f>'Small Sample 2-Single Family'!N3</f>
        <v>7448</v>
      </c>
      <c r="AJ81" s="37"/>
      <c r="AK81" s="37"/>
      <c r="AL81" s="37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Sample-Single Family'!$A:$R,C$1,0),2)</f>
        <v>329.89</v>
      </c>
      <c r="D85" s="3" t="str">
        <f>FIXED(VLOOKUP($A85,'Full Sample-Single Family'!$A:$R,D$1,0),2)</f>
        <v>233.65</v>
      </c>
      <c r="E85" s="3" t="str">
        <f>FIXED(VLOOKUP($A85,'Full Sample-Single Family'!$A:$R,E$1,0),2)</f>
        <v>0.00</v>
      </c>
      <c r="F85" s="3" t="str">
        <f>FIXED(VLOOKUP($A85,'Full Sample-Single Family'!$A:$R,F$1,0),2)</f>
        <v>5,000.00</v>
      </c>
      <c r="G85" s="3" t="str">
        <f>FIXED(VLOOKUP($A85,'Full Sample-Single Family'!$A:$R,G$1,0),2)</f>
        <v>329.21</v>
      </c>
      <c r="H85" s="3" t="str">
        <f>FIXED(VLOOKUP($A85,'Full Sample-Single Family'!$A:$R,H$1,0),2)</f>
        <v>234.36</v>
      </c>
      <c r="I85" s="3" t="str">
        <f>FIXED(VLOOKUP($A85,'Full Sample-Single Family'!$A:$R,I$1,0),2)</f>
        <v>0.00</v>
      </c>
      <c r="J85" s="3" t="str">
        <f>FIXED(VLOOKUP($A85,'Full Sample-Single Family'!$A:$R,J$1,0),2)</f>
        <v>5,000.00</v>
      </c>
      <c r="K85" s="3" t="str">
        <f>FIXED(VLOOKUP($A85,'Full Sample-Single Family'!$A:$R,K$1,0),2)</f>
        <v>330.81</v>
      </c>
      <c r="L85" s="3" t="str">
        <f>FIXED(VLOOKUP($A85,'Full Sample-Single Family'!$A:$R,L$1,0),2)</f>
        <v>232.69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1-Single Family'!$A:$R,O$1,0),2)</f>
        <v>331.86</v>
      </c>
      <c r="P85" s="3" t="str">
        <f>FIXED(VLOOKUP($A85,'Small Sample 1-Single Family'!$A:$R,P$1,0),2)</f>
        <v>232.52</v>
      </c>
      <c r="Q85" s="3" t="str">
        <f>FIXED(VLOOKUP($A85,'Small Sample 1-Single Family'!$A:$R,Q$1,0),2)</f>
        <v>0.00</v>
      </c>
      <c r="R85" s="3" t="str">
        <f>FIXED(VLOOKUP($A85,'Small Sample 1-Single Family'!$A:$R,R$1,0),2)</f>
        <v>4,444.00</v>
      </c>
      <c r="S85" s="3" t="str">
        <f>FIXED(VLOOKUP($A85,'Small Sample 1-Single Family'!$A:$R,S$1,0),2)</f>
        <v>332.24</v>
      </c>
      <c r="T85" s="3" t="str">
        <f>FIXED(VLOOKUP($A85,'Small Sample 1-Single Family'!$A:$R,T$1,0),2)</f>
        <v>232.04</v>
      </c>
      <c r="U85" s="3" t="str">
        <f>FIXED(VLOOKUP($A85,'Small Sample 1-Single Family'!$A:$R,U$1,0),2)</f>
        <v>0.00</v>
      </c>
      <c r="V85" s="3" t="str">
        <f>FIXED(VLOOKUP($A85,'Small Sample 1-Single Family'!$A:$R,V$1,0),2)</f>
        <v>4,444.00</v>
      </c>
      <c r="W85" s="3" t="str">
        <f>FIXED(VLOOKUP($A85,'Small Sample 1-Single Family'!$A:$R,W$1,0),2)</f>
        <v>331.43</v>
      </c>
      <c r="X85" s="3" t="str">
        <f>FIXED(VLOOKUP($A85,'Small Sample 1-Single Family'!$A:$R,X$1,0),2)</f>
        <v>233.08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2-Single Family'!$A:$R,AA$1,0),2)</f>
        <v>331.78</v>
      </c>
      <c r="AB85" s="3" t="str">
        <f>FIXED(VLOOKUP($A85,'Small Sample 2-Single Family'!$A:$R,AB$1,0),2)</f>
        <v>234.66</v>
      </c>
      <c r="AC85" s="3" t="str">
        <f>FIXED(VLOOKUP($A85,'Small Sample 2-Single Family'!$A:$R,AC$1,0),2)</f>
        <v>0.00</v>
      </c>
      <c r="AD85" s="3" t="str">
        <f>FIXED(VLOOKUP($A85,'Small Sample 2-Single Family'!$A:$R,AD$1,0),2)</f>
        <v>5,000.00</v>
      </c>
      <c r="AE85" s="3" t="str">
        <f>FIXED(VLOOKUP($A85,'Small Sample 2-Single Family'!$A:$R,AE$1,0),2)</f>
        <v>330.44</v>
      </c>
      <c r="AF85" s="3" t="str">
        <f>FIXED(VLOOKUP($A85,'Small Sample 2-Single Family'!$A:$R,AF$1,0),2)</f>
        <v>234.60</v>
      </c>
      <c r="AG85" s="3" t="str">
        <f>FIXED(VLOOKUP($A85,'Small Sample 2-Single Family'!$A:$R,AG$1,0),2)</f>
        <v>0.00</v>
      </c>
      <c r="AH85" s="3" t="str">
        <f>FIXED(VLOOKUP($A85,'Small Sample 2-Single Family'!$A:$R,AH$1,0),2)</f>
        <v>5,000.00</v>
      </c>
      <c r="AI85" s="3" t="str">
        <f>FIXED(VLOOKUP($A85,'Small Sample 2-Single Family'!$A:$R,AI$1,0),2)</f>
        <v>334.02</v>
      </c>
      <c r="AJ85" s="3" t="str">
        <f>FIXED(VLOOKUP($A85,'Small Sample 2-Single Family'!$A:$R,AJ$1,0),2)</f>
        <v>234.76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Sample-Single Family'!$A:$R,C$1,0),2)</f>
        <v>1.00</v>
      </c>
      <c r="D86" s="3" t="str">
        <f>FIXED(VLOOKUP($A86,'Full Sample-Single Family'!$A:$R,D$1,0),2)</f>
        <v>0.02</v>
      </c>
      <c r="E86" s="3" t="str">
        <f>FIXED(VLOOKUP($A86,'Full Sample-Single Family'!$A:$R,E$1,0),2)</f>
        <v>0.00</v>
      </c>
      <c r="F86" s="3" t="str">
        <f>FIXED(VLOOKUP($A86,'Full Sample-Single Family'!$A:$R,F$1,0),2)</f>
        <v>1.00</v>
      </c>
      <c r="G86" s="3" t="str">
        <f>FIXED(VLOOKUP($A86,'Full Sample-Single Family'!$A:$R,G$1,0),2)</f>
        <v>1.00</v>
      </c>
      <c r="H86" s="3" t="str">
        <f>FIXED(VLOOKUP($A86,'Full Sample-Single Family'!$A:$R,H$1,0),2)</f>
        <v>0.02</v>
      </c>
      <c r="I86" s="3" t="str">
        <f>FIXED(VLOOKUP($A86,'Full Sample-Single Family'!$A:$R,I$1,0),2)</f>
        <v>0.00</v>
      </c>
      <c r="J86" s="3" t="str">
        <f>FIXED(VLOOKUP($A86,'Full Sample-Single Family'!$A:$R,J$1,0),2)</f>
        <v>1.00</v>
      </c>
      <c r="K86" s="3" t="str">
        <f>FIXED(VLOOKUP($A86,'Full Sample-Single Family'!$A:$R,K$1,0),2)</f>
        <v>1.00</v>
      </c>
      <c r="L86" s="3" t="str">
        <f>FIXED(VLOOKUP($A86,'Full Sample-Single Family'!$A:$R,L$1,0),2)</f>
        <v>0.01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1-Single Family'!$A:$R,O$1,0),2)</f>
        <v>1.00</v>
      </c>
      <c r="P86" s="3" t="str">
        <f>FIXED(VLOOKUP($A86,'Small Sample 1-Single Family'!$A:$R,P$1,0),2)</f>
        <v>0.01</v>
      </c>
      <c r="Q86" s="3" t="str">
        <f>FIXED(VLOOKUP($A86,'Small Sample 1-Single Family'!$A:$R,Q$1,0),2)</f>
        <v>0.00</v>
      </c>
      <c r="R86" s="3" t="str">
        <f>FIXED(VLOOKUP($A86,'Small Sample 1-Single Family'!$A:$R,R$1,0),2)</f>
        <v>1.00</v>
      </c>
      <c r="S86" s="3" t="str">
        <f>FIXED(VLOOKUP($A86,'Small Sample 1-Single Family'!$A:$R,S$1,0),2)</f>
        <v>1.00</v>
      </c>
      <c r="T86" s="3" t="str">
        <f>FIXED(VLOOKUP($A86,'Small Sample 1-Single Family'!$A:$R,T$1,0),2)</f>
        <v>0.00</v>
      </c>
      <c r="U86" s="3" t="str">
        <f>FIXED(VLOOKUP($A86,'Small Sample 1-Single Family'!$A:$R,U$1,0),2)</f>
        <v>1.00</v>
      </c>
      <c r="V86" s="3" t="str">
        <f>FIXED(VLOOKUP($A86,'Small Sample 1-Single Family'!$A:$R,V$1,0),2)</f>
        <v>1.00</v>
      </c>
      <c r="W86" s="3" t="str">
        <f>FIXED(VLOOKUP($A86,'Small Sample 1-Single Family'!$A:$R,W$1,0),2)</f>
        <v>1.00</v>
      </c>
      <c r="X86" s="3" t="str">
        <f>FIXED(VLOOKUP($A86,'Small Sample 1-Single Family'!$A:$R,X$1,0),2)</f>
        <v>0.02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2-Single Family'!$A:$R,AA$1,0),2)</f>
        <v>1.00</v>
      </c>
      <c r="AB86" s="3" t="str">
        <f>FIXED(VLOOKUP($A86,'Small Sample 2-Single Family'!$A:$R,AB$1,0),2)</f>
        <v>0.02</v>
      </c>
      <c r="AC86" s="3" t="str">
        <f>FIXED(VLOOKUP($A86,'Small Sample 2-Single Family'!$A:$R,AC$1,0),2)</f>
        <v>0.00</v>
      </c>
      <c r="AD86" s="3" t="str">
        <f>FIXED(VLOOKUP($A86,'Small Sample 2-Single Family'!$A:$R,AD$1,0),2)</f>
        <v>1.00</v>
      </c>
      <c r="AE86" s="3" t="str">
        <f>FIXED(VLOOKUP($A86,'Small Sample 2-Single Family'!$A:$R,AE$1,0),2)</f>
        <v>1.00</v>
      </c>
      <c r="AF86" s="3" t="str">
        <f>FIXED(VLOOKUP($A86,'Small Sample 2-Single Family'!$A:$R,AF$1,0),2)</f>
        <v>0.02</v>
      </c>
      <c r="AG86" s="3" t="str">
        <f>FIXED(VLOOKUP($A86,'Small Sample 2-Single Family'!$A:$R,AG$1,0),2)</f>
        <v>0.00</v>
      </c>
      <c r="AH86" s="3" t="str">
        <f>FIXED(VLOOKUP($A86,'Small Sample 2-Single Family'!$A:$R,AH$1,0),2)</f>
        <v>1.00</v>
      </c>
      <c r="AI86" s="3" t="str">
        <f>FIXED(VLOOKUP($A86,'Small Sample 2-Single Family'!$A:$R,AI$1,0),2)</f>
        <v>1.00</v>
      </c>
      <c r="AJ86" s="3" t="str">
        <f>FIXED(VLOOKUP($A86,'Small Sample 2-Single Family'!$A:$R,AJ$1,0),2)</f>
        <v>0.01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Sample-Single Family'!$A:$R,C$1,0),2)</f>
        <v>4.94</v>
      </c>
      <c r="D87" s="3" t="str">
        <f>FIXED(VLOOKUP($A87,'Full Sample-Single Family'!$A:$R,D$1,0),2)</f>
        <v>12.61</v>
      </c>
      <c r="E87" s="3" t="str">
        <f>FIXED(VLOOKUP($A87,'Full Sample-Single Family'!$A:$R,E$1,0),2)</f>
        <v>0.00</v>
      </c>
      <c r="F87" s="3" t="str">
        <f>FIXED(VLOOKUP($A87,'Full Sample-Single Family'!$A:$R,F$1,0),2)</f>
        <v>94.00</v>
      </c>
      <c r="G87" s="3" t="str">
        <f>FIXED(VLOOKUP($A87,'Full Sample-Single Family'!$A:$R,G$1,0),2)</f>
        <v>4.54</v>
      </c>
      <c r="H87" s="3" t="str">
        <f>FIXED(VLOOKUP($A87,'Full Sample-Single Family'!$A:$R,H$1,0),2)</f>
        <v>12.06</v>
      </c>
      <c r="I87" s="3" t="str">
        <f>FIXED(VLOOKUP($A87,'Full Sample-Single Family'!$A:$R,I$1,0),2)</f>
        <v>0.00</v>
      </c>
      <c r="J87" s="3" t="str">
        <f>FIXED(VLOOKUP($A87,'Full Sample-Single Family'!$A:$R,J$1,0),2)</f>
        <v>88.00</v>
      </c>
      <c r="K87" s="3" t="str">
        <f>FIXED(VLOOKUP($A87,'Full Sample-Single Family'!$A:$R,K$1,0),2)</f>
        <v>5.49</v>
      </c>
      <c r="L87" s="3" t="str">
        <f>FIXED(VLOOKUP($A87,'Full Sample-Single Family'!$A:$R,L$1,0),2)</f>
        <v>13.30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1-Single Family'!$A:$R,O$1,0),2)</f>
        <v>5.18</v>
      </c>
      <c r="P87" s="3" t="str">
        <f>FIXED(VLOOKUP($A87,'Small Sample 1-Single Family'!$A:$R,P$1,0),2)</f>
        <v>12.86</v>
      </c>
      <c r="Q87" s="3" t="str">
        <f>FIXED(VLOOKUP($A87,'Small Sample 1-Single Family'!$A:$R,Q$1,0),2)</f>
        <v>0.00</v>
      </c>
      <c r="R87" s="3" t="str">
        <f>FIXED(VLOOKUP($A87,'Small Sample 1-Single Family'!$A:$R,R$1,0),2)</f>
        <v>94.00</v>
      </c>
      <c r="S87" s="3" t="str">
        <f>FIXED(VLOOKUP($A87,'Small Sample 1-Single Family'!$A:$R,S$1,0),2)</f>
        <v>4.89</v>
      </c>
      <c r="T87" s="3" t="str">
        <f>FIXED(VLOOKUP($A87,'Small Sample 1-Single Family'!$A:$R,T$1,0),2)</f>
        <v>12.48</v>
      </c>
      <c r="U87" s="3" t="str">
        <f>FIXED(VLOOKUP($A87,'Small Sample 1-Single Family'!$A:$R,U$1,0),2)</f>
        <v>0.00</v>
      </c>
      <c r="V87" s="3" t="str">
        <f>FIXED(VLOOKUP($A87,'Small Sample 1-Single Family'!$A:$R,V$1,0),2)</f>
        <v>88.00</v>
      </c>
      <c r="W87" s="3" t="str">
        <f>FIXED(VLOOKUP($A87,'Small Sample 1-Single Family'!$A:$R,W$1,0),2)</f>
        <v>5.50</v>
      </c>
      <c r="X87" s="3" t="str">
        <f>FIXED(VLOOKUP($A87,'Small Sample 1-Single Family'!$A:$R,X$1,0),2)</f>
        <v>13.27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2-Single Family'!$A:$R,AA$1,0),2)</f>
        <v>5.30</v>
      </c>
      <c r="AB87" s="3" t="str">
        <f>FIXED(VLOOKUP($A87,'Small Sample 2-Single Family'!$A:$R,AB$1,0),2)</f>
        <v>13.15</v>
      </c>
      <c r="AC87" s="3" t="str">
        <f>FIXED(VLOOKUP($A87,'Small Sample 2-Single Family'!$A:$R,AC$1,0),2)</f>
        <v>0.00</v>
      </c>
      <c r="AD87" s="3" t="str">
        <f>FIXED(VLOOKUP($A87,'Small Sample 2-Single Family'!$A:$R,AD$1,0),2)</f>
        <v>94.00</v>
      </c>
      <c r="AE87" s="3" t="str">
        <f>FIXED(VLOOKUP($A87,'Small Sample 2-Single Family'!$A:$R,AE$1,0),2)</f>
        <v>4.70</v>
      </c>
      <c r="AF87" s="3" t="str">
        <f>FIXED(VLOOKUP($A87,'Small Sample 2-Single Family'!$A:$R,AF$1,0),2)</f>
        <v>12.29</v>
      </c>
      <c r="AG87" s="3" t="str">
        <f>FIXED(VLOOKUP($A87,'Small Sample 2-Single Family'!$A:$R,AG$1,0),2)</f>
        <v>0.00</v>
      </c>
      <c r="AH87" s="3" t="str">
        <f>FIXED(VLOOKUP($A87,'Small Sample 2-Single Family'!$A:$R,AH$1,0),2)</f>
        <v>88.00</v>
      </c>
      <c r="AI87" s="3" t="str">
        <f>FIXED(VLOOKUP($A87,'Small Sample 2-Single Family'!$A:$R,AI$1,0),2)</f>
        <v>6.30</v>
      </c>
      <c r="AJ87" s="3" t="str">
        <f>FIXED(VLOOKUP($A87,'Small Sample 2-Single Family'!$A:$R,AJ$1,0),2)</f>
        <v>14.42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Sample-Single Family'!$A:$R,C$1,0),2)</f>
        <v>0.95</v>
      </c>
      <c r="D88" s="3" t="str">
        <f>FIXED(VLOOKUP($A88,'Full Sample-Single Family'!$A:$R,D$1,0),2)</f>
        <v>3.57</v>
      </c>
      <c r="E88" s="3" t="str">
        <f>FIXED(VLOOKUP($A88,'Full Sample-Single Family'!$A:$R,E$1,0),2)</f>
        <v>0.02</v>
      </c>
      <c r="F88" s="3" t="str">
        <f>FIXED(VLOOKUP($A88,'Full Sample-Single Family'!$A:$R,F$1,0),2)</f>
        <v>128.92</v>
      </c>
      <c r="G88" s="3" t="str">
        <f>FIXED(VLOOKUP($A88,'Full Sample-Single Family'!$A:$R,G$1,0),2)</f>
        <v>0.97</v>
      </c>
      <c r="H88" s="3" t="str">
        <f>FIXED(VLOOKUP($A88,'Full Sample-Single Family'!$A:$R,H$1,0),2)</f>
        <v>3.51</v>
      </c>
      <c r="I88" s="3" t="str">
        <f>FIXED(VLOOKUP($A88,'Full Sample-Single Family'!$A:$R,I$1,0),2)</f>
        <v>0.02</v>
      </c>
      <c r="J88" s="3" t="str">
        <f>FIXED(VLOOKUP($A88,'Full Sample-Single Family'!$A:$R,J$1,0),2)</f>
        <v>128.92</v>
      </c>
      <c r="K88" s="3" t="str">
        <f>FIXED(VLOOKUP($A88,'Full Sample-Single Family'!$A:$R,K$1,0),2)</f>
        <v>0.92</v>
      </c>
      <c r="L88" s="3" t="str">
        <f>FIXED(VLOOKUP($A88,'Full Sample-Single Family'!$A:$R,L$1,0),2)</f>
        <v>3.66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1-Single Family'!$A:$R,O$1,0),2)</f>
        <v>0.88</v>
      </c>
      <c r="P88" s="3" t="str">
        <f>FIXED(VLOOKUP($A88,'Small Sample 1-Single Family'!$A:$R,P$1,0),2)</f>
        <v>3.52</v>
      </c>
      <c r="Q88" s="3" t="str">
        <f>FIXED(VLOOKUP($A88,'Small Sample 1-Single Family'!$A:$R,Q$1,0),2)</f>
        <v>0.02</v>
      </c>
      <c r="R88" s="3" t="str">
        <f>FIXED(VLOOKUP($A88,'Small Sample 1-Single Family'!$A:$R,R$1,0),2)</f>
        <v>128.92</v>
      </c>
      <c r="S88" s="3" t="str">
        <f>FIXED(VLOOKUP($A88,'Small Sample 1-Single Family'!$A:$R,S$1,0),2)</f>
        <v>0.86</v>
      </c>
      <c r="T88" s="3" t="str">
        <f>FIXED(VLOOKUP($A88,'Small Sample 1-Single Family'!$A:$R,T$1,0),2)</f>
        <v>3.43</v>
      </c>
      <c r="U88" s="3" t="str">
        <f>FIXED(VLOOKUP($A88,'Small Sample 1-Single Family'!$A:$R,U$1,0),2)</f>
        <v>0.03</v>
      </c>
      <c r="V88" s="3" t="str">
        <f>FIXED(VLOOKUP($A88,'Small Sample 1-Single Family'!$A:$R,V$1,0),2)</f>
        <v>128.92</v>
      </c>
      <c r="W88" s="3" t="str">
        <f>FIXED(VLOOKUP($A88,'Small Sample 1-Single Family'!$A:$R,W$1,0),2)</f>
        <v>0.91</v>
      </c>
      <c r="X88" s="3" t="str">
        <f>FIXED(VLOOKUP($A88,'Small Sample 1-Single Family'!$A:$R,X$1,0),2)</f>
        <v>3.63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2-Single Family'!$A:$R,AA$1,0),2)</f>
        <v>0.88</v>
      </c>
      <c r="AB88" s="3" t="str">
        <f>FIXED(VLOOKUP($A88,'Small Sample 2-Single Family'!$A:$R,AB$1,0),2)</f>
        <v>3.52</v>
      </c>
      <c r="AC88" s="3" t="str">
        <f>FIXED(VLOOKUP($A88,'Small Sample 2-Single Family'!$A:$R,AC$1,0),2)</f>
        <v>0.02</v>
      </c>
      <c r="AD88" s="3" t="str">
        <f>FIXED(VLOOKUP($A88,'Small Sample 2-Single Family'!$A:$R,AD$1,0),2)</f>
        <v>128.92</v>
      </c>
      <c r="AE88" s="3" t="str">
        <f>FIXED(VLOOKUP($A88,'Small Sample 2-Single Family'!$A:$R,AE$1,0),2)</f>
        <v>0.95</v>
      </c>
      <c r="AF88" s="3" t="str">
        <f>FIXED(VLOOKUP($A88,'Small Sample 2-Single Family'!$A:$R,AF$1,0),2)</f>
        <v>3.50</v>
      </c>
      <c r="AG88" s="3" t="str">
        <f>FIXED(VLOOKUP($A88,'Small Sample 2-Single Family'!$A:$R,AG$1,0),2)</f>
        <v>0.02</v>
      </c>
      <c r="AH88" s="3" t="str">
        <f>FIXED(VLOOKUP($A88,'Small Sample 2-Single Family'!$A:$R,AH$1,0),2)</f>
        <v>128.92</v>
      </c>
      <c r="AI88" s="3" t="str">
        <f>FIXED(VLOOKUP($A88,'Small Sample 2-Single Family'!$A:$R,AI$1,0),2)</f>
        <v>0.77</v>
      </c>
      <c r="AJ88" s="3" t="str">
        <f>FIXED(VLOOKUP($A88,'Small Sample 2-Single Family'!$A:$R,AJ$1,0),2)</f>
        <v>3.55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Sample-Single Family'!$A:$R,C$1,0),2)</f>
        <v>289.67</v>
      </c>
      <c r="D89" s="3" t="str">
        <f>FIXED(VLOOKUP($A89,'Full Sample-Single Family'!$A:$R,D$1,0),2)</f>
        <v>542.78</v>
      </c>
      <c r="E89" s="3" t="str">
        <f>FIXED(VLOOKUP($A89,'Full Sample-Single Family'!$A:$R,E$1,0),2)</f>
        <v>0.00</v>
      </c>
      <c r="F89" s="3" t="str">
        <f>FIXED(VLOOKUP($A89,'Full Sample-Single Family'!$A:$R,F$1,0),2)</f>
        <v>4,021.00</v>
      </c>
      <c r="G89" s="3" t="str">
        <f>FIXED(VLOOKUP($A89,'Full Sample-Single Family'!$A:$R,G$1,0),2)</f>
        <v>0.00</v>
      </c>
      <c r="H89" s="3" t="str">
        <f>FIXED(VLOOKUP($A89,'Full Sample-Single Family'!$A:$R,H$1,0),2)</f>
        <v>0.00</v>
      </c>
      <c r="I89" s="3" t="str">
        <f>FIXED(VLOOKUP($A89,'Full Sample-Single Family'!$A:$R,I$1,0),2)</f>
        <v>0.00</v>
      </c>
      <c r="J89" s="3" t="str">
        <f>FIXED(VLOOKUP($A89,'Full Sample-Single Family'!$A:$R,J$1,0),2)</f>
        <v>0.00</v>
      </c>
      <c r="K89" s="3" t="str">
        <f>FIXED(VLOOKUP($A89,'Full Sample-Single Family'!$A:$R,K$1,0),2)</f>
        <v>289.67</v>
      </c>
      <c r="L89" s="3" t="str">
        <f>FIXED(VLOOKUP($A89,'Full Sample-Single Family'!$A:$R,L$1,0),2)</f>
        <v>542.78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1-Single Family'!$A:$R,O$1,0),2)</f>
        <v>295.00</v>
      </c>
      <c r="P89" s="3" t="str">
        <f>FIXED(VLOOKUP($A89,'Small Sample 1-Single Family'!$A:$R,P$1,0),2)</f>
        <v>549.11</v>
      </c>
      <c r="Q89" s="3" t="str">
        <f>FIXED(VLOOKUP($A89,'Small Sample 1-Single Family'!$A:$R,Q$1,0),2)</f>
        <v>0.00</v>
      </c>
      <c r="R89" s="3" t="str">
        <f>FIXED(VLOOKUP($A89,'Small Sample 1-Single Family'!$A:$R,R$1,0),2)</f>
        <v>4,021.00</v>
      </c>
      <c r="S89" s="3" t="str">
        <f>FIXED(VLOOKUP($A89,'Small Sample 1-Single Family'!$A:$R,S$1,0),2)</f>
        <v>0.00</v>
      </c>
      <c r="T89" s="3" t="str">
        <f>FIXED(VLOOKUP($A89,'Small Sample 1-Single Family'!$A:$R,T$1,0),2)</f>
        <v>0.00</v>
      </c>
      <c r="U89" s="3" t="str">
        <f>FIXED(VLOOKUP($A89,'Small Sample 1-Single Family'!$A:$R,U$1,0),2)</f>
        <v>0.00</v>
      </c>
      <c r="V89" s="3" t="str">
        <f>FIXED(VLOOKUP($A89,'Small Sample 1-Single Family'!$A:$R,V$1,0),2)</f>
        <v>0.00</v>
      </c>
      <c r="W89" s="3" t="str">
        <f>FIXED(VLOOKUP($A89,'Small Sample 1-Single Family'!$A:$R,W$1,0),2)</f>
        <v>295.00</v>
      </c>
      <c r="X89" s="3" t="str">
        <f>FIXED(VLOOKUP($A89,'Small Sample 1-Single Family'!$A:$R,X$1,0),2)</f>
        <v>549.11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2-Single Family'!$A:$R,AA$1,0),2)</f>
        <v>287.41</v>
      </c>
      <c r="AB89" s="3" t="str">
        <f>FIXED(VLOOKUP($A89,'Small Sample 2-Single Family'!$A:$R,AB$1,0),2)</f>
        <v>542.74</v>
      </c>
      <c r="AC89" s="3" t="str">
        <f>FIXED(VLOOKUP($A89,'Small Sample 2-Single Family'!$A:$R,AC$1,0),2)</f>
        <v>0.00</v>
      </c>
      <c r="AD89" s="3" t="str">
        <f>FIXED(VLOOKUP($A89,'Small Sample 2-Single Family'!$A:$R,AD$1,0),2)</f>
        <v>4,021.00</v>
      </c>
      <c r="AE89" s="3" t="str">
        <f>FIXED(VLOOKUP($A89,'Small Sample 2-Single Family'!$A:$R,AE$1,0),2)</f>
        <v>0.00</v>
      </c>
      <c r="AF89" s="3" t="str">
        <f>FIXED(VLOOKUP($A89,'Small Sample 2-Single Family'!$A:$R,AF$1,0),2)</f>
        <v>0.00</v>
      </c>
      <c r="AG89" s="3" t="str">
        <f>FIXED(VLOOKUP($A89,'Small Sample 2-Single Family'!$A:$R,AG$1,0),2)</f>
        <v>0.00</v>
      </c>
      <c r="AH89" s="3" t="str">
        <f>FIXED(VLOOKUP($A89,'Small Sample 2-Single Family'!$A:$R,AH$1,0),2)</f>
        <v>0.00</v>
      </c>
      <c r="AI89" s="3" t="str">
        <f>FIXED(VLOOKUP($A89,'Small Sample 2-Single Family'!$A:$R,AI$1,0),2)</f>
        <v>287.41</v>
      </c>
      <c r="AJ89" s="3" t="str">
        <f>FIXED(VLOOKUP($A89,'Small Sample 2-Single Family'!$A:$R,AJ$1,0),2)</f>
        <v>542.74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Sample-Single Family'!$A:$R,C$1,0),2)</f>
        <v>#N/A</v>
      </c>
      <c r="D90" s="3" t="e">
        <f>FIXED(VLOOKUP($A90,'Full Sample-Single Family'!$A:$R,D$1,0),2)</f>
        <v>#N/A</v>
      </c>
      <c r="E90" s="3" t="e">
        <f>FIXED(VLOOKUP($A90,'Full Sample-Single Family'!$A:$R,E$1,0),2)</f>
        <v>#N/A</v>
      </c>
      <c r="F90" s="3" t="e">
        <f>FIXED(VLOOKUP($A90,'Full Sample-Single Family'!$A:$R,F$1,0),2)</f>
        <v>#N/A</v>
      </c>
      <c r="G90" s="3" t="e">
        <f>FIXED(VLOOKUP($A90,'Full Sample-Single Family'!$A:$R,G$1,0),2)</f>
        <v>#N/A</v>
      </c>
      <c r="H90" s="3" t="e">
        <f>FIXED(VLOOKUP($A90,'Full Sample-Single Family'!$A:$R,H$1,0),2)</f>
        <v>#N/A</v>
      </c>
      <c r="I90" s="3" t="e">
        <f>FIXED(VLOOKUP($A90,'Full Sample-Single Family'!$A:$R,I$1,0),2)</f>
        <v>#N/A</v>
      </c>
      <c r="J90" s="3" t="e">
        <f>FIXED(VLOOKUP($A90,'Full Sample-Single Family'!$A:$R,J$1,0),2)</f>
        <v>#N/A</v>
      </c>
      <c r="K90" s="3" t="e">
        <f>FIXED(VLOOKUP($A90,'Full Sample-Single Family'!$A:$R,K$1,0),2)</f>
        <v>#N/A</v>
      </c>
      <c r="L90" s="3" t="e">
        <f>FIXED(VLOOKUP($A90,'Full Sample-Single Family'!$A:$R,L$1,0),2)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1-Single Family'!$A:$R,O$1,0),2)</f>
        <v>#N/A</v>
      </c>
      <c r="P90" s="3" t="e">
        <f>FIXED(VLOOKUP($A90,'Small Sample 1-Single Family'!$A:$R,P$1,0),2)</f>
        <v>#N/A</v>
      </c>
      <c r="Q90" s="3" t="e">
        <f>FIXED(VLOOKUP($A90,'Small Sample 1-Single Family'!$A:$R,Q$1,0),2)</f>
        <v>#N/A</v>
      </c>
      <c r="R90" s="3" t="e">
        <f>FIXED(VLOOKUP($A90,'Small Sample 1-Single Family'!$A:$R,R$1,0),2)</f>
        <v>#N/A</v>
      </c>
      <c r="S90" s="3" t="e">
        <f>FIXED(VLOOKUP($A90,'Small Sample 1-Single Family'!$A:$R,S$1,0),2)</f>
        <v>#N/A</v>
      </c>
      <c r="T90" s="3" t="e">
        <f>FIXED(VLOOKUP($A90,'Small Sample 1-Single Family'!$A:$R,T$1,0),2)</f>
        <v>#N/A</v>
      </c>
      <c r="U90" s="3" t="e">
        <f>FIXED(VLOOKUP($A90,'Small Sample 1-Single Family'!$A:$R,U$1,0),2)</f>
        <v>#N/A</v>
      </c>
      <c r="V90" s="3" t="e">
        <f>FIXED(VLOOKUP($A90,'Small Sample 1-Single Family'!$A:$R,V$1,0),2)</f>
        <v>#N/A</v>
      </c>
      <c r="W90" s="3" t="e">
        <f>FIXED(VLOOKUP($A90,'Small Sample 1-Single Family'!$A:$R,W$1,0),2)</f>
        <v>#N/A</v>
      </c>
      <c r="X90" s="3" t="e">
        <f>FIXED(VLOOKUP($A90,'Small Sample 1-Single Family'!$A:$R,X$1,0),2)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2-Single Family'!$A:$R,AA$1,0),2)</f>
        <v>#N/A</v>
      </c>
      <c r="AB90" s="3" t="e">
        <f>FIXED(VLOOKUP($A90,'Small Sample 2-Single Family'!$A:$R,AB$1,0),2)</f>
        <v>#N/A</v>
      </c>
      <c r="AC90" s="3" t="e">
        <f>FIXED(VLOOKUP($A90,'Small Sample 2-Single Family'!$A:$R,AC$1,0),2)</f>
        <v>#N/A</v>
      </c>
      <c r="AD90" s="3" t="e">
        <f>FIXED(VLOOKUP($A90,'Small Sample 2-Single Family'!$A:$R,AD$1,0),2)</f>
        <v>#N/A</v>
      </c>
      <c r="AE90" s="3" t="e">
        <f>FIXED(VLOOKUP($A90,'Small Sample 2-Single Family'!$A:$R,AE$1,0),2)</f>
        <v>#N/A</v>
      </c>
      <c r="AF90" s="3" t="e">
        <f>FIXED(VLOOKUP($A90,'Small Sample 2-Single Family'!$A:$R,AF$1,0),2)</f>
        <v>#N/A</v>
      </c>
      <c r="AG90" s="3" t="e">
        <f>FIXED(VLOOKUP($A90,'Small Sample 2-Single Family'!$A:$R,AG$1,0),2)</f>
        <v>#N/A</v>
      </c>
      <c r="AH90" s="3" t="e">
        <f>FIXED(VLOOKUP($A90,'Small Sample 2-Single Family'!$A:$R,AH$1,0),2)</f>
        <v>#N/A</v>
      </c>
      <c r="AI90" s="3" t="e">
        <f>FIXED(VLOOKUP($A90,'Small Sample 2-Single Family'!$A:$R,AI$1,0),2)</f>
        <v>#N/A</v>
      </c>
      <c r="AJ90" s="3" t="e">
        <f>FIXED(VLOOKUP($A90,'Small Sample 2-Single Family'!$A:$R,AJ$1,0),2)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Sample-Single Family'!$A:$R,C$1,0),2)</f>
        <v>0.00</v>
      </c>
      <c r="D91" s="3" t="str">
        <f>FIXED(VLOOKUP($A91,'Full Sample-Single Family'!$A:$R,D$1,0),2)</f>
        <v>0.00</v>
      </c>
      <c r="E91" s="3" t="str">
        <f>FIXED(VLOOKUP($A91,'Full Sample-Single Family'!$A:$R,E$1,0),2)</f>
        <v>0.00</v>
      </c>
      <c r="F91" s="3" t="str">
        <f>FIXED(VLOOKUP($A91,'Full Sample-Single Family'!$A:$R,F$1,0),2)</f>
        <v>0.00</v>
      </c>
      <c r="G91" s="3" t="str">
        <f>FIXED(VLOOKUP($A91,'Full Sample-Single Family'!$A:$R,G$1,0),2)</f>
        <v>0.00</v>
      </c>
      <c r="H91" s="3" t="str">
        <f>FIXED(VLOOKUP($A91,'Full Sample-Single Family'!$A:$R,H$1,0),2)</f>
        <v>0.00</v>
      </c>
      <c r="I91" s="3" t="str">
        <f>FIXED(VLOOKUP($A91,'Full Sample-Single Family'!$A:$R,I$1,0),2)</f>
        <v>0.00</v>
      </c>
      <c r="J91" s="3" t="str">
        <f>FIXED(VLOOKUP($A91,'Full Sample-Single Family'!$A:$R,J$1,0),2)</f>
        <v>0.00</v>
      </c>
      <c r="K91" s="3" t="str">
        <f>FIXED(VLOOKUP($A91,'Full Sample-Single Family'!$A:$R,K$1,0),2)</f>
        <v>0.00</v>
      </c>
      <c r="L91" s="3" t="str">
        <f>FIXED(VLOOKUP($A91,'Full Sample-Single Family'!$A:$R,L$1,0),2)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1-Single Family'!$A:$R,O$1,0),2)</f>
        <v>0.00</v>
      </c>
      <c r="P91" s="3" t="str">
        <f>FIXED(VLOOKUP($A91,'Small Sample 1-Single Family'!$A:$R,P$1,0),2)</f>
        <v>0.00</v>
      </c>
      <c r="Q91" s="3" t="str">
        <f>FIXED(VLOOKUP($A91,'Small Sample 1-Single Family'!$A:$R,Q$1,0),2)</f>
        <v>0.00</v>
      </c>
      <c r="R91" s="3" t="str">
        <f>FIXED(VLOOKUP($A91,'Small Sample 1-Single Family'!$A:$R,R$1,0),2)</f>
        <v>0.00</v>
      </c>
      <c r="S91" s="3" t="str">
        <f>FIXED(VLOOKUP($A91,'Small Sample 1-Single Family'!$A:$R,S$1,0),2)</f>
        <v>0.00</v>
      </c>
      <c r="T91" s="3" t="str">
        <f>FIXED(VLOOKUP($A91,'Small Sample 1-Single Family'!$A:$R,T$1,0),2)</f>
        <v>0.00</v>
      </c>
      <c r="U91" s="3" t="str">
        <f>FIXED(VLOOKUP($A91,'Small Sample 1-Single Family'!$A:$R,U$1,0),2)</f>
        <v>0.00</v>
      </c>
      <c r="V91" s="3" t="str">
        <f>FIXED(VLOOKUP($A91,'Small Sample 1-Single Family'!$A:$R,V$1,0),2)</f>
        <v>0.00</v>
      </c>
      <c r="W91" s="3" t="str">
        <f>FIXED(VLOOKUP($A91,'Small Sample 1-Single Family'!$A:$R,W$1,0),2)</f>
        <v>0.00</v>
      </c>
      <c r="X91" s="3" t="str">
        <f>FIXED(VLOOKUP($A91,'Small Sample 1-Single Family'!$A:$R,X$1,0),2)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2-Single Family'!$A:$R,AA$1,0),2)</f>
        <v>0.00</v>
      </c>
      <c r="AB91" s="3" t="str">
        <f>FIXED(VLOOKUP($A91,'Small Sample 2-Single Family'!$A:$R,AB$1,0),2)</f>
        <v>0.00</v>
      </c>
      <c r="AC91" s="3" t="str">
        <f>FIXED(VLOOKUP($A91,'Small Sample 2-Single Family'!$A:$R,AC$1,0),2)</f>
        <v>0.00</v>
      </c>
      <c r="AD91" s="3" t="str">
        <f>FIXED(VLOOKUP($A91,'Small Sample 2-Single Family'!$A:$R,AD$1,0),2)</f>
        <v>0.00</v>
      </c>
      <c r="AE91" s="3" t="str">
        <f>FIXED(VLOOKUP($A91,'Small Sample 2-Single Family'!$A:$R,AE$1,0),2)</f>
        <v>0.00</v>
      </c>
      <c r="AF91" s="3" t="str">
        <f>FIXED(VLOOKUP($A91,'Small Sample 2-Single Family'!$A:$R,AF$1,0),2)</f>
        <v>0.00</v>
      </c>
      <c r="AG91" s="3" t="str">
        <f>FIXED(VLOOKUP($A91,'Small Sample 2-Single Family'!$A:$R,AG$1,0),2)</f>
        <v>0.00</v>
      </c>
      <c r="AH91" s="3" t="str">
        <f>FIXED(VLOOKUP($A91,'Small Sample 2-Single Family'!$A:$R,AH$1,0),2)</f>
        <v>0.00</v>
      </c>
      <c r="AI91" s="3" t="str">
        <f>FIXED(VLOOKUP($A91,'Small Sample 2-Single Family'!$A:$R,AI$1,0),2)</f>
        <v>0.00</v>
      </c>
      <c r="AJ91" s="3" t="str">
        <f>FIXED(VLOOKUP($A91,'Small Sample 2-Single Family'!$A:$R,AJ$1,0),2)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Sample-Single Family'!$A:$R,C$1,0),2)</f>
        <v>1.00</v>
      </c>
      <c r="D92" s="3" t="str">
        <f>FIXED(VLOOKUP($A92,'Full Sample-Single Family'!$A:$R,D$1,0),2)</f>
        <v>0.00</v>
      </c>
      <c r="E92" s="3" t="str">
        <f>FIXED(VLOOKUP($A92,'Full Sample-Single Family'!$A:$R,E$1,0),2)</f>
        <v>1.00</v>
      </c>
      <c r="F92" s="3" t="str">
        <f>FIXED(VLOOKUP($A92,'Full Sample-Single Family'!$A:$R,F$1,0),2)</f>
        <v>1.00</v>
      </c>
      <c r="G92" s="3" t="str">
        <f>FIXED(VLOOKUP($A92,'Full Sample-Single Family'!$A:$R,G$1,0),2)</f>
        <v>1.00</v>
      </c>
      <c r="H92" s="3" t="str">
        <f>FIXED(VLOOKUP($A92,'Full Sample-Single Family'!$A:$R,H$1,0),2)</f>
        <v>0.00</v>
      </c>
      <c r="I92" s="3" t="str">
        <f>FIXED(VLOOKUP($A92,'Full Sample-Single Family'!$A:$R,I$1,0),2)</f>
        <v>1.00</v>
      </c>
      <c r="J92" s="3" t="str">
        <f>FIXED(VLOOKUP($A92,'Full Sample-Single Family'!$A:$R,J$1,0),2)</f>
        <v>1.00</v>
      </c>
      <c r="K92" s="3" t="str">
        <f>FIXED(VLOOKUP($A92,'Full Sample-Single Family'!$A:$R,K$1,0),2)</f>
        <v>1.00</v>
      </c>
      <c r="L92" s="3" t="str">
        <f>FIXED(VLOOKUP($A92,'Full Sample-Single Family'!$A:$R,L$1,0),2)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1-Single Family'!$A:$R,O$1,0),2)</f>
        <v>1.00</v>
      </c>
      <c r="P92" s="3" t="str">
        <f>FIXED(VLOOKUP($A92,'Small Sample 1-Single Family'!$A:$R,P$1,0),2)</f>
        <v>0.00</v>
      </c>
      <c r="Q92" s="3" t="str">
        <f>FIXED(VLOOKUP($A92,'Small Sample 1-Single Family'!$A:$R,Q$1,0),2)</f>
        <v>1.00</v>
      </c>
      <c r="R92" s="3" t="str">
        <f>FIXED(VLOOKUP($A92,'Small Sample 1-Single Family'!$A:$R,R$1,0),2)</f>
        <v>1.00</v>
      </c>
      <c r="S92" s="3" t="str">
        <f>FIXED(VLOOKUP($A92,'Small Sample 1-Single Family'!$A:$R,S$1,0),2)</f>
        <v>1.00</v>
      </c>
      <c r="T92" s="3" t="str">
        <f>FIXED(VLOOKUP($A92,'Small Sample 1-Single Family'!$A:$R,T$1,0),2)</f>
        <v>0.00</v>
      </c>
      <c r="U92" s="3" t="str">
        <f>FIXED(VLOOKUP($A92,'Small Sample 1-Single Family'!$A:$R,U$1,0),2)</f>
        <v>1.00</v>
      </c>
      <c r="V92" s="3" t="str">
        <f>FIXED(VLOOKUP($A92,'Small Sample 1-Single Family'!$A:$R,V$1,0),2)</f>
        <v>1.00</v>
      </c>
      <c r="W92" s="3" t="str">
        <f>FIXED(VLOOKUP($A92,'Small Sample 1-Single Family'!$A:$R,W$1,0),2)</f>
        <v>1.00</v>
      </c>
      <c r="X92" s="3" t="str">
        <f>FIXED(VLOOKUP($A92,'Small Sample 1-Single Family'!$A:$R,X$1,0),2)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2-Single Family'!$A:$R,AA$1,0),2)</f>
        <v>1.00</v>
      </c>
      <c r="AB92" s="3" t="str">
        <f>FIXED(VLOOKUP($A92,'Small Sample 2-Single Family'!$A:$R,AB$1,0),2)</f>
        <v>0.00</v>
      </c>
      <c r="AC92" s="3" t="str">
        <f>FIXED(VLOOKUP($A92,'Small Sample 2-Single Family'!$A:$R,AC$1,0),2)</f>
        <v>1.00</v>
      </c>
      <c r="AD92" s="3" t="str">
        <f>FIXED(VLOOKUP($A92,'Small Sample 2-Single Family'!$A:$R,AD$1,0),2)</f>
        <v>1.00</v>
      </c>
      <c r="AE92" s="3" t="str">
        <f>FIXED(VLOOKUP($A92,'Small Sample 2-Single Family'!$A:$R,AE$1,0),2)</f>
        <v>1.00</v>
      </c>
      <c r="AF92" s="3" t="str">
        <f>FIXED(VLOOKUP($A92,'Small Sample 2-Single Family'!$A:$R,AF$1,0),2)</f>
        <v>0.00</v>
      </c>
      <c r="AG92" s="3" t="str">
        <f>FIXED(VLOOKUP($A92,'Small Sample 2-Single Family'!$A:$R,AG$1,0),2)</f>
        <v>1.00</v>
      </c>
      <c r="AH92" s="3" t="str">
        <f>FIXED(VLOOKUP($A92,'Small Sample 2-Single Family'!$A:$R,AH$1,0),2)</f>
        <v>1.00</v>
      </c>
      <c r="AI92" s="3" t="str">
        <f>FIXED(VLOOKUP($A92,'Small Sample 2-Single Family'!$A:$R,AI$1,0),2)</f>
        <v>1.00</v>
      </c>
      <c r="AJ92" s="3" t="str">
        <f>FIXED(VLOOKUP($A92,'Small Sample 2-Single Family'!$A:$R,AJ$1,0),2)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AA81:AD81"/>
    <mergeCell ref="AE81:AH81"/>
    <mergeCell ref="AI81:AL81"/>
    <mergeCell ref="W5:Z5"/>
    <mergeCell ref="AA5:AD5"/>
    <mergeCell ref="AE5:AH5"/>
    <mergeCell ref="AI5:AL5"/>
    <mergeCell ref="W81:Z81"/>
    <mergeCell ref="C81:F81"/>
    <mergeCell ref="G81:J81"/>
    <mergeCell ref="K81:N81"/>
    <mergeCell ref="O81:R81"/>
    <mergeCell ref="S81:V81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888C-54D3-4166-BA42-B3B1DDE06C4C}">
  <sheetPr codeName="Sheet11"/>
  <dimension ref="A2:H195"/>
  <sheetViews>
    <sheetView workbookViewId="0">
      <selection activeCell="B1" sqref="B1:H1048576"/>
    </sheetView>
  </sheetViews>
  <sheetFormatPr defaultRowHeight="15" x14ac:dyDescent="0.25"/>
  <cols>
    <col min="1" max="1" width="4" bestFit="1" customWidth="1"/>
  </cols>
  <sheetData>
    <row r="2" spans="1:8" x14ac:dyDescent="0.25">
      <c r="B2" t="s">
        <v>576</v>
      </c>
      <c r="C2" t="s">
        <v>577</v>
      </c>
      <c r="D2" t="s">
        <v>192</v>
      </c>
      <c r="E2" t="s">
        <v>578</v>
      </c>
      <c r="F2" t="s">
        <v>193</v>
      </c>
      <c r="G2" t="s">
        <v>193</v>
      </c>
      <c r="H2" t="s">
        <v>577</v>
      </c>
    </row>
    <row r="3" spans="1:8" x14ac:dyDescent="0.25">
      <c r="E3" t="s">
        <v>446</v>
      </c>
      <c r="F3" t="s">
        <v>447</v>
      </c>
    </row>
    <row r="4" spans="1:8" x14ac:dyDescent="0.25">
      <c r="C4" t="s">
        <v>304</v>
      </c>
      <c r="D4" t="s">
        <v>195</v>
      </c>
      <c r="E4" t="s">
        <v>579</v>
      </c>
      <c r="F4" t="s">
        <v>194</v>
      </c>
      <c r="G4" t="s">
        <v>194</v>
      </c>
      <c r="H4" t="s">
        <v>580</v>
      </c>
    </row>
    <row r="5" spans="1:8" x14ac:dyDescent="0.25">
      <c r="E5" t="s">
        <v>448</v>
      </c>
      <c r="F5" t="s">
        <v>449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581</v>
      </c>
      <c r="C7" t="s">
        <v>580</v>
      </c>
      <c r="D7" t="s">
        <v>195</v>
      </c>
      <c r="E7" t="s">
        <v>579</v>
      </c>
      <c r="F7" t="s">
        <v>194</v>
      </c>
      <c r="G7" t="s">
        <v>194</v>
      </c>
      <c r="H7" t="s">
        <v>580</v>
      </c>
    </row>
    <row r="8" spans="1:8" x14ac:dyDescent="0.25">
      <c r="A8">
        <v>1</v>
      </c>
      <c r="B8" t="s">
        <v>11</v>
      </c>
      <c r="C8" t="s">
        <v>213</v>
      </c>
      <c r="D8" t="s">
        <v>326</v>
      </c>
      <c r="E8">
        <v>1.4E-2</v>
      </c>
      <c r="F8" t="s">
        <v>500</v>
      </c>
      <c r="G8" t="s">
        <v>501</v>
      </c>
      <c r="H8" t="s">
        <v>502</v>
      </c>
    </row>
    <row r="9" spans="1:8" x14ac:dyDescent="0.25">
      <c r="A9">
        <v>2</v>
      </c>
      <c r="C9">
        <v>-5.0000000000000001E-3</v>
      </c>
      <c r="D9">
        <v>-2.1000000000000001E-2</v>
      </c>
      <c r="E9">
        <v>-1.2999999999999999E-2</v>
      </c>
      <c r="F9">
        <v>-1.0999999999999999E-2</v>
      </c>
      <c r="G9">
        <v>-0.01</v>
      </c>
      <c r="H9">
        <v>-8.9999999999999993E-3</v>
      </c>
    </row>
    <row r="11" spans="1:8" x14ac:dyDescent="0.25">
      <c r="A11">
        <f>A9+1</f>
        <v>3</v>
      </c>
      <c r="B11" t="s">
        <v>16</v>
      </c>
      <c r="D11" t="s">
        <v>306</v>
      </c>
      <c r="E11" t="s">
        <v>246</v>
      </c>
      <c r="F11" t="s">
        <v>221</v>
      </c>
      <c r="G11" t="s">
        <v>246</v>
      </c>
      <c r="H11" t="s">
        <v>246</v>
      </c>
    </row>
    <row r="12" spans="1:8" x14ac:dyDescent="0.25">
      <c r="A12">
        <f>A11+1</f>
        <v>4</v>
      </c>
      <c r="D12">
        <v>-5.0000000000000002E-5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1:8" x14ac:dyDescent="0.25">
      <c r="A14">
        <f>A12+1</f>
        <v>5</v>
      </c>
      <c r="B14" t="s">
        <v>197</v>
      </c>
      <c r="D14" t="s">
        <v>208</v>
      </c>
      <c r="E14" t="s">
        <v>215</v>
      </c>
      <c r="F14" t="s">
        <v>331</v>
      </c>
      <c r="G14" t="s">
        <v>395</v>
      </c>
      <c r="H14" t="s">
        <v>452</v>
      </c>
    </row>
    <row r="15" spans="1:8" x14ac:dyDescent="0.25">
      <c r="A15">
        <f>A14+1</f>
        <v>6</v>
      </c>
      <c r="D15">
        <v>-0.01</v>
      </c>
      <c r="E15">
        <v>-6.0000000000000001E-3</v>
      </c>
      <c r="F15">
        <v>-5.0000000000000001E-3</v>
      </c>
      <c r="G15">
        <v>-5.0000000000000001E-3</v>
      </c>
      <c r="H15">
        <v>-4.0000000000000001E-3</v>
      </c>
    </row>
    <row r="17" spans="1:8" x14ac:dyDescent="0.25">
      <c r="A17">
        <f t="shared" ref="A17" si="0">A15+1</f>
        <v>7</v>
      </c>
      <c r="B17" t="s">
        <v>200</v>
      </c>
      <c r="D17" t="s">
        <v>228</v>
      </c>
      <c r="E17" t="s">
        <v>395</v>
      </c>
      <c r="F17" t="s">
        <v>503</v>
      </c>
      <c r="G17" t="s">
        <v>229</v>
      </c>
      <c r="H17" t="s">
        <v>201</v>
      </c>
    </row>
    <row r="18" spans="1:8" x14ac:dyDescent="0.25">
      <c r="A18">
        <f t="shared" ref="A18" si="1">A17+1</f>
        <v>8</v>
      </c>
      <c r="D18">
        <v>-0.01</v>
      </c>
      <c r="E18">
        <v>-6.0000000000000001E-3</v>
      </c>
      <c r="F18">
        <v>-5.0000000000000001E-3</v>
      </c>
      <c r="G18">
        <v>-5.0000000000000001E-3</v>
      </c>
      <c r="H18">
        <v>-4.0000000000000001E-3</v>
      </c>
    </row>
    <row r="20" spans="1:8" x14ac:dyDescent="0.25">
      <c r="A20">
        <f t="shared" ref="A20" si="2">A18+1</f>
        <v>9</v>
      </c>
      <c r="B20" t="s">
        <v>204</v>
      </c>
      <c r="D20" t="s">
        <v>227</v>
      </c>
      <c r="E20" t="s">
        <v>440</v>
      </c>
      <c r="F20" t="s">
        <v>254</v>
      </c>
      <c r="G20" t="s">
        <v>328</v>
      </c>
      <c r="H20" t="s">
        <v>440</v>
      </c>
    </row>
    <row r="21" spans="1:8" x14ac:dyDescent="0.25">
      <c r="A21">
        <f t="shared" ref="A21" si="3">A20+1</f>
        <v>10</v>
      </c>
      <c r="D21">
        <v>-0.01</v>
      </c>
      <c r="E21">
        <v>-6.0000000000000001E-3</v>
      </c>
      <c r="F21">
        <v>-5.0000000000000001E-3</v>
      </c>
      <c r="G21">
        <v>-5.0000000000000001E-3</v>
      </c>
      <c r="H21">
        <v>-4.0000000000000001E-3</v>
      </c>
    </row>
    <row r="23" spans="1:8" x14ac:dyDescent="0.25">
      <c r="A23">
        <f t="shared" ref="A23" si="4">A21+1</f>
        <v>11</v>
      </c>
      <c r="B23" t="s">
        <v>206</v>
      </c>
      <c r="D23" t="s">
        <v>244</v>
      </c>
      <c r="E23">
        <v>1.9E-2</v>
      </c>
      <c r="F23">
        <v>7.0000000000000001E-3</v>
      </c>
      <c r="G23" t="s">
        <v>582</v>
      </c>
      <c r="H23">
        <v>1.4E-2</v>
      </c>
    </row>
    <row r="24" spans="1:8" x14ac:dyDescent="0.25">
      <c r="A24">
        <f t="shared" ref="A24" si="5">A23+1</f>
        <v>12</v>
      </c>
      <c r="D24">
        <v>-2.1000000000000001E-2</v>
      </c>
      <c r="E24">
        <v>-1.2999999999999999E-2</v>
      </c>
      <c r="F24">
        <v>-1.0999999999999999E-2</v>
      </c>
      <c r="G24">
        <v>-0.01</v>
      </c>
      <c r="H24">
        <v>-8.9999999999999993E-3</v>
      </c>
    </row>
    <row r="26" spans="1:8" x14ac:dyDescent="0.25">
      <c r="A26">
        <f t="shared" ref="A26" si="6">A24+1</f>
        <v>13</v>
      </c>
      <c r="B26" t="s">
        <v>207</v>
      </c>
      <c r="D26" t="s">
        <v>332</v>
      </c>
      <c r="E26" t="s">
        <v>547</v>
      </c>
      <c r="F26" t="s">
        <v>485</v>
      </c>
      <c r="G26" t="s">
        <v>196</v>
      </c>
      <c r="H26" t="s">
        <v>214</v>
      </c>
    </row>
    <row r="27" spans="1:8" x14ac:dyDescent="0.25">
      <c r="A27">
        <f t="shared" ref="A27" si="7">A26+1</f>
        <v>14</v>
      </c>
      <c r="D27">
        <v>-2.3E-2</v>
      </c>
      <c r="E27">
        <v>-1.4E-2</v>
      </c>
      <c r="F27">
        <v>-1.2E-2</v>
      </c>
      <c r="G27">
        <v>-1.0999999999999999E-2</v>
      </c>
      <c r="H27">
        <v>-0.01</v>
      </c>
    </row>
    <row r="29" spans="1:8" x14ac:dyDescent="0.25">
      <c r="A29">
        <f t="shared" ref="A29" si="8">A27+1</f>
        <v>15</v>
      </c>
      <c r="B29" t="s">
        <v>209</v>
      </c>
      <c r="D29" t="s">
        <v>333</v>
      </c>
      <c r="E29" t="s">
        <v>505</v>
      </c>
      <c r="F29" t="s">
        <v>477</v>
      </c>
      <c r="G29" t="s">
        <v>464</v>
      </c>
      <c r="H29" t="s">
        <v>504</v>
      </c>
    </row>
    <row r="30" spans="1:8" x14ac:dyDescent="0.25">
      <c r="A30">
        <f t="shared" ref="A30" si="9">A29+1</f>
        <v>16</v>
      </c>
      <c r="D30">
        <v>-2.3E-2</v>
      </c>
      <c r="E30">
        <v>-1.4E-2</v>
      </c>
      <c r="F30">
        <v>-1.2E-2</v>
      </c>
      <c r="G30">
        <v>-1.0999999999999999E-2</v>
      </c>
      <c r="H30">
        <v>-0.01</v>
      </c>
    </row>
    <row r="32" spans="1:8" x14ac:dyDescent="0.25">
      <c r="A32">
        <f t="shared" ref="A32" si="10">A30+1</f>
        <v>17</v>
      </c>
      <c r="B32" t="s">
        <v>212</v>
      </c>
      <c r="D32" t="s">
        <v>335</v>
      </c>
      <c r="E32" t="s">
        <v>505</v>
      </c>
      <c r="F32" t="s">
        <v>217</v>
      </c>
      <c r="G32" t="s">
        <v>397</v>
      </c>
      <c r="H32" t="s">
        <v>506</v>
      </c>
    </row>
    <row r="33" spans="1:8" x14ac:dyDescent="0.25">
      <c r="A33">
        <f t="shared" ref="A33" si="11">A32+1</f>
        <v>18</v>
      </c>
      <c r="D33">
        <v>-3.9E-2</v>
      </c>
      <c r="E33">
        <v>-2.4E-2</v>
      </c>
      <c r="F33">
        <v>-2.1000000000000001E-2</v>
      </c>
      <c r="G33">
        <v>-1.7999999999999999E-2</v>
      </c>
      <c r="H33">
        <v>-1.7000000000000001E-2</v>
      </c>
    </row>
    <row r="35" spans="1:8" x14ac:dyDescent="0.25">
      <c r="A35">
        <f t="shared" ref="A35" si="12">A33+1</f>
        <v>19</v>
      </c>
      <c r="B35" t="s">
        <v>15</v>
      </c>
      <c r="E35" t="s">
        <v>583</v>
      </c>
      <c r="F35" t="s">
        <v>584</v>
      </c>
      <c r="G35" t="s">
        <v>248</v>
      </c>
      <c r="H35" t="s">
        <v>457</v>
      </c>
    </row>
    <row r="36" spans="1:8" x14ac:dyDescent="0.25">
      <c r="A36">
        <f t="shared" ref="A36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508</v>
      </c>
      <c r="F38" t="s">
        <v>508</v>
      </c>
      <c r="G38" t="s">
        <v>208</v>
      </c>
      <c r="H38" t="s">
        <v>396</v>
      </c>
    </row>
    <row r="39" spans="1:8" x14ac:dyDescent="0.25">
      <c r="A39">
        <f t="shared" ref="A39" si="15">A38+1</f>
        <v>22</v>
      </c>
      <c r="E39">
        <v>-4.0000000000000001E-3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305</v>
      </c>
      <c r="F41" t="s">
        <v>509</v>
      </c>
      <c r="G41" t="s">
        <v>337</v>
      </c>
      <c r="H41" t="s">
        <v>337</v>
      </c>
    </row>
    <row r="42" spans="1:8" x14ac:dyDescent="0.25">
      <c r="A42">
        <f t="shared" ref="A42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585</v>
      </c>
      <c r="F44" t="s">
        <v>586</v>
      </c>
      <c r="G44" t="s">
        <v>401</v>
      </c>
      <c r="H44" t="s">
        <v>511</v>
      </c>
    </row>
    <row r="45" spans="1:8" x14ac:dyDescent="0.25">
      <c r="A45">
        <f t="shared" ref="A45" si="19">A44+1</f>
        <v>26</v>
      </c>
      <c r="E45">
        <v>-4.0000000000000001E-3</v>
      </c>
      <c r="F45">
        <v>-4.0000000000000001E-3</v>
      </c>
      <c r="G45">
        <v>-3.0000000000000001E-3</v>
      </c>
      <c r="H45">
        <v>-3.0000000000000001E-3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512</v>
      </c>
      <c r="F47" t="s">
        <v>427</v>
      </c>
      <c r="G47" t="s">
        <v>223</v>
      </c>
      <c r="H47" t="s">
        <v>513</v>
      </c>
    </row>
    <row r="48" spans="1:8" x14ac:dyDescent="0.25">
      <c r="A48">
        <f t="shared" ref="A48" si="21">A47+1</f>
        <v>28</v>
      </c>
      <c r="E48">
        <v>-4.0000000000000001E-3</v>
      </c>
      <c r="F48">
        <v>-4.0000000000000001E-3</v>
      </c>
      <c r="G48">
        <v>-4.0000000000000001E-3</v>
      </c>
      <c r="H48">
        <v>-4.0000000000000001E-3</v>
      </c>
    </row>
    <row r="50" spans="1:8" x14ac:dyDescent="0.25">
      <c r="A50">
        <f t="shared" ref="A50" si="22">A48+1</f>
        <v>29</v>
      </c>
      <c r="B50" t="s">
        <v>18</v>
      </c>
      <c r="E50" t="s">
        <v>220</v>
      </c>
      <c r="F50" t="s">
        <v>220</v>
      </c>
      <c r="G50" t="s">
        <v>221</v>
      </c>
      <c r="H50" t="s">
        <v>221</v>
      </c>
    </row>
    <row r="51" spans="1:8" x14ac:dyDescent="0.25">
      <c r="A51">
        <f t="shared" ref="A51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514</v>
      </c>
      <c r="F53" t="s">
        <v>249</v>
      </c>
      <c r="G53" t="s">
        <v>399</v>
      </c>
      <c r="H53" t="s">
        <v>399</v>
      </c>
    </row>
    <row r="54" spans="1:8" x14ac:dyDescent="0.25">
      <c r="A54">
        <f t="shared" ref="A54" si="25">A53+1</f>
        <v>32</v>
      </c>
      <c r="E54">
        <v>-2.9999999999999997E-4</v>
      </c>
      <c r="F54">
        <v>-2.9999999999999997E-4</v>
      </c>
      <c r="G54">
        <v>-2.0000000000000001E-4</v>
      </c>
      <c r="H54">
        <v>-2.0000000000000001E-4</v>
      </c>
    </row>
    <row r="56" spans="1:8" x14ac:dyDescent="0.25">
      <c r="A56">
        <f t="shared" ref="A56" si="26">A54+1</f>
        <v>33</v>
      </c>
      <c r="B56" t="s">
        <v>34</v>
      </c>
      <c r="E56" t="s">
        <v>515</v>
      </c>
      <c r="F56" t="s">
        <v>587</v>
      </c>
      <c r="G56" t="s">
        <v>476</v>
      </c>
      <c r="H56" t="s">
        <v>588</v>
      </c>
    </row>
    <row r="57" spans="1:8" x14ac:dyDescent="0.25">
      <c r="A57">
        <f t="shared" ref="A57" si="27">A56+1</f>
        <v>34</v>
      </c>
      <c r="E57">
        <v>-3.0000000000000001E-3</v>
      </c>
      <c r="F57">
        <v>-3.0000000000000001E-3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>
        <v>-1E-3</v>
      </c>
      <c r="F59" t="s">
        <v>589</v>
      </c>
      <c r="G59" t="s">
        <v>231</v>
      </c>
      <c r="H59" t="s">
        <v>219</v>
      </c>
    </row>
    <row r="60" spans="1:8" x14ac:dyDescent="0.25">
      <c r="A60">
        <f t="shared" ref="A60" si="29">A59+1</f>
        <v>36</v>
      </c>
      <c r="E60">
        <v>-1.4E-2</v>
      </c>
      <c r="F60">
        <v>-1.2999999999999999E-2</v>
      </c>
      <c r="G60">
        <v>-1.0999999999999999E-2</v>
      </c>
      <c r="H60">
        <v>-0.01</v>
      </c>
    </row>
    <row r="62" spans="1:8" x14ac:dyDescent="0.25">
      <c r="A62">
        <f t="shared" ref="A62" si="30">A60+1</f>
        <v>37</v>
      </c>
      <c r="B62" t="s">
        <v>224</v>
      </c>
      <c r="E62" t="s">
        <v>490</v>
      </c>
      <c r="F62" t="s">
        <v>343</v>
      </c>
      <c r="G62" t="s">
        <v>225</v>
      </c>
      <c r="H62" t="s">
        <v>487</v>
      </c>
    </row>
    <row r="63" spans="1:8" x14ac:dyDescent="0.25">
      <c r="A63">
        <f t="shared" ref="A63" si="31">A62+1</f>
        <v>38</v>
      </c>
      <c r="E63">
        <v>-5.0000000000000001E-3</v>
      </c>
      <c r="F63">
        <v>-4.0000000000000001E-3</v>
      </c>
      <c r="G63">
        <v>-4.0000000000000001E-3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590</v>
      </c>
      <c r="C65" t="s">
        <v>591</v>
      </c>
      <c r="E65" t="s">
        <v>218</v>
      </c>
      <c r="F65" t="s">
        <v>325</v>
      </c>
      <c r="G65" t="s">
        <v>217</v>
      </c>
      <c r="H65" t="s">
        <v>198</v>
      </c>
    </row>
    <row r="66" spans="1:8" x14ac:dyDescent="0.25">
      <c r="A66">
        <f t="shared" ref="A66" si="33">A65+1</f>
        <v>40</v>
      </c>
      <c r="E66">
        <v>-4.0000000000000001E-3</v>
      </c>
      <c r="F66">
        <v>-4.0000000000000001E-3</v>
      </c>
      <c r="G66">
        <v>-3.0000000000000001E-3</v>
      </c>
      <c r="H66">
        <v>-3.0000000000000001E-3</v>
      </c>
    </row>
    <row r="68" spans="1:8" x14ac:dyDescent="0.25">
      <c r="A68">
        <f t="shared" ref="A68" si="34">A66+1</f>
        <v>41</v>
      </c>
      <c r="B68" t="s">
        <v>230</v>
      </c>
      <c r="E68" t="s">
        <v>402</v>
      </c>
      <c r="F68" t="s">
        <v>517</v>
      </c>
      <c r="G68" t="s">
        <v>234</v>
      </c>
      <c r="H68" t="s">
        <v>517</v>
      </c>
    </row>
    <row r="69" spans="1:8" x14ac:dyDescent="0.25">
      <c r="A69">
        <f t="shared" ref="A69" si="35">A68+1</f>
        <v>42</v>
      </c>
      <c r="E69">
        <v>-8.0000000000000002E-3</v>
      </c>
      <c r="F69">
        <v>-7.0000000000000001E-3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503</v>
      </c>
      <c r="G71" t="s">
        <v>413</v>
      </c>
      <c r="H71" t="s">
        <v>232</v>
      </c>
    </row>
    <row r="72" spans="1:8" x14ac:dyDescent="0.25">
      <c r="A72">
        <f t="shared" ref="A72" si="37">A71+1</f>
        <v>44</v>
      </c>
      <c r="F72">
        <v>-8.0000000000000002E-3</v>
      </c>
      <c r="G72">
        <v>-7.0000000000000001E-3</v>
      </c>
      <c r="H72">
        <v>-6.0000000000000001E-3</v>
      </c>
    </row>
    <row r="74" spans="1:8" x14ac:dyDescent="0.25">
      <c r="A74">
        <f t="shared" ref="A74" si="38">A72+1</f>
        <v>45</v>
      </c>
      <c r="B74" t="s">
        <v>23</v>
      </c>
      <c r="F74" t="s">
        <v>405</v>
      </c>
      <c r="G74" t="s">
        <v>518</v>
      </c>
      <c r="H74" t="s">
        <v>409</v>
      </c>
    </row>
    <row r="75" spans="1:8" x14ac:dyDescent="0.25">
      <c r="A75">
        <f t="shared" ref="A75" si="39">A74+1</f>
        <v>46</v>
      </c>
      <c r="F75">
        <v>-1.6E-2</v>
      </c>
      <c r="G75">
        <v>-1.4E-2</v>
      </c>
      <c r="H75">
        <v>-1.2999999999999999E-2</v>
      </c>
    </row>
    <row r="77" spans="1:8" x14ac:dyDescent="0.25">
      <c r="A77">
        <f t="shared" ref="A77" si="40">A75+1</f>
        <v>47</v>
      </c>
      <c r="B77" t="s">
        <v>24</v>
      </c>
      <c r="F77" t="s">
        <v>480</v>
      </c>
      <c r="G77" t="s">
        <v>401</v>
      </c>
      <c r="H77" t="s">
        <v>233</v>
      </c>
    </row>
    <row r="78" spans="1:8" x14ac:dyDescent="0.25">
      <c r="A78">
        <f t="shared" ref="A78" si="41">A77+1</f>
        <v>48</v>
      </c>
      <c r="F78">
        <v>-7.0000000000000001E-3</v>
      </c>
      <c r="G78">
        <v>-6.0000000000000001E-3</v>
      </c>
      <c r="H78">
        <v>-5.0000000000000001E-3</v>
      </c>
    </row>
    <row r="80" spans="1:8" x14ac:dyDescent="0.25">
      <c r="A80">
        <f t="shared" ref="A80" si="42">A78+1</f>
        <v>49</v>
      </c>
      <c r="B80" t="s">
        <v>25</v>
      </c>
      <c r="F80">
        <v>8.9999999999999993E-3</v>
      </c>
      <c r="G80" t="s">
        <v>592</v>
      </c>
      <c r="H80" t="s">
        <v>406</v>
      </c>
    </row>
    <row r="81" spans="1:8" x14ac:dyDescent="0.25">
      <c r="A81">
        <f t="shared" ref="A81" si="43">A80+1</f>
        <v>50</v>
      </c>
      <c r="F81">
        <v>-8.0000000000000002E-3</v>
      </c>
      <c r="G81">
        <v>-7.0000000000000001E-3</v>
      </c>
      <c r="H81">
        <v>-6.0000000000000001E-3</v>
      </c>
    </row>
    <row r="83" spans="1:8" x14ac:dyDescent="0.25">
      <c r="A83">
        <f t="shared" ref="A83" si="44">A81+1</f>
        <v>51</v>
      </c>
      <c r="B83" t="s">
        <v>26</v>
      </c>
      <c r="F83" t="s">
        <v>593</v>
      </c>
      <c r="G83" t="s">
        <v>461</v>
      </c>
      <c r="H83" t="s">
        <v>594</v>
      </c>
    </row>
    <row r="84" spans="1:8" x14ac:dyDescent="0.25">
      <c r="A84">
        <f t="shared" ref="A84" si="45">A83+1</f>
        <v>52</v>
      </c>
      <c r="F84">
        <v>-6.0000000000000001E-3</v>
      </c>
      <c r="G84">
        <v>-5.0000000000000001E-3</v>
      </c>
      <c r="H84">
        <v>-5.0000000000000001E-3</v>
      </c>
    </row>
    <row r="86" spans="1:8" x14ac:dyDescent="0.25">
      <c r="A86">
        <f t="shared" ref="A86" si="46">A84+1</f>
        <v>53</v>
      </c>
      <c r="B86" t="s">
        <v>27</v>
      </c>
      <c r="F86" t="s">
        <v>340</v>
      </c>
      <c r="G86" t="s">
        <v>595</v>
      </c>
      <c r="H86" t="s">
        <v>520</v>
      </c>
    </row>
    <row r="87" spans="1:8" x14ac:dyDescent="0.25">
      <c r="A87">
        <f t="shared" ref="A87" si="47">A86+1</f>
        <v>54</v>
      </c>
      <c r="F87">
        <v>-0.01</v>
      </c>
      <c r="G87">
        <v>-8.9999999999999993E-3</v>
      </c>
      <c r="H87">
        <v>-8.0000000000000002E-3</v>
      </c>
    </row>
    <row r="89" spans="1:8" x14ac:dyDescent="0.25">
      <c r="A89">
        <f t="shared" ref="A89" si="48">A87+1</f>
        <v>55</v>
      </c>
      <c r="B89" t="s">
        <v>29</v>
      </c>
      <c r="F89">
        <v>-1.7000000000000001E-2</v>
      </c>
      <c r="G89">
        <v>1.6E-2</v>
      </c>
      <c r="H89" t="s">
        <v>521</v>
      </c>
    </row>
    <row r="90" spans="1:8" x14ac:dyDescent="0.25">
      <c r="A90">
        <f t="shared" ref="A90" si="49">A89+1</f>
        <v>56</v>
      </c>
      <c r="F90">
        <v>-1.6E-2</v>
      </c>
      <c r="G90">
        <v>-1.4E-2</v>
      </c>
      <c r="H90">
        <v>-1.2999999999999999E-2</v>
      </c>
    </row>
    <row r="92" spans="1:8" x14ac:dyDescent="0.25">
      <c r="A92">
        <f t="shared" ref="A92" si="50">A90+1</f>
        <v>57</v>
      </c>
      <c r="B92" t="s">
        <v>31</v>
      </c>
      <c r="F92" t="s">
        <v>596</v>
      </c>
      <c r="G92" t="s">
        <v>516</v>
      </c>
      <c r="H92" t="s">
        <v>597</v>
      </c>
    </row>
    <row r="93" spans="1:8" x14ac:dyDescent="0.25">
      <c r="A93">
        <f t="shared" ref="A93" si="51">A92+1</f>
        <v>58</v>
      </c>
      <c r="F93">
        <v>-7.0000000000000001E-3</v>
      </c>
      <c r="G93">
        <v>-6.0000000000000001E-3</v>
      </c>
      <c r="H93">
        <v>-6.0000000000000001E-3</v>
      </c>
    </row>
    <row r="95" spans="1:8" x14ac:dyDescent="0.25">
      <c r="A95">
        <f t="shared" ref="A95" si="52">A93+1</f>
        <v>59</v>
      </c>
      <c r="B95" t="s">
        <v>28</v>
      </c>
      <c r="F95" t="s">
        <v>598</v>
      </c>
      <c r="G95" t="s">
        <v>523</v>
      </c>
      <c r="H95" t="s">
        <v>524</v>
      </c>
    </row>
    <row r="96" spans="1:8" x14ac:dyDescent="0.25">
      <c r="A96">
        <f t="shared" ref="A96" si="53">A95+1</f>
        <v>60</v>
      </c>
      <c r="F96">
        <v>-6.0000000000000001E-3</v>
      </c>
      <c r="G96">
        <v>-6.0000000000000001E-3</v>
      </c>
      <c r="H96">
        <v>-5.0000000000000001E-3</v>
      </c>
    </row>
    <row r="98" spans="1:8" x14ac:dyDescent="0.25">
      <c r="A98">
        <f t="shared" ref="A98" si="54">A96+1</f>
        <v>61</v>
      </c>
      <c r="B98" t="s">
        <v>235</v>
      </c>
      <c r="F98">
        <v>-1.0999999999999999E-2</v>
      </c>
      <c r="G98" t="s">
        <v>599</v>
      </c>
      <c r="H98">
        <v>-1.0999999999999999E-2</v>
      </c>
    </row>
    <row r="99" spans="1:8" x14ac:dyDescent="0.25">
      <c r="A99">
        <f t="shared" ref="A99" si="55">A98+1</f>
        <v>62</v>
      </c>
      <c r="F99">
        <v>-1.4999999999999999E-2</v>
      </c>
      <c r="G99">
        <v>-1.4E-2</v>
      </c>
      <c r="H99">
        <v>-1.2999999999999999E-2</v>
      </c>
    </row>
    <row r="101" spans="1:8" x14ac:dyDescent="0.25">
      <c r="A101">
        <f t="shared" ref="A101" si="56">A99+1</f>
        <v>63</v>
      </c>
      <c r="B101" t="s">
        <v>236</v>
      </c>
      <c r="F101">
        <v>2E-3</v>
      </c>
      <c r="G101" t="s">
        <v>406</v>
      </c>
      <c r="H101">
        <v>-0.01</v>
      </c>
    </row>
    <row r="102" spans="1:8" x14ac:dyDescent="0.25">
      <c r="A102">
        <f t="shared" ref="A102" si="57">A101+1</f>
        <v>64</v>
      </c>
      <c r="F102">
        <v>-0.01</v>
      </c>
      <c r="G102">
        <v>-8.9999999999999993E-3</v>
      </c>
      <c r="H102">
        <v>-8.9999999999999993E-3</v>
      </c>
    </row>
    <row r="104" spans="1:8" x14ac:dyDescent="0.25">
      <c r="A104">
        <f t="shared" ref="A104" si="58">A102+1</f>
        <v>65</v>
      </c>
      <c r="B104" t="s">
        <v>238</v>
      </c>
      <c r="F104" t="s">
        <v>525</v>
      </c>
      <c r="G104" t="s">
        <v>600</v>
      </c>
      <c r="H104" t="s">
        <v>601</v>
      </c>
    </row>
    <row r="105" spans="1:8" x14ac:dyDescent="0.25">
      <c r="A105">
        <f t="shared" ref="A105" si="59">A104+1</f>
        <v>66</v>
      </c>
      <c r="F105">
        <v>-5.0000000000000001E-3</v>
      </c>
      <c r="G105">
        <v>-4.0000000000000001E-3</v>
      </c>
      <c r="H105">
        <v>-4.0000000000000001E-3</v>
      </c>
    </row>
    <row r="107" spans="1:8" x14ac:dyDescent="0.25">
      <c r="A107">
        <f t="shared" ref="A107" si="60">A105+1</f>
        <v>67</v>
      </c>
      <c r="B107" t="s">
        <v>240</v>
      </c>
      <c r="F107" t="s">
        <v>468</v>
      </c>
      <c r="G107" t="s">
        <v>511</v>
      </c>
      <c r="H107" t="s">
        <v>602</v>
      </c>
    </row>
    <row r="108" spans="1:8" x14ac:dyDescent="0.25">
      <c r="A108">
        <f t="shared" ref="A108" si="61">A107+1</f>
        <v>68</v>
      </c>
      <c r="F108">
        <v>-6.0000000000000001E-3</v>
      </c>
      <c r="G108">
        <v>-5.0000000000000001E-3</v>
      </c>
      <c r="H108">
        <v>-5.0000000000000001E-3</v>
      </c>
    </row>
    <row r="110" spans="1:8" x14ac:dyDescent="0.25">
      <c r="A110">
        <f t="shared" ref="A110" si="62">A108+1</f>
        <v>69</v>
      </c>
      <c r="B110" t="s">
        <v>241</v>
      </c>
      <c r="F110" t="s">
        <v>435</v>
      </c>
      <c r="G110" t="s">
        <v>603</v>
      </c>
      <c r="H110" t="s">
        <v>329</v>
      </c>
    </row>
    <row r="111" spans="1:8" x14ac:dyDescent="0.25">
      <c r="A111">
        <f t="shared" ref="A111" si="63">A110+1</f>
        <v>70</v>
      </c>
      <c r="F111">
        <v>-0.01</v>
      </c>
      <c r="G111">
        <v>-8.9999999999999993E-3</v>
      </c>
      <c r="H111">
        <v>-8.0000000000000002E-3</v>
      </c>
    </row>
    <row r="113" spans="1:8" x14ac:dyDescent="0.25">
      <c r="A113">
        <f t="shared" ref="A113" si="64">A111+1</f>
        <v>71</v>
      </c>
      <c r="B113" t="s">
        <v>243</v>
      </c>
      <c r="F113" t="s">
        <v>604</v>
      </c>
      <c r="G113" t="s">
        <v>551</v>
      </c>
      <c r="H113">
        <v>-7.0000000000000001E-3</v>
      </c>
    </row>
    <row r="114" spans="1:8" x14ac:dyDescent="0.25">
      <c r="A114">
        <f t="shared" ref="A114" si="65">A113+1</f>
        <v>72</v>
      </c>
      <c r="F114">
        <v>-7.0000000000000001E-3</v>
      </c>
      <c r="G114">
        <v>-7.0000000000000001E-3</v>
      </c>
      <c r="H114">
        <v>-6.0000000000000001E-3</v>
      </c>
    </row>
    <row r="116" spans="1:8" x14ac:dyDescent="0.25">
      <c r="A116">
        <f t="shared" ref="A116" si="66">A114+1</f>
        <v>73</v>
      </c>
      <c r="B116" t="s">
        <v>245</v>
      </c>
      <c r="F116" t="s">
        <v>605</v>
      </c>
      <c r="G116" t="s">
        <v>606</v>
      </c>
      <c r="H116" t="s">
        <v>527</v>
      </c>
    </row>
    <row r="117" spans="1:8" x14ac:dyDescent="0.25">
      <c r="A117">
        <f t="shared" ref="A117" si="67">A116+1</f>
        <v>74</v>
      </c>
      <c r="F117">
        <v>-1.2E-2</v>
      </c>
      <c r="G117">
        <v>-0.01</v>
      </c>
      <c r="H117">
        <v>-1.0999999999999999E-2</v>
      </c>
    </row>
    <row r="119" spans="1:8" x14ac:dyDescent="0.25">
      <c r="A119">
        <f t="shared" ref="A119" si="68">A117+1</f>
        <v>75</v>
      </c>
      <c r="B119" t="s">
        <v>166</v>
      </c>
      <c r="F119" t="s">
        <v>607</v>
      </c>
      <c r="G119" t="s">
        <v>608</v>
      </c>
      <c r="H119" t="s">
        <v>528</v>
      </c>
    </row>
    <row r="120" spans="1:8" x14ac:dyDescent="0.25">
      <c r="A120">
        <f t="shared" ref="A120" si="69">A119+1</f>
        <v>76</v>
      </c>
      <c r="F120">
        <v>-8.0000000000000002E-3</v>
      </c>
      <c r="G120">
        <v>-7.0000000000000001E-3</v>
      </c>
      <c r="H120">
        <v>-7.0000000000000001E-3</v>
      </c>
    </row>
    <row r="122" spans="1:8" x14ac:dyDescent="0.25">
      <c r="A122">
        <f t="shared" ref="A122" si="70">A120+1</f>
        <v>77</v>
      </c>
      <c r="B122" t="s">
        <v>167</v>
      </c>
      <c r="F122" t="s">
        <v>609</v>
      </c>
      <c r="G122" t="s">
        <v>610</v>
      </c>
      <c r="H122" t="s">
        <v>529</v>
      </c>
    </row>
    <row r="123" spans="1:8" x14ac:dyDescent="0.25">
      <c r="A123">
        <f t="shared" ref="A123" si="71">A122+1</f>
        <v>78</v>
      </c>
      <c r="F123">
        <v>-8.9999999999999993E-3</v>
      </c>
      <c r="G123">
        <v>-8.0000000000000002E-3</v>
      </c>
      <c r="H123">
        <v>-8.0000000000000002E-3</v>
      </c>
    </row>
    <row r="125" spans="1:8" x14ac:dyDescent="0.25">
      <c r="A125">
        <f t="shared" ref="A125" si="72">A123+1</f>
        <v>79</v>
      </c>
      <c r="B125" t="s">
        <v>168</v>
      </c>
      <c r="F125" t="s">
        <v>611</v>
      </c>
      <c r="G125" t="s">
        <v>612</v>
      </c>
      <c r="H125" t="s">
        <v>530</v>
      </c>
    </row>
    <row r="126" spans="1:8" x14ac:dyDescent="0.25">
      <c r="A126">
        <f t="shared" ref="A126" si="73">A125+1</f>
        <v>80</v>
      </c>
      <c r="F126">
        <v>-1.0999999999999999E-2</v>
      </c>
      <c r="G126">
        <v>-8.9999999999999993E-3</v>
      </c>
      <c r="H126">
        <v>-8.9999999999999993E-3</v>
      </c>
    </row>
    <row r="128" spans="1:8" x14ac:dyDescent="0.25">
      <c r="A128">
        <f t="shared" ref="A128" si="74">A126+1</f>
        <v>81</v>
      </c>
      <c r="B128" t="s">
        <v>169</v>
      </c>
      <c r="F128" t="s">
        <v>412</v>
      </c>
      <c r="G128" t="s">
        <v>553</v>
      </c>
      <c r="H128" t="s">
        <v>531</v>
      </c>
    </row>
    <row r="129" spans="1:8" x14ac:dyDescent="0.25">
      <c r="A129">
        <f t="shared" ref="A129" si="75">A128+1</f>
        <v>82</v>
      </c>
      <c r="F129">
        <v>-0.01</v>
      </c>
      <c r="G129">
        <v>-8.9999999999999993E-3</v>
      </c>
      <c r="H129">
        <v>-8.0000000000000002E-3</v>
      </c>
    </row>
    <row r="131" spans="1:8" x14ac:dyDescent="0.25">
      <c r="A131">
        <f t="shared" ref="A131" si="76">A129+1</f>
        <v>83</v>
      </c>
      <c r="B131" t="s">
        <v>170</v>
      </c>
      <c r="F131" t="s">
        <v>532</v>
      </c>
      <c r="G131" t="s">
        <v>613</v>
      </c>
      <c r="H131" t="s">
        <v>411</v>
      </c>
    </row>
    <row r="132" spans="1:8" x14ac:dyDescent="0.25">
      <c r="A132">
        <f t="shared" ref="A132" si="77">A131+1</f>
        <v>84</v>
      </c>
      <c r="F132">
        <v>-1.2E-2</v>
      </c>
      <c r="G132">
        <v>-1.0999999999999999E-2</v>
      </c>
      <c r="H132">
        <v>-0.01</v>
      </c>
    </row>
    <row r="134" spans="1:8" x14ac:dyDescent="0.25">
      <c r="A134">
        <f t="shared" ref="A134" si="78">A132+1</f>
        <v>85</v>
      </c>
      <c r="B134" t="s">
        <v>50</v>
      </c>
      <c r="F134" t="s">
        <v>533</v>
      </c>
      <c r="G134" t="s">
        <v>246</v>
      </c>
      <c r="H134">
        <v>0</v>
      </c>
    </row>
    <row r="135" spans="1:8" x14ac:dyDescent="0.25">
      <c r="A135">
        <f t="shared" ref="A135" si="79">A134+1</f>
        <v>86</v>
      </c>
      <c r="F135">
        <v>-3.0000000000000001E-5</v>
      </c>
      <c r="G135">
        <v>-3.0000000000000001E-5</v>
      </c>
      <c r="H135">
        <v>-3.0000000000000001E-5</v>
      </c>
    </row>
    <row r="137" spans="1:8" x14ac:dyDescent="0.25">
      <c r="A137">
        <f t="shared" ref="A137" si="80">A135+1</f>
        <v>87</v>
      </c>
      <c r="B137" t="s">
        <v>52</v>
      </c>
      <c r="F137" t="s">
        <v>251</v>
      </c>
      <c r="G137">
        <v>-1E-4</v>
      </c>
      <c r="H137" t="s">
        <v>534</v>
      </c>
    </row>
    <row r="138" spans="1:8" x14ac:dyDescent="0.25">
      <c r="A138">
        <f t="shared" ref="A138" si="81">A137+1</f>
        <v>88</v>
      </c>
      <c r="F138">
        <v>-3.0000000000000001E-3</v>
      </c>
      <c r="G138">
        <v>-3.0000000000000001E-3</v>
      </c>
      <c r="H138">
        <v>-3.0000000000000001E-3</v>
      </c>
    </row>
    <row r="140" spans="1:8" x14ac:dyDescent="0.25">
      <c r="A140">
        <f t="shared" ref="A140" si="82">A138+1</f>
        <v>89</v>
      </c>
      <c r="B140" t="s">
        <v>51</v>
      </c>
      <c r="F140" t="s">
        <v>247</v>
      </c>
      <c r="G140" t="s">
        <v>535</v>
      </c>
      <c r="H140" t="s">
        <v>473</v>
      </c>
    </row>
    <row r="141" spans="1:8" x14ac:dyDescent="0.25">
      <c r="A141">
        <f t="shared" ref="A141" si="83">A140+1</f>
        <v>90</v>
      </c>
      <c r="F141">
        <v>-1E-3</v>
      </c>
      <c r="G141">
        <v>-1E-3</v>
      </c>
      <c r="H141">
        <v>-1E-3</v>
      </c>
    </row>
    <row r="143" spans="1:8" x14ac:dyDescent="0.25">
      <c r="A143">
        <f t="shared" ref="A143" si="84">A141+1</f>
        <v>91</v>
      </c>
      <c r="B143" t="s">
        <v>164</v>
      </c>
      <c r="G143" t="s">
        <v>251</v>
      </c>
      <c r="H143" t="s">
        <v>347</v>
      </c>
    </row>
    <row r="144" spans="1:8" x14ac:dyDescent="0.25">
      <c r="A144">
        <f t="shared" ref="A144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39</v>
      </c>
      <c r="G146" t="s">
        <v>519</v>
      </c>
      <c r="H146" t="s">
        <v>536</v>
      </c>
    </row>
    <row r="147" spans="1:8" x14ac:dyDescent="0.25">
      <c r="A147">
        <f t="shared" ref="A147" si="87">A146+1</f>
        <v>94</v>
      </c>
      <c r="G147">
        <v>-4.0000000000000001E-3</v>
      </c>
      <c r="H147">
        <v>-4.0000000000000001E-3</v>
      </c>
    </row>
    <row r="149" spans="1:8" x14ac:dyDescent="0.25">
      <c r="A149">
        <f t="shared" ref="A149" si="88">A147+1</f>
        <v>95</v>
      </c>
      <c r="B149" t="s">
        <v>40</v>
      </c>
      <c r="G149" t="s">
        <v>347</v>
      </c>
      <c r="H149" t="s">
        <v>494</v>
      </c>
    </row>
    <row r="150" spans="1:8" x14ac:dyDescent="0.25">
      <c r="A150">
        <f t="shared" ref="A150" si="89">A149+1</f>
        <v>96</v>
      </c>
      <c r="G150">
        <v>-1E-3</v>
      </c>
      <c r="H150">
        <v>-1E-3</v>
      </c>
    </row>
    <row r="152" spans="1:8" x14ac:dyDescent="0.25">
      <c r="A152">
        <f t="shared" ref="A152" si="90">A150+1</f>
        <v>97</v>
      </c>
      <c r="B152" t="s">
        <v>41</v>
      </c>
      <c r="G152" t="s">
        <v>347</v>
      </c>
      <c r="H152" t="s">
        <v>250</v>
      </c>
    </row>
    <row r="153" spans="1:8" x14ac:dyDescent="0.25">
      <c r="A153">
        <f t="shared" ref="A153" si="91">A152+1</f>
        <v>98</v>
      </c>
      <c r="G153">
        <v>-5.0000000000000001E-4</v>
      </c>
      <c r="H153">
        <v>-5.0000000000000001E-4</v>
      </c>
    </row>
    <row r="155" spans="1:8" x14ac:dyDescent="0.25">
      <c r="A155">
        <f t="shared" ref="A155" si="92">A153+1</f>
        <v>99</v>
      </c>
      <c r="B155" t="s">
        <v>173</v>
      </c>
      <c r="G155">
        <v>-4.0000000000000002E-4</v>
      </c>
      <c r="H155" t="s">
        <v>253</v>
      </c>
    </row>
    <row r="156" spans="1:8" x14ac:dyDescent="0.25">
      <c r="A156">
        <f t="shared" ref="A156" si="93">A155+1</f>
        <v>100</v>
      </c>
      <c r="G156">
        <v>-2.9999999999999997E-4</v>
      </c>
      <c r="H156">
        <v>-2.9999999999999997E-4</v>
      </c>
    </row>
    <row r="158" spans="1:8" x14ac:dyDescent="0.25">
      <c r="A158">
        <f t="shared" ref="A158" si="94">A156+1</f>
        <v>101</v>
      </c>
      <c r="B158" t="s">
        <v>174</v>
      </c>
      <c r="G158" t="s">
        <v>457</v>
      </c>
      <c r="H158" t="s">
        <v>413</v>
      </c>
    </row>
    <row r="159" spans="1:8" x14ac:dyDescent="0.25">
      <c r="A159">
        <f t="shared" ref="A159" si="95">A158+1</f>
        <v>102</v>
      </c>
      <c r="G159">
        <v>-1E-3</v>
      </c>
      <c r="H159">
        <v>-1E-3</v>
      </c>
    </row>
    <row r="161" spans="1:8" x14ac:dyDescent="0.25">
      <c r="A161">
        <f t="shared" ref="A161" si="96">A159+1</f>
        <v>103</v>
      </c>
      <c r="B161" t="s">
        <v>175</v>
      </c>
      <c r="G161" t="s">
        <v>205</v>
      </c>
      <c r="H161" t="s">
        <v>614</v>
      </c>
    </row>
    <row r="162" spans="1:8" x14ac:dyDescent="0.25">
      <c r="A162">
        <f t="shared" ref="A162" si="97">A161+1</f>
        <v>104</v>
      </c>
      <c r="G162">
        <v>-1E-3</v>
      </c>
      <c r="H162">
        <v>-1E-3</v>
      </c>
    </row>
    <row r="164" spans="1:8" x14ac:dyDescent="0.25">
      <c r="A164">
        <f t="shared" ref="A164" si="98">A162+1</f>
        <v>105</v>
      </c>
      <c r="B164" t="s">
        <v>53</v>
      </c>
      <c r="G164" t="s">
        <v>257</v>
      </c>
      <c r="H164" t="s">
        <v>257</v>
      </c>
    </row>
    <row r="165" spans="1:8" x14ac:dyDescent="0.25">
      <c r="A165">
        <f t="shared" ref="A165" si="99">A164+1</f>
        <v>106</v>
      </c>
      <c r="G165">
        <v>0</v>
      </c>
      <c r="H165">
        <v>0</v>
      </c>
    </row>
    <row r="167" spans="1:8" x14ac:dyDescent="0.25">
      <c r="A167">
        <f t="shared" ref="A167" si="100">A165+1</f>
        <v>107</v>
      </c>
      <c r="B167" t="s">
        <v>54</v>
      </c>
      <c r="G167" t="s">
        <v>256</v>
      </c>
      <c r="H167" t="s">
        <v>256</v>
      </c>
    </row>
    <row r="168" spans="1:8" x14ac:dyDescent="0.25">
      <c r="A168">
        <f t="shared" ref="A168" si="101">A167+1</f>
        <v>108</v>
      </c>
      <c r="G168">
        <v>0</v>
      </c>
      <c r="H168">
        <v>0</v>
      </c>
    </row>
    <row r="170" spans="1:8" x14ac:dyDescent="0.25">
      <c r="A170">
        <f t="shared" ref="A170" si="102">A168+1</f>
        <v>109</v>
      </c>
      <c r="B170" t="s">
        <v>43</v>
      </c>
      <c r="H170" t="s">
        <v>615</v>
      </c>
    </row>
    <row r="171" spans="1:8" x14ac:dyDescent="0.25">
      <c r="A171">
        <f t="shared" ref="A171" si="103">A170+1</f>
        <v>110</v>
      </c>
      <c r="H171">
        <v>-3.6999999999999998E-2</v>
      </c>
    </row>
    <row r="173" spans="1:8" x14ac:dyDescent="0.25">
      <c r="A173">
        <f t="shared" ref="A173" si="104">A171+1</f>
        <v>111</v>
      </c>
      <c r="B173" t="s">
        <v>44</v>
      </c>
      <c r="H173" t="s">
        <v>616</v>
      </c>
    </row>
    <row r="174" spans="1:8" x14ac:dyDescent="0.25">
      <c r="A174">
        <f t="shared" ref="A174" si="105">A173+1</f>
        <v>112</v>
      </c>
      <c r="H174">
        <v>-8.0000000000000002E-3</v>
      </c>
    </row>
    <row r="176" spans="1:8" x14ac:dyDescent="0.25">
      <c r="A176">
        <f t="shared" ref="A176" si="106">A174+1</f>
        <v>113</v>
      </c>
      <c r="B176" t="s">
        <v>45</v>
      </c>
      <c r="H176" t="s">
        <v>617</v>
      </c>
    </row>
    <row r="177" spans="1:8" x14ac:dyDescent="0.25">
      <c r="A177">
        <f t="shared" ref="A177" si="107">A176+1</f>
        <v>114</v>
      </c>
      <c r="H177">
        <v>-1.6E-2</v>
      </c>
    </row>
    <row r="179" spans="1:8" x14ac:dyDescent="0.25">
      <c r="A179">
        <f t="shared" ref="A179" si="108">A177+1</f>
        <v>115</v>
      </c>
      <c r="B179" t="s">
        <v>48</v>
      </c>
      <c r="H179" t="s">
        <v>618</v>
      </c>
    </row>
    <row r="180" spans="1:8" x14ac:dyDescent="0.25">
      <c r="A180">
        <f t="shared" ref="A180" si="109">A179+1</f>
        <v>116</v>
      </c>
      <c r="H180">
        <v>-8.0000000000000002E-3</v>
      </c>
    </row>
    <row r="182" spans="1:8" x14ac:dyDescent="0.25">
      <c r="A182">
        <f t="shared" ref="A182" si="110">A180+1</f>
        <v>117</v>
      </c>
      <c r="B182" t="s">
        <v>46</v>
      </c>
      <c r="H182" t="s">
        <v>537</v>
      </c>
    </row>
    <row r="183" spans="1:8" x14ac:dyDescent="0.25">
      <c r="A183">
        <f t="shared" ref="A183" si="111">A182+1</f>
        <v>118</v>
      </c>
      <c r="H183">
        <v>-1.0999999999999999E-2</v>
      </c>
    </row>
    <row r="185" spans="1:8" x14ac:dyDescent="0.25">
      <c r="A185">
        <f t="shared" ref="A185" si="112">A183+1</f>
        <v>119</v>
      </c>
      <c r="B185" t="s">
        <v>258</v>
      </c>
      <c r="C185" t="s">
        <v>538</v>
      </c>
      <c r="D185" t="s">
        <v>539</v>
      </c>
      <c r="E185" t="s">
        <v>540</v>
      </c>
      <c r="F185" t="s">
        <v>541</v>
      </c>
      <c r="G185" t="s">
        <v>619</v>
      </c>
      <c r="H185" t="s">
        <v>620</v>
      </c>
    </row>
    <row r="186" spans="1:8" x14ac:dyDescent="0.25">
      <c r="A186">
        <f t="shared" ref="A186" si="113">A185+1</f>
        <v>120</v>
      </c>
      <c r="C186">
        <v>-3.0000000000000001E-3</v>
      </c>
      <c r="D186">
        <v>-8.0000000000000002E-3</v>
      </c>
      <c r="E186">
        <v>-8.9999999999999993E-3</v>
      </c>
      <c r="F186">
        <v>-1.4E-2</v>
      </c>
      <c r="G186">
        <v>-0.82099999999999995</v>
      </c>
      <c r="H186">
        <v>-0.79</v>
      </c>
    </row>
    <row r="188" spans="1:8" x14ac:dyDescent="0.25">
      <c r="B188" t="s">
        <v>581</v>
      </c>
      <c r="C188" t="s">
        <v>580</v>
      </c>
      <c r="D188" t="s">
        <v>195</v>
      </c>
      <c r="E188" t="s">
        <v>579</v>
      </c>
      <c r="F188" t="s">
        <v>194</v>
      </c>
      <c r="G188" t="s">
        <v>194</v>
      </c>
      <c r="H188" t="s">
        <v>580</v>
      </c>
    </row>
    <row r="189" spans="1:8" x14ac:dyDescent="0.25">
      <c r="A189">
        <v>123</v>
      </c>
      <c r="B189" t="s">
        <v>187</v>
      </c>
      <c r="C189" s="1">
        <v>50394</v>
      </c>
      <c r="D189" s="1">
        <v>50394</v>
      </c>
      <c r="E189" s="1">
        <v>50394</v>
      </c>
      <c r="F189" s="1">
        <v>50394</v>
      </c>
      <c r="G189" s="1">
        <v>50394</v>
      </c>
      <c r="H189" s="1">
        <v>50394</v>
      </c>
    </row>
    <row r="190" spans="1:8" x14ac:dyDescent="0.25">
      <c r="A190">
        <v>124</v>
      </c>
      <c r="B190" t="s">
        <v>259</v>
      </c>
      <c r="C190">
        <v>4.0000000000000001E-3</v>
      </c>
      <c r="D190">
        <v>1.7999999999999999E-2</v>
      </c>
      <c r="E190">
        <v>0.63700000000000001</v>
      </c>
      <c r="F190">
        <v>0.72199999999999998</v>
      </c>
      <c r="G190">
        <v>0.79</v>
      </c>
      <c r="H190">
        <v>0.81399999999999995</v>
      </c>
    </row>
    <row r="191" spans="1:8" x14ac:dyDescent="0.25">
      <c r="A191">
        <v>125</v>
      </c>
      <c r="B191" t="s">
        <v>260</v>
      </c>
      <c r="C191">
        <v>4.0000000000000001E-3</v>
      </c>
      <c r="D191">
        <v>1.7999999999999999E-2</v>
      </c>
      <c r="E191">
        <v>0.63700000000000001</v>
      </c>
      <c r="F191">
        <v>0.72099999999999997</v>
      </c>
      <c r="G191">
        <v>0.79</v>
      </c>
      <c r="H191">
        <v>0.81399999999999995</v>
      </c>
    </row>
    <row r="192" spans="1:8" x14ac:dyDescent="0.25">
      <c r="A192">
        <v>126</v>
      </c>
      <c r="B192" t="s">
        <v>261</v>
      </c>
      <c r="C192" t="s">
        <v>621</v>
      </c>
      <c r="D192" t="s">
        <v>622</v>
      </c>
      <c r="E192" t="s">
        <v>623</v>
      </c>
      <c r="F192" t="s">
        <v>624</v>
      </c>
      <c r="G192" t="s">
        <v>625</v>
      </c>
      <c r="H192" t="s">
        <v>626</v>
      </c>
    </row>
    <row r="193" spans="1:8" x14ac:dyDescent="0.25">
      <c r="A193">
        <v>127</v>
      </c>
      <c r="B193" t="s">
        <v>262</v>
      </c>
      <c r="C193" t="s">
        <v>627</v>
      </c>
      <c r="D193" t="s">
        <v>628</v>
      </c>
      <c r="E193" t="s">
        <v>629</v>
      </c>
      <c r="F193" t="s">
        <v>630</v>
      </c>
      <c r="G193" t="s">
        <v>631</v>
      </c>
      <c r="H193" t="s">
        <v>632</v>
      </c>
    </row>
    <row r="194" spans="1:8" x14ac:dyDescent="0.25">
      <c r="B194" t="s">
        <v>576</v>
      </c>
      <c r="C194" t="s">
        <v>577</v>
      </c>
      <c r="D194" t="s">
        <v>192</v>
      </c>
      <c r="E194" t="s">
        <v>578</v>
      </c>
      <c r="F194" t="s">
        <v>193</v>
      </c>
      <c r="G194" t="s">
        <v>193</v>
      </c>
      <c r="H194" t="s">
        <v>577</v>
      </c>
    </row>
    <row r="195" spans="1:8" x14ac:dyDescent="0.25">
      <c r="B195" t="s">
        <v>263</v>
      </c>
      <c r="H195" t="s">
        <v>264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132F7-0D2C-4E94-8ED8-7608F2029554}">
  <sheetPr codeName="Sheet12"/>
  <dimension ref="A1:AG61"/>
  <sheetViews>
    <sheetView topLeftCell="A34" workbookViewId="0">
      <selection activeCell="B1" sqref="B1:Z1048576"/>
    </sheetView>
  </sheetViews>
  <sheetFormatPr defaultColWidth="11.42578125" defaultRowHeight="15" x14ac:dyDescent="0.25"/>
  <cols>
    <col min="2" max="2" width="25.85546875" bestFit="1" customWidth="1"/>
    <col min="3" max="3" width="12.7109375" bestFit="1" customWidth="1"/>
    <col min="4" max="4" width="12" bestFit="1" customWidth="1"/>
    <col min="5" max="5" width="12.7109375" bestFit="1" customWidth="1"/>
    <col min="6" max="6" width="12" bestFit="1" customWidth="1"/>
    <col min="7" max="7" width="12.7109375" bestFit="1" customWidth="1"/>
    <col min="8" max="8" width="12" bestFit="1" customWidth="1"/>
    <col min="9" max="9" width="12.7109375" bestFit="1" customWidth="1"/>
    <col min="10" max="10" width="12" bestFit="1" customWidth="1"/>
    <col min="11" max="11" width="12.7109375" bestFit="1" customWidth="1"/>
    <col min="12" max="12" width="12" bestFit="1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19" width="13.7109375" bestFit="1" customWidth="1"/>
    <col min="20" max="20" width="13.5703125" bestFit="1" customWidth="1"/>
    <col min="21" max="21" width="12.5703125" bestFit="1" customWidth="1"/>
    <col min="22" max="22" width="12.28515625" bestFit="1" customWidth="1"/>
    <col min="23" max="23" width="13.7109375" bestFit="1" customWidth="1"/>
    <col min="24" max="24" width="13.5703125" bestFit="1" customWidth="1"/>
    <col min="25" max="25" width="12.5703125" bestFit="1" customWidth="1"/>
    <col min="26" max="26" width="12.28515625" bestFit="1" customWidth="1"/>
  </cols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-5.7200943764678396</v>
      </c>
      <c r="D2">
        <v>14.0883677578144</v>
      </c>
      <c r="E2">
        <v>-0.40601540751909199</v>
      </c>
      <c r="F2">
        <v>0.69168168397779295</v>
      </c>
      <c r="G2">
        <v>-6.8207602732567398</v>
      </c>
      <c r="H2">
        <v>17.0498980344694</v>
      </c>
      <c r="I2">
        <v>-0.40004698324103499</v>
      </c>
      <c r="J2">
        <v>0.69666237788112995</v>
      </c>
      <c r="K2">
        <v>12.419758799691699</v>
      </c>
      <c r="L2">
        <v>0.100592496424336</v>
      </c>
      <c r="M2">
        <v>123.466056029673</v>
      </c>
      <c r="N2">
        <v>2.5937441684140301E-15</v>
      </c>
      <c r="O2">
        <v>12.963171282805</v>
      </c>
      <c r="P2">
        <v>0.123395752482655</v>
      </c>
      <c r="Q2">
        <v>105.053626417385</v>
      </c>
      <c r="R2">
        <v>1.4856248919074E-24</v>
      </c>
      <c r="S2">
        <v>13.4138966295326</v>
      </c>
      <c r="T2">
        <v>4.7994854801436698E-2</v>
      </c>
      <c r="U2">
        <v>279.48613835854502</v>
      </c>
      <c r="V2">
        <v>4.0000677344732198E-29</v>
      </c>
      <c r="W2">
        <v>13.5155792215693</v>
      </c>
      <c r="X2">
        <v>6.0146203729617903E-2</v>
      </c>
      <c r="Y2">
        <v>224.712091262276</v>
      </c>
      <c r="Z2">
        <v>8.6460385117114691E-28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2.0304371865251501E-2</v>
      </c>
      <c r="D3">
        <v>9.7486394158317093E-3</v>
      </c>
      <c r="E3">
        <v>2.0827903258250902</v>
      </c>
      <c r="F3">
        <v>5.58772640984369E-2</v>
      </c>
      <c r="G3">
        <v>1.8571933988066801E-2</v>
      </c>
      <c r="H3">
        <v>1.10879434146041E-2</v>
      </c>
      <c r="I3">
        <v>1.67496651936421</v>
      </c>
      <c r="J3">
        <v>0.11588422786972701</v>
      </c>
      <c r="K3">
        <v>2.0781520227093699E-2</v>
      </c>
      <c r="L3">
        <v>1.1245950734181101E-2</v>
      </c>
      <c r="M3">
        <v>1.8479113699057901</v>
      </c>
      <c r="N3">
        <v>8.5615667324823702E-2</v>
      </c>
      <c r="O3">
        <v>1.4283140250498601E-2</v>
      </c>
      <c r="P3">
        <v>1.1417148680605E-2</v>
      </c>
      <c r="Q3">
        <v>1.2510251596147</v>
      </c>
      <c r="R3">
        <v>0.23121647759938099</v>
      </c>
      <c r="S3">
        <v>3.7970450219075601E-2</v>
      </c>
      <c r="T3">
        <v>2.33793008801557E-2</v>
      </c>
      <c r="U3">
        <v>1.62410546036921</v>
      </c>
      <c r="V3">
        <v>0.12641411191028101</v>
      </c>
      <c r="W3">
        <v>7.7848881869387904E-2</v>
      </c>
      <c r="X3">
        <v>2.2310201834328001E-2</v>
      </c>
      <c r="Y3">
        <v>3.48938492118902</v>
      </c>
      <c r="Z3">
        <v>3.1872236871317901E-3</v>
      </c>
      <c r="AB3" t="str">
        <f t="shared" ref="AB3:AB60" si="0">IF(F3&lt;0.01,"***",IF(F3&lt;0.05,"**",IF(F3&lt;0.1,"*","")))</f>
        <v>*</v>
      </c>
      <c r="AC3" t="str">
        <f t="shared" ref="AC3:AC60" si="1">IF(J3&lt;0.01,"***",IF(J3&lt;0.05,"**",IF(J3&lt;0.1,"*","")))</f>
        <v/>
      </c>
      <c r="AD3" t="str">
        <f t="shared" ref="AD3:AD60" si="2">IF(N3&lt;0.01,"***",IF(N3&lt;0.05,"**",IF(N3&lt;0.1,"*","")))</f>
        <v>*</v>
      </c>
      <c r="AE3" t="str">
        <f t="shared" ref="AE3:AE60" si="3">IF(R3&lt;0.01,"***",IF(R3&lt;0.05,"**",IF(R3&lt;0.1,"*","")))</f>
        <v/>
      </c>
      <c r="AF3" t="str">
        <f t="shared" ref="AF3:AF60" si="4">IF(V3&lt;0.01,"***",IF(V3&lt;0.05,"**",IF(V3&lt;0.1,"*","")))</f>
        <v/>
      </c>
      <c r="AG3" t="str">
        <f t="shared" ref="AG3:AG60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8.7950351812610196E-5</v>
      </c>
      <c r="D4">
        <v>7.2235784850823305E-5</v>
      </c>
      <c r="E4">
        <v>1.2175454588641901</v>
      </c>
      <c r="F4">
        <v>0.24959592636543099</v>
      </c>
      <c r="G4">
        <v>1.2416542261985299E-4</v>
      </c>
      <c r="H4">
        <v>7.3031338694521606E-5</v>
      </c>
      <c r="I4">
        <v>1.7001663236547899</v>
      </c>
      <c r="J4">
        <v>0.117758610132894</v>
      </c>
      <c r="K4">
        <v>1.8155849759234901E-4</v>
      </c>
      <c r="L4">
        <v>1.11673750387342E-4</v>
      </c>
      <c r="M4">
        <v>1.6257938590099299</v>
      </c>
      <c r="N4">
        <v>0.13280348213848001</v>
      </c>
      <c r="O4">
        <v>1.39812591165812E-4</v>
      </c>
      <c r="P4">
        <v>1.62530488606475E-4</v>
      </c>
      <c r="Q4">
        <v>0.86022377933245098</v>
      </c>
      <c r="R4">
        <v>0.40852915586995803</v>
      </c>
      <c r="S4">
        <v>1.0312495927063299E-3</v>
      </c>
      <c r="T4">
        <v>2.78889999424861E-4</v>
      </c>
      <c r="U4">
        <v>3.6976929787120998</v>
      </c>
      <c r="V4">
        <v>3.7898681635475601E-3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3.5789150689063499E-2</v>
      </c>
      <c r="D5">
        <v>1.12430573948267E-2</v>
      </c>
      <c r="E5">
        <v>3.1832222706193298</v>
      </c>
      <c r="F5">
        <v>6.1415729442755801E-3</v>
      </c>
      <c r="G5">
        <v>3.9531857862366397E-2</v>
      </c>
      <c r="H5">
        <v>1.1088361975914399E-2</v>
      </c>
      <c r="I5">
        <v>3.5651666087593101</v>
      </c>
      <c r="J5">
        <v>2.8017718448115998E-3</v>
      </c>
      <c r="K5">
        <v>3.1900636770058999E-2</v>
      </c>
      <c r="L5">
        <v>1.3409605976905201E-2</v>
      </c>
      <c r="M5">
        <v>2.37893915936084</v>
      </c>
      <c r="N5">
        <v>3.1007351770195399E-2</v>
      </c>
      <c r="O5">
        <v>3.0937877775464698E-2</v>
      </c>
      <c r="P5">
        <v>1.5443390853335501E-2</v>
      </c>
      <c r="Q5">
        <v>2.00330860426177</v>
      </c>
      <c r="R5">
        <v>6.3478900188592702E-2</v>
      </c>
      <c r="S5">
        <v>6.0969081807523202E-2</v>
      </c>
      <c r="T5">
        <v>1.5040538727975301E-2</v>
      </c>
      <c r="U5">
        <v>4.0536501324996603</v>
      </c>
      <c r="V5">
        <v>1.03240239644844E-3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4.4287967257746898E-2</v>
      </c>
      <c r="D6">
        <v>1.6860383792059799E-2</v>
      </c>
      <c r="E6">
        <v>2.62674727953724</v>
      </c>
      <c r="F6">
        <v>1.9126441269840599E-2</v>
      </c>
      <c r="G6">
        <v>5.1762029376136803E-2</v>
      </c>
      <c r="H6">
        <v>1.42893379562231E-2</v>
      </c>
      <c r="I6">
        <v>3.6224232035602499</v>
      </c>
      <c r="J6">
        <v>2.5420924232169798E-3</v>
      </c>
      <c r="K6">
        <v>4.0853323767971399E-2</v>
      </c>
      <c r="L6">
        <v>1.6357165838948601E-2</v>
      </c>
      <c r="M6">
        <v>2.4975796033500002</v>
      </c>
      <c r="N6">
        <v>2.4745156545899399E-2</v>
      </c>
      <c r="O6">
        <v>4.0323019376526603E-2</v>
      </c>
      <c r="P6">
        <v>1.8644862760047402E-2</v>
      </c>
      <c r="Q6">
        <v>2.1626879154579499</v>
      </c>
      <c r="R6">
        <v>4.7296234834885903E-2</v>
      </c>
      <c r="S6">
        <v>6.79418675577389E-2</v>
      </c>
      <c r="T6">
        <v>1.60446586826706E-2</v>
      </c>
      <c r="U6">
        <v>4.2345473905980304</v>
      </c>
      <c r="V6">
        <v>7.3715881781538E-4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3.3475267606752401E-2</v>
      </c>
      <c r="D7">
        <v>1.78483907632273E-2</v>
      </c>
      <c r="E7">
        <v>1.8755342176685701</v>
      </c>
      <c r="F7">
        <v>8.0058877190973293E-2</v>
      </c>
      <c r="G7">
        <v>3.84996129319327E-2</v>
      </c>
      <c r="H7">
        <v>1.4914374011998801E-2</v>
      </c>
      <c r="I7">
        <v>2.58137638904316</v>
      </c>
      <c r="J7">
        <v>2.0732202801973701E-2</v>
      </c>
      <c r="K7">
        <v>2.67247835392595E-2</v>
      </c>
      <c r="L7">
        <v>1.6204821788151101E-2</v>
      </c>
      <c r="M7">
        <v>1.64918713014176</v>
      </c>
      <c r="N7">
        <v>0.119685089156553</v>
      </c>
      <c r="O7">
        <v>3.2977752362627601E-2</v>
      </c>
      <c r="P7">
        <v>1.87673430363627E-2</v>
      </c>
      <c r="Q7">
        <v>1.7571881272022101</v>
      </c>
      <c r="R7">
        <v>9.9070748829728397E-2</v>
      </c>
      <c r="S7">
        <v>6.4904693368165803E-2</v>
      </c>
      <c r="T7">
        <v>1.3946580062882101E-2</v>
      </c>
      <c r="U7">
        <v>4.65380710364294</v>
      </c>
      <c r="V7">
        <v>3.0473216441419102E-4</v>
      </c>
      <c r="AB7" t="str">
        <f t="shared" si="0"/>
        <v>*</v>
      </c>
      <c r="AC7" t="str">
        <f t="shared" si="1"/>
        <v>**</v>
      </c>
      <c r="AD7" t="str">
        <f t="shared" si="2"/>
        <v/>
      </c>
      <c r="AE7" t="str">
        <f t="shared" si="3"/>
        <v>*</v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1.43058043433939E-2</v>
      </c>
      <c r="D8">
        <v>2.2804133673087E-2</v>
      </c>
      <c r="E8">
        <v>0.62733382238840696</v>
      </c>
      <c r="F8">
        <v>0.54051170626104195</v>
      </c>
      <c r="G8">
        <v>2.1588166738993299E-2</v>
      </c>
      <c r="H8">
        <v>1.8793366094846799E-2</v>
      </c>
      <c r="I8">
        <v>1.1487120843621901</v>
      </c>
      <c r="J8">
        <v>0.26990068730386402</v>
      </c>
      <c r="K8">
        <v>6.9556304848178499E-3</v>
      </c>
      <c r="L8">
        <v>1.8702251461208099E-2</v>
      </c>
      <c r="M8">
        <v>0.37191407137504801</v>
      </c>
      <c r="N8">
        <v>0.715518925873048</v>
      </c>
      <c r="O8">
        <v>1.88478984183372E-2</v>
      </c>
      <c r="P8">
        <v>2.38130453873877E-2</v>
      </c>
      <c r="Q8">
        <v>0.79149466654608303</v>
      </c>
      <c r="R8">
        <v>0.44185064782296302</v>
      </c>
      <c r="S8">
        <v>5.5863856578709098E-2</v>
      </c>
      <c r="T8">
        <v>3.0710159222822001E-2</v>
      </c>
      <c r="U8">
        <v>1.81906763079217</v>
      </c>
      <c r="V8">
        <v>9.0339564188248997E-2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8.6186294310379594E-2</v>
      </c>
      <c r="D9">
        <v>2.7467596500227801E-2</v>
      </c>
      <c r="E9">
        <v>3.1377442984377901</v>
      </c>
      <c r="F9">
        <v>7.0708556248756703E-3</v>
      </c>
      <c r="G9">
        <v>9.5439014101732902E-2</v>
      </c>
      <c r="H9">
        <v>2.2412488905315799E-2</v>
      </c>
      <c r="I9">
        <v>4.2582961002201198</v>
      </c>
      <c r="J9">
        <v>7.5355322755028603E-4</v>
      </c>
      <c r="K9">
        <v>8.0628684678028598E-2</v>
      </c>
      <c r="L9">
        <v>2.1615751877852099E-2</v>
      </c>
      <c r="M9">
        <v>3.7300892947722102</v>
      </c>
      <c r="N9">
        <v>2.1526487235238399E-3</v>
      </c>
      <c r="O9">
        <v>8.7510230246076806E-2</v>
      </c>
      <c r="P9">
        <v>2.8985778178495999E-2</v>
      </c>
      <c r="Q9">
        <v>3.0190747237208502</v>
      </c>
      <c r="R9">
        <v>8.9908286375196093E-3</v>
      </c>
      <c r="S9">
        <v>0.109782822794334</v>
      </c>
      <c r="T9">
        <v>5.2201115351128702E-2</v>
      </c>
      <c r="U9">
        <v>2.1030742744840598</v>
      </c>
      <c r="V9">
        <v>5.3589409115807701E-2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0.12831914893625301</v>
      </c>
      <c r="D10">
        <v>3.0027127361935201E-2</v>
      </c>
      <c r="E10">
        <v>4.2734407254328399</v>
      </c>
      <c r="F10">
        <v>7.2654653000051104E-4</v>
      </c>
      <c r="G10">
        <v>0.13757054960982501</v>
      </c>
      <c r="H10">
        <v>2.5613786691602899E-2</v>
      </c>
      <c r="I10">
        <v>5.3709571047113398</v>
      </c>
      <c r="J10">
        <v>8.9859965626301895E-5</v>
      </c>
      <c r="K10">
        <v>0.114812938295152</v>
      </c>
      <c r="L10">
        <v>2.5471002778570302E-2</v>
      </c>
      <c r="M10">
        <v>4.5075939606016497</v>
      </c>
      <c r="N10">
        <v>4.6103512971224902E-4</v>
      </c>
      <c r="O10">
        <v>0.122536971715723</v>
      </c>
      <c r="P10">
        <v>3.4286799947781103E-2</v>
      </c>
      <c r="Q10">
        <v>3.57388184089349</v>
      </c>
      <c r="R10">
        <v>2.9402084932860198E-3</v>
      </c>
      <c r="S10">
        <v>0.126176464584173</v>
      </c>
      <c r="T10">
        <v>5.5780141611094999E-2</v>
      </c>
      <c r="U10">
        <v>2.2620319873672701</v>
      </c>
      <c r="V10">
        <v>3.9709172161967503E-2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9.6495478573279503E-2</v>
      </c>
      <c r="D11">
        <v>3.4865638494311402E-2</v>
      </c>
      <c r="E11">
        <v>2.7676383608756701</v>
      </c>
      <c r="F11">
        <v>1.41369687148279E-2</v>
      </c>
      <c r="G11">
        <v>9.3516563299718899E-2</v>
      </c>
      <c r="H11">
        <v>3.1463433851810101E-2</v>
      </c>
      <c r="I11">
        <v>2.9722300413926099</v>
      </c>
      <c r="J11">
        <v>9.3150759002725101E-3</v>
      </c>
      <c r="K11">
        <v>5.9453366781931499E-2</v>
      </c>
      <c r="L11">
        <v>3.9480322013772502E-2</v>
      </c>
      <c r="M11">
        <v>1.50589873003547</v>
      </c>
      <c r="N11">
        <v>0.15241239647180799</v>
      </c>
      <c r="O11">
        <v>0.12338871333633999</v>
      </c>
      <c r="P11">
        <v>4.4929650923478399E-2</v>
      </c>
      <c r="Q11">
        <v>2.74626467822972</v>
      </c>
      <c r="R11">
        <v>1.4807180122830501E-2</v>
      </c>
      <c r="S11">
        <v>0.44690064819293701</v>
      </c>
      <c r="T11">
        <v>6.7863677214685503E-2</v>
      </c>
      <c r="U11">
        <v>6.5852701553317701</v>
      </c>
      <c r="V11">
        <v>7.87035042452118E-6</v>
      </c>
      <c r="AB11" t="str">
        <f t="shared" si="0"/>
        <v>**</v>
      </c>
      <c r="AC11" t="str">
        <f t="shared" si="1"/>
        <v>***</v>
      </c>
      <c r="AD11" t="str">
        <f t="shared" si="2"/>
        <v/>
      </c>
      <c r="AE11" t="str">
        <f t="shared" si="3"/>
        <v>**</v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2.4125957475729799E-2</v>
      </c>
      <c r="D12">
        <v>2.2563610729106402E-2</v>
      </c>
      <c r="E12">
        <v>1.0692418764611999</v>
      </c>
      <c r="F12">
        <v>0.29875749979021898</v>
      </c>
      <c r="G12">
        <v>1.27619443561931E-2</v>
      </c>
      <c r="H12">
        <v>2.39138798642928E-2</v>
      </c>
      <c r="I12">
        <v>0.53366264397977303</v>
      </c>
      <c r="J12">
        <v>0.59996898996655501</v>
      </c>
      <c r="K12">
        <v>-1.47046931179745E-2</v>
      </c>
      <c r="L12">
        <v>2.3569005229862099E-2</v>
      </c>
      <c r="M12">
        <v>-0.623899607750248</v>
      </c>
      <c r="N12">
        <v>0.54037366851701796</v>
      </c>
      <c r="O12">
        <v>3.4280802197932198E-2</v>
      </c>
      <c r="P12">
        <v>1.89454842422291E-2</v>
      </c>
      <c r="Q12">
        <v>1.8094444966215699</v>
      </c>
      <c r="R12">
        <v>8.7177754112669606E-2</v>
      </c>
      <c r="AB12" t="str">
        <f t="shared" si="0"/>
        <v/>
      </c>
      <c r="AC12" t="str">
        <f t="shared" si="1"/>
        <v/>
      </c>
      <c r="AD12" t="str">
        <f t="shared" si="2"/>
        <v/>
      </c>
      <c r="AE12" t="str">
        <f t="shared" si="3"/>
        <v>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5.4473554547330202E-2</v>
      </c>
      <c r="D13">
        <v>1.6300747289923301E-2</v>
      </c>
      <c r="E13">
        <v>3.3417826544065399</v>
      </c>
      <c r="F13">
        <v>3.6517707681889499E-3</v>
      </c>
      <c r="G13">
        <v>6.13968426728317E-2</v>
      </c>
      <c r="H13">
        <v>1.8716170079054802E-2</v>
      </c>
      <c r="I13">
        <v>3.28041700911559</v>
      </c>
      <c r="J13">
        <v>4.1761031997771796E-3</v>
      </c>
      <c r="K13">
        <v>9.0915275522970296E-2</v>
      </c>
      <c r="L13">
        <v>2.6333928060122198E-2</v>
      </c>
      <c r="M13">
        <v>3.45240084636839</v>
      </c>
      <c r="N13">
        <v>2.8767203798867901E-3</v>
      </c>
      <c r="O13">
        <v>9.0527089963131704E-2</v>
      </c>
      <c r="P13">
        <v>2.8547816320766601E-2</v>
      </c>
      <c r="Q13">
        <v>3.1710688112168999</v>
      </c>
      <c r="R13">
        <v>5.29138332573462E-3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5.6922471545575497E-2</v>
      </c>
      <c r="D14">
        <v>8.99925685734051E-3</v>
      </c>
      <c r="E14">
        <v>6.3252413446944802</v>
      </c>
      <c r="F14">
        <v>1.2909812090889199E-5</v>
      </c>
      <c r="G14">
        <v>5.6870023511223597E-2</v>
      </c>
      <c r="H14">
        <v>9.2732447351620301E-3</v>
      </c>
      <c r="I14">
        <v>6.1326995173097698</v>
      </c>
      <c r="J14">
        <v>1.83100209743251E-5</v>
      </c>
      <c r="K14">
        <v>4.7428765354918599E-2</v>
      </c>
      <c r="L14">
        <v>1.41422884083816E-2</v>
      </c>
      <c r="M14">
        <v>3.3536839290315599</v>
      </c>
      <c r="N14">
        <v>4.3225573295861E-3</v>
      </c>
      <c r="O14">
        <v>6.3778752417260207E-2</v>
      </c>
      <c r="P14">
        <v>1.91314148396118E-2</v>
      </c>
      <c r="Q14">
        <v>3.3337185436597001</v>
      </c>
      <c r="R14">
        <v>4.5590640304014798E-3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-9.3113041980354194E-2</v>
      </c>
      <c r="D15">
        <v>2.93755039068893E-2</v>
      </c>
      <c r="E15">
        <v>-3.1697513096453398</v>
      </c>
      <c r="F15">
        <v>6.5196520807402998E-3</v>
      </c>
      <c r="G15">
        <v>-9.67084573285074E-2</v>
      </c>
      <c r="H15">
        <v>2.8871451863827401E-2</v>
      </c>
      <c r="I15">
        <v>-3.34962224222856</v>
      </c>
      <c r="J15">
        <v>4.57423402795425E-3</v>
      </c>
      <c r="K15">
        <v>-0.105417550018158</v>
      </c>
      <c r="L15">
        <v>3.3284269339952398E-2</v>
      </c>
      <c r="M15">
        <v>-3.1671883477887102</v>
      </c>
      <c r="N15">
        <v>6.5398672561044896E-3</v>
      </c>
      <c r="O15">
        <v>-0.18144708463614501</v>
      </c>
      <c r="P15">
        <v>4.44187829201107E-2</v>
      </c>
      <c r="Q15">
        <v>-4.0849179718067896</v>
      </c>
      <c r="R15">
        <v>9.4089467670178701E-4</v>
      </c>
      <c r="AB15" t="str">
        <f t="shared" si="0"/>
        <v>***</v>
      </c>
      <c r="AC15" t="str">
        <f t="shared" si="1"/>
        <v>***</v>
      </c>
      <c r="AD15" t="str">
        <f t="shared" si="2"/>
        <v>***</v>
      </c>
      <c r="AE15" t="str">
        <f t="shared" si="3"/>
        <v>***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-5.4746838948828098E-2</v>
      </c>
      <c r="D16">
        <v>9.9417332877203106E-3</v>
      </c>
      <c r="E16">
        <v>-5.5067700333954299</v>
      </c>
      <c r="F16">
        <v>1.26827715925098E-4</v>
      </c>
      <c r="G16">
        <v>-5.6373620059579202E-2</v>
      </c>
      <c r="H16">
        <v>1.2224072403983899E-2</v>
      </c>
      <c r="I16">
        <v>-4.6116889851868699</v>
      </c>
      <c r="J16">
        <v>5.6968316795776703E-4</v>
      </c>
      <c r="K16">
        <v>-3.2422710816913398E-2</v>
      </c>
      <c r="L16">
        <v>1.3263404895228899E-2</v>
      </c>
      <c r="M16">
        <v>-2.4445239418557101</v>
      </c>
      <c r="N16">
        <v>3.0514943274651301E-2</v>
      </c>
      <c r="O16">
        <v>-8.6816638579594901E-2</v>
      </c>
      <c r="P16">
        <v>5.7194643056393102E-2</v>
      </c>
      <c r="Q16">
        <v>-1.51791555887489</v>
      </c>
      <c r="R16">
        <v>0.15013412564929901</v>
      </c>
      <c r="AB16" t="str">
        <f t="shared" si="0"/>
        <v>***</v>
      </c>
      <c r="AC16" t="str">
        <f t="shared" si="1"/>
        <v>***</v>
      </c>
      <c r="AD16" t="str">
        <f t="shared" si="2"/>
        <v>**</v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2.0612458269218801E-4</v>
      </c>
      <c r="D17">
        <v>1.8491384213685E-5</v>
      </c>
      <c r="E17">
        <v>11.147060723536301</v>
      </c>
      <c r="F17">
        <v>1.4155070605916801E-8</v>
      </c>
      <c r="G17">
        <v>2.27740376461609E-4</v>
      </c>
      <c r="H17">
        <v>2.1545666482252499E-5</v>
      </c>
      <c r="I17">
        <v>10.570124467915701</v>
      </c>
      <c r="J17">
        <v>3.02410834381835E-8</v>
      </c>
      <c r="K17">
        <v>2.8485089562149403E-4</v>
      </c>
      <c r="L17">
        <v>2.5032749747346499E-5</v>
      </c>
      <c r="M17">
        <v>11.379129280501401</v>
      </c>
      <c r="N17">
        <v>9.8729209999415595E-9</v>
      </c>
      <c r="O17">
        <v>3.3157893440484399E-4</v>
      </c>
      <c r="P17">
        <v>1.8765181866301601E-5</v>
      </c>
      <c r="Q17">
        <v>17.669902523049402</v>
      </c>
      <c r="R17">
        <v>1.88540627998965E-11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-1.40637303244613E-2</v>
      </c>
      <c r="D18">
        <v>4.5166149191440104E-3</v>
      </c>
      <c r="E18">
        <v>-3.1137767058358499</v>
      </c>
      <c r="F18">
        <v>6.9501741059779798E-3</v>
      </c>
      <c r="G18">
        <v>-1.43382542635701E-2</v>
      </c>
      <c r="H18">
        <v>3.9906998121475501E-3</v>
      </c>
      <c r="I18">
        <v>-3.5929172672735099</v>
      </c>
      <c r="J18">
        <v>2.54437606001124E-3</v>
      </c>
      <c r="K18">
        <v>-1.0068604997992101E-2</v>
      </c>
      <c r="L18">
        <v>4.7891038843199604E-3</v>
      </c>
      <c r="M18">
        <v>-2.1023985365942499</v>
      </c>
      <c r="N18">
        <v>5.2294027440714701E-2</v>
      </c>
      <c r="O18">
        <v>-1.5688132683227999E-2</v>
      </c>
      <c r="P18">
        <v>5.2113682257633404E-3</v>
      </c>
      <c r="Q18">
        <v>-3.01036733610011</v>
      </c>
      <c r="R18">
        <v>8.7385106721981406E-3</v>
      </c>
      <c r="AB18" t="str">
        <f t="shared" si="0"/>
        <v>***</v>
      </c>
      <c r="AC18" t="str">
        <f t="shared" si="1"/>
        <v>***</v>
      </c>
      <c r="AD18" t="str">
        <f t="shared" si="2"/>
        <v>*</v>
      </c>
      <c r="AE18" t="str">
        <f t="shared" si="3"/>
        <v>***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0.14855141274418801</v>
      </c>
      <c r="D19">
        <v>4.40002369008849E-2</v>
      </c>
      <c r="E19">
        <v>3.3761502938908001</v>
      </c>
      <c r="F19">
        <v>4.1798406706831199E-3</v>
      </c>
      <c r="G19">
        <v>0.156085836801235</v>
      </c>
      <c r="H19">
        <v>4.0949868675970197E-2</v>
      </c>
      <c r="I19">
        <v>3.81163216996659</v>
      </c>
      <c r="J19">
        <v>1.67193104866824E-3</v>
      </c>
      <c r="K19">
        <v>0.14650768833005501</v>
      </c>
      <c r="L19">
        <v>4.67666768448197E-2</v>
      </c>
      <c r="M19">
        <v>3.1327367735833298</v>
      </c>
      <c r="N19">
        <v>6.8518660303021001E-3</v>
      </c>
      <c r="O19">
        <v>0.196429238813635</v>
      </c>
      <c r="P19">
        <v>4.5612243232340102E-2</v>
      </c>
      <c r="Q19">
        <v>4.3065024847180098</v>
      </c>
      <c r="R19">
        <v>6.1757573469461101E-4</v>
      </c>
      <c r="AB19" t="str">
        <f t="shared" si="0"/>
        <v>***</v>
      </c>
      <c r="AC19" t="str">
        <f t="shared" si="1"/>
        <v>***</v>
      </c>
      <c r="AD19" t="str">
        <f t="shared" si="2"/>
        <v>***</v>
      </c>
      <c r="AE19" t="str">
        <f t="shared" si="3"/>
        <v>***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-4.0456722714684798E-2</v>
      </c>
      <c r="D20">
        <v>1.6086453412532498E-2</v>
      </c>
      <c r="E20">
        <v>-2.51495601156972</v>
      </c>
      <c r="F20">
        <v>3.03006370605307E-2</v>
      </c>
      <c r="G20">
        <v>-5.37089928387742E-2</v>
      </c>
      <c r="H20">
        <v>1.8527263566180601E-2</v>
      </c>
      <c r="I20">
        <v>-2.8989166504228798</v>
      </c>
      <c r="J20">
        <v>1.55724346220393E-2</v>
      </c>
      <c r="K20">
        <v>-2.7557785524934399E-2</v>
      </c>
      <c r="L20">
        <v>3.7177968676642199E-2</v>
      </c>
      <c r="M20">
        <v>-0.74123967784846001</v>
      </c>
      <c r="N20">
        <v>0.47535742791194102</v>
      </c>
      <c r="O20">
        <v>-1.3551448025883801E-3</v>
      </c>
      <c r="P20">
        <v>4.0556983659630202E-2</v>
      </c>
      <c r="Q20">
        <v>-3.3413352776954001E-2</v>
      </c>
      <c r="R20">
        <v>0.97399433086445697</v>
      </c>
      <c r="AB20" t="str">
        <f t="shared" si="0"/>
        <v>**</v>
      </c>
      <c r="AC20" t="str">
        <f t="shared" si="1"/>
        <v>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0.109418368070671</v>
      </c>
      <c r="D21">
        <v>1.0920619742548199E-2</v>
      </c>
      <c r="E21">
        <v>10.019428443640599</v>
      </c>
      <c r="F21">
        <v>3.14511210999389E-8</v>
      </c>
      <c r="G21">
        <v>0.119515950792704</v>
      </c>
      <c r="H21">
        <v>1.4967037412257699E-2</v>
      </c>
      <c r="I21">
        <v>7.9852777474066601</v>
      </c>
      <c r="J21">
        <v>6.4422593471918398E-7</v>
      </c>
      <c r="K21">
        <v>0.150965007780026</v>
      </c>
      <c r="L21">
        <v>1.8815700309324099E-2</v>
      </c>
      <c r="M21">
        <v>8.0233531199056607</v>
      </c>
      <c r="N21">
        <v>5.8876982631817099E-7</v>
      </c>
      <c r="O21">
        <v>0.149891509210134</v>
      </c>
      <c r="P21">
        <v>2.56723033204759E-2</v>
      </c>
      <c r="Q21">
        <v>5.8386467057119296</v>
      </c>
      <c r="R21">
        <v>2.62010332384284E-5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5.5237777888431601E-2</v>
      </c>
      <c r="D22">
        <v>4.7012506922112602E-3</v>
      </c>
      <c r="E22">
        <v>11.749592077688201</v>
      </c>
      <c r="F22">
        <v>2.2653949063929399E-9</v>
      </c>
      <c r="G22">
        <v>5.8573241065135902E-2</v>
      </c>
      <c r="H22">
        <v>6.3747864193897498E-3</v>
      </c>
      <c r="I22">
        <v>9.1882672158203906</v>
      </c>
      <c r="J22">
        <v>7.5416427646806103E-8</v>
      </c>
      <c r="K22">
        <v>7.1788282230027797E-2</v>
      </c>
      <c r="L22">
        <v>1.14927767074154E-2</v>
      </c>
      <c r="M22">
        <v>6.2463827548053397</v>
      </c>
      <c r="N22">
        <v>1.0726487092143399E-5</v>
      </c>
      <c r="O22">
        <v>6.9109325908005795E-2</v>
      </c>
      <c r="P22">
        <v>1.3099288587219701E-2</v>
      </c>
      <c r="Q22">
        <v>5.2758075713693398</v>
      </c>
      <c r="R22">
        <v>7.0111763744679906E-5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-5.7643563521999099E-2</v>
      </c>
      <c r="D23">
        <v>9.4188714618407502E-3</v>
      </c>
      <c r="E23">
        <v>-6.1200074505246196</v>
      </c>
      <c r="F23">
        <v>8.5122737506985003E-6</v>
      </c>
      <c r="G23">
        <v>-5.8945310501915101E-2</v>
      </c>
      <c r="H23">
        <v>9.26266337304508E-3</v>
      </c>
      <c r="I23">
        <v>-6.36375393641634</v>
      </c>
      <c r="J23">
        <v>5.19904644111212E-6</v>
      </c>
      <c r="K23">
        <v>-5.7818525134898102E-2</v>
      </c>
      <c r="L23">
        <v>1.5113946073813099E-2</v>
      </c>
      <c r="M23">
        <v>-3.82550823276235</v>
      </c>
      <c r="N23">
        <v>1.2243119224723601E-3</v>
      </c>
      <c r="O23">
        <v>-2.98438297343054E-2</v>
      </c>
      <c r="P23">
        <v>1.6401707357701901E-2</v>
      </c>
      <c r="Q23">
        <v>-1.8195562866381301</v>
      </c>
      <c r="R23">
        <v>8.5356130691618404E-2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2.03971782069194E-2</v>
      </c>
      <c r="D24">
        <v>1.16590577939571E-2</v>
      </c>
      <c r="E24">
        <v>1.74947054619553</v>
      </c>
      <c r="F24">
        <v>0.10203014342634301</v>
      </c>
      <c r="G24">
        <v>1.8710388515434599E-2</v>
      </c>
      <c r="H24">
        <v>1.2734126598037901E-2</v>
      </c>
      <c r="I24">
        <v>1.46931070390941</v>
      </c>
      <c r="J24">
        <v>0.163815230843466</v>
      </c>
      <c r="K24">
        <v>4.1425475443780703E-2</v>
      </c>
      <c r="L24">
        <v>1.9757579870825999E-2</v>
      </c>
      <c r="M24">
        <v>2.0966877378008002</v>
      </c>
      <c r="N24">
        <v>5.4616951410380803E-2</v>
      </c>
      <c r="AB24" t="str">
        <f t="shared" si="0"/>
        <v/>
      </c>
      <c r="AC24" t="str">
        <f t="shared" si="1"/>
        <v/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-3.8047867557032898E-2</v>
      </c>
      <c r="D25">
        <v>2.6089523213149401E-2</v>
      </c>
      <c r="E25">
        <v>-1.45835810206974</v>
      </c>
      <c r="F25">
        <v>0.19466096909580499</v>
      </c>
      <c r="G25">
        <v>-3.55264231688453E-2</v>
      </c>
      <c r="H25">
        <v>3.0343973453268801E-2</v>
      </c>
      <c r="I25">
        <v>-1.17079008204241</v>
      </c>
      <c r="J25">
        <v>0.28575329680466099</v>
      </c>
      <c r="K25">
        <v>-2.9457797652809099E-2</v>
      </c>
      <c r="L25">
        <v>3.4936298884204298E-2</v>
      </c>
      <c r="M25">
        <v>-0.84318598688562996</v>
      </c>
      <c r="N25">
        <v>0.43120031727864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-0.101337437242112</v>
      </c>
      <c r="D26">
        <v>2.9260855412959499E-2</v>
      </c>
      <c r="E26">
        <v>-3.4632424723041701</v>
      </c>
      <c r="F26">
        <v>4.4751521036019096E-3</v>
      </c>
      <c r="G26">
        <v>-9.7152435713917004E-2</v>
      </c>
      <c r="H26">
        <v>2.6781737775014899E-2</v>
      </c>
      <c r="I26">
        <v>-3.6275628015651802</v>
      </c>
      <c r="J26">
        <v>3.3143584553962302E-3</v>
      </c>
      <c r="K26">
        <v>-6.9114078149007802E-2</v>
      </c>
      <c r="L26">
        <v>3.3398190541360999E-2</v>
      </c>
      <c r="M26">
        <v>-2.06939588728364</v>
      </c>
      <c r="N26">
        <v>6.00617909480399E-2</v>
      </c>
      <c r="AB26" t="str">
        <f t="shared" si="0"/>
        <v>***</v>
      </c>
      <c r="AC26" t="str">
        <f t="shared" si="1"/>
        <v>***</v>
      </c>
      <c r="AD26" t="str">
        <f t="shared" si="2"/>
        <v>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-4.4703670074855401E-2</v>
      </c>
      <c r="D27">
        <v>5.9715007698297802E-2</v>
      </c>
      <c r="E27">
        <v>-0.74861700262545094</v>
      </c>
      <c r="F27">
        <v>0.47202378827029501</v>
      </c>
      <c r="G27">
        <v>-1.7724855295013501E-2</v>
      </c>
      <c r="H27">
        <v>6.1247581253385801E-2</v>
      </c>
      <c r="I27">
        <v>-0.28939682077704398</v>
      </c>
      <c r="J27">
        <v>0.77839052346041604</v>
      </c>
      <c r="K27">
        <v>8.6616529418442004E-3</v>
      </c>
      <c r="L27">
        <v>6.9063754878316896E-2</v>
      </c>
      <c r="M27">
        <v>0.125415320338506</v>
      </c>
      <c r="N27">
        <v>0.90271687501452902</v>
      </c>
      <c r="AB27" t="str">
        <f t="shared" si="0"/>
        <v/>
      </c>
      <c r="AC27" t="str">
        <f t="shared" si="1"/>
        <v/>
      </c>
      <c r="AD27" t="str">
        <f t="shared" si="2"/>
        <v/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-8.5282807092368993E-3</v>
      </c>
      <c r="D28">
        <v>2.6523563707659001E-2</v>
      </c>
      <c r="E28">
        <v>-0.32153600486099998</v>
      </c>
      <c r="F28">
        <v>0.75354196532998496</v>
      </c>
      <c r="G28">
        <v>1.1884181043441799E-2</v>
      </c>
      <c r="H28">
        <v>2.30900865559126E-2</v>
      </c>
      <c r="I28">
        <v>0.514687591779452</v>
      </c>
      <c r="J28">
        <v>0.61647519097771297</v>
      </c>
      <c r="K28">
        <v>-1.30236638591422E-2</v>
      </c>
      <c r="L28">
        <v>2.18702903608664E-2</v>
      </c>
      <c r="M28">
        <v>-0.59549569961110504</v>
      </c>
      <c r="N28">
        <v>0.56288200391334997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-0.121125825577585</v>
      </c>
      <c r="D29">
        <v>0.182185528427522</v>
      </c>
      <c r="E29">
        <v>-0.66484877598700898</v>
      </c>
      <c r="F29">
        <v>0.59038461970065104</v>
      </c>
      <c r="G29">
        <v>-8.7720004981713895E-2</v>
      </c>
      <c r="H29">
        <v>0.19113985364161901</v>
      </c>
      <c r="I29">
        <v>-0.45893100423832101</v>
      </c>
      <c r="J29">
        <v>0.70198945864287499</v>
      </c>
      <c r="K29">
        <v>-7.8619774821037797E-2</v>
      </c>
      <c r="L29">
        <v>0.19733811419438599</v>
      </c>
      <c r="M29">
        <v>-0.39840136884856497</v>
      </c>
      <c r="N29">
        <v>0.738064812822807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2.82092677465508E-2</v>
      </c>
      <c r="D30">
        <v>3.0186655126049101E-2</v>
      </c>
      <c r="E30">
        <v>0.93449465098927398</v>
      </c>
      <c r="F30">
        <v>0.36509880647614901</v>
      </c>
      <c r="G30">
        <v>1.5785010947183299E-2</v>
      </c>
      <c r="H30">
        <v>3.3365512861820497E-2</v>
      </c>
      <c r="I30">
        <v>0.47309361053597798</v>
      </c>
      <c r="J30">
        <v>0.64306848727016896</v>
      </c>
      <c r="K30">
        <v>-1.68860847450365E-2</v>
      </c>
      <c r="L30">
        <v>3.9830995740305401E-2</v>
      </c>
      <c r="M30">
        <v>-0.42394332431788301</v>
      </c>
      <c r="N30">
        <v>0.67772700006526199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-4.82285037827812E-2</v>
      </c>
      <c r="D31">
        <v>2.39703850950269E-2</v>
      </c>
      <c r="E31">
        <v>-2.0120037117295699</v>
      </c>
      <c r="F31">
        <v>6.6604666255713901E-2</v>
      </c>
      <c r="G31">
        <v>-5.3040796276982799E-2</v>
      </c>
      <c r="H31">
        <v>2.3634094901072801E-2</v>
      </c>
      <c r="I31">
        <v>-2.2442491027898499</v>
      </c>
      <c r="J31">
        <v>4.3909092920057798E-2</v>
      </c>
      <c r="K31">
        <v>-9.1586942311956507E-2</v>
      </c>
      <c r="L31">
        <v>3.5970741115774398E-2</v>
      </c>
      <c r="M31">
        <v>-2.5461511070116001</v>
      </c>
      <c r="N31">
        <v>2.5197127057859599E-2</v>
      </c>
      <c r="AB31" t="str">
        <f t="shared" si="0"/>
        <v>*</v>
      </c>
      <c r="AC31" t="str">
        <f t="shared" si="1"/>
        <v>**</v>
      </c>
      <c r="AD31" t="str">
        <f t="shared" si="2"/>
        <v>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0.19307244326071599</v>
      </c>
      <c r="D32">
        <v>4.03689816874679E-2</v>
      </c>
      <c r="E32">
        <v>4.7826929288299</v>
      </c>
      <c r="F32">
        <v>3.9045336158501797E-4</v>
      </c>
      <c r="G32">
        <v>0.208023154879412</v>
      </c>
      <c r="H32">
        <v>4.1036404100142497E-2</v>
      </c>
      <c r="I32">
        <v>5.0692344868172796</v>
      </c>
      <c r="J32">
        <v>2.38510657741439E-4</v>
      </c>
      <c r="K32">
        <v>0.17736064879986399</v>
      </c>
      <c r="L32">
        <v>4.6962905323461902E-2</v>
      </c>
      <c r="M32">
        <v>3.7766115102605702</v>
      </c>
      <c r="N32">
        <v>2.4680565838767102E-3</v>
      </c>
      <c r="AB32" t="str">
        <f t="shared" si="0"/>
        <v>***</v>
      </c>
      <c r="AC32" t="str">
        <f t="shared" si="1"/>
        <v>***</v>
      </c>
      <c r="AD32" t="str">
        <f t="shared" si="2"/>
        <v>***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-1.1302181986720601E-2</v>
      </c>
      <c r="D33">
        <v>0.10525919371513801</v>
      </c>
      <c r="E33">
        <v>-0.107374772576232</v>
      </c>
      <c r="F33">
        <v>0.92334578505667397</v>
      </c>
      <c r="G33">
        <v>-3.4753207414387997E-2</v>
      </c>
      <c r="H33">
        <v>0.109392694394644</v>
      </c>
      <c r="I33">
        <v>-0.317692215249885</v>
      </c>
      <c r="J33">
        <v>0.77817646058019896</v>
      </c>
      <c r="K33">
        <v>-1.09682807512389E-2</v>
      </c>
      <c r="L33">
        <v>4.4606483854313997E-2</v>
      </c>
      <c r="M33">
        <v>-0.24588983043500001</v>
      </c>
      <c r="N33">
        <v>0.83007213887046805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-9.8423755125038002E-3</v>
      </c>
      <c r="D34">
        <v>5.91207501785685E-2</v>
      </c>
      <c r="E34">
        <v>-0.16647920540209399</v>
      </c>
      <c r="F34">
        <v>0.871943943772855</v>
      </c>
      <c r="G34">
        <v>-4.45251900032958E-2</v>
      </c>
      <c r="H34">
        <v>5.5406069320703598E-2</v>
      </c>
      <c r="I34">
        <v>-0.80361575093106397</v>
      </c>
      <c r="J34">
        <v>0.44544556169001298</v>
      </c>
      <c r="K34">
        <v>2.139563476039E-3</v>
      </c>
      <c r="L34">
        <v>6.3399871946423006E-2</v>
      </c>
      <c r="M34">
        <v>3.3747126143205297E-2</v>
      </c>
      <c r="N34">
        <v>0.97394716426319405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-6.7562906835788E-2</v>
      </c>
      <c r="D35">
        <v>3.2020539340403699E-2</v>
      </c>
      <c r="E35">
        <v>-2.1099865345033901</v>
      </c>
      <c r="F35">
        <v>8.0627710129392294E-2</v>
      </c>
      <c r="G35">
        <v>-3.8737984289906699E-2</v>
      </c>
      <c r="H35">
        <v>3.7975113807608998E-2</v>
      </c>
      <c r="I35">
        <v>-1.0200886950902299</v>
      </c>
      <c r="J35">
        <v>0.34812390672155902</v>
      </c>
      <c r="K35">
        <v>-6.2210972864641501E-2</v>
      </c>
      <c r="L35">
        <v>5.16890912841474E-2</v>
      </c>
      <c r="M35">
        <v>-1.2035609703922401</v>
      </c>
      <c r="N35">
        <v>0.27613717198689403</v>
      </c>
      <c r="AB35" t="str">
        <f t="shared" si="0"/>
        <v>*</v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-7.4946010332169702E-2</v>
      </c>
      <c r="D36">
        <v>5.3861076959773303E-2</v>
      </c>
      <c r="E36">
        <v>-1.39146884099892</v>
      </c>
      <c r="F36">
        <v>0.18491356660189201</v>
      </c>
      <c r="G36">
        <v>-9.2564999855892005E-2</v>
      </c>
      <c r="H36">
        <v>5.13045933805968E-2</v>
      </c>
      <c r="I36">
        <v>-1.8042244126020099</v>
      </c>
      <c r="J36">
        <v>9.1392640120357097E-2</v>
      </c>
      <c r="K36">
        <v>-7.1239932803329103E-2</v>
      </c>
      <c r="L36">
        <v>5.2047264202334E-2</v>
      </c>
      <c r="M36">
        <v>-1.36875460977898</v>
      </c>
      <c r="N36">
        <v>0.19286165929416499</v>
      </c>
      <c r="AB36" t="str">
        <f t="shared" si="0"/>
        <v/>
      </c>
      <c r="AC36" t="str">
        <f t="shared" si="1"/>
        <v>*</v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4.6255107080045398E-2</v>
      </c>
      <c r="D37">
        <v>5.82564994841561E-2</v>
      </c>
      <c r="E37">
        <v>0.79399049873611605</v>
      </c>
      <c r="F37">
        <v>0.45223833290064902</v>
      </c>
      <c r="G37">
        <v>1.4626319751037399E-2</v>
      </c>
      <c r="H37">
        <v>7.8619458802679898E-2</v>
      </c>
      <c r="I37">
        <v>0.18603943570442</v>
      </c>
      <c r="J37">
        <v>0.85752498994857496</v>
      </c>
      <c r="K37">
        <v>0.10229656140472999</v>
      </c>
      <c r="L37">
        <v>8.0612713804119204E-2</v>
      </c>
      <c r="M37">
        <v>1.26898793722911</v>
      </c>
      <c r="N37">
        <v>0.24578868064105899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-7.0007958654626796E-3</v>
      </c>
      <c r="D38">
        <v>0.143517586346358</v>
      </c>
      <c r="E38">
        <v>-4.8780055766596601E-2</v>
      </c>
      <c r="F38">
        <v>0.96190235436179605</v>
      </c>
      <c r="G38">
        <v>7.2659509161332306E-2</v>
      </c>
      <c r="H38">
        <v>0.135493135113606</v>
      </c>
      <c r="I38">
        <v>0.53625970865911499</v>
      </c>
      <c r="J38">
        <v>0.60209171252399196</v>
      </c>
      <c r="K38">
        <v>0.16302994715132299</v>
      </c>
      <c r="L38">
        <v>0.145501744398953</v>
      </c>
      <c r="M38">
        <v>1.1204673031569199</v>
      </c>
      <c r="N38">
        <v>0.28651915557900198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0.26925842360167102</v>
      </c>
      <c r="D39">
        <v>0.137852134392732</v>
      </c>
      <c r="E39">
        <v>1.9532408749985</v>
      </c>
      <c r="F39">
        <v>0.15319793342908899</v>
      </c>
      <c r="G39">
        <v>0.56061554029860305</v>
      </c>
      <c r="H39">
        <v>0.187698682380427</v>
      </c>
      <c r="I39">
        <v>2.9867846336946999</v>
      </c>
      <c r="J39">
        <v>7.1818729929454497E-2</v>
      </c>
      <c r="K39">
        <v>0.638837332319386</v>
      </c>
      <c r="L39">
        <v>0.13202208861283801</v>
      </c>
      <c r="M39">
        <v>4.8388670337795601</v>
      </c>
      <c r="N39">
        <v>2.5753998745663299E-2</v>
      </c>
      <c r="AB39" t="str">
        <f t="shared" si="0"/>
        <v/>
      </c>
      <c r="AC39" t="str">
        <f t="shared" si="1"/>
        <v>*</v>
      </c>
      <c r="AD39" t="str">
        <f t="shared" si="2"/>
        <v>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0.40734913303036302</v>
      </c>
      <c r="D40">
        <v>3.3729811474058798E-2</v>
      </c>
      <c r="E40">
        <v>12.0768280410832</v>
      </c>
      <c r="F40">
        <v>3.46788405508635E-3</v>
      </c>
      <c r="G40">
        <v>0.351152566328848</v>
      </c>
      <c r="H40">
        <v>5.3592630004595999E-2</v>
      </c>
      <c r="I40">
        <v>6.5522547838897696</v>
      </c>
      <c r="J40">
        <v>1.6281739812389801E-2</v>
      </c>
      <c r="K40">
        <v>0.355062969977886</v>
      </c>
      <c r="L40">
        <v>6.1814409130692E-2</v>
      </c>
      <c r="M40">
        <v>5.7440162410545597</v>
      </c>
      <c r="N40">
        <v>2.1588177038615701E-2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0.62214503976102797</v>
      </c>
      <c r="D41">
        <v>5.0886768819007701E-2</v>
      </c>
      <c r="E41">
        <v>12.2260668971506</v>
      </c>
      <c r="F41">
        <v>5.1343349088232696E-4</v>
      </c>
      <c r="G41">
        <v>0.57420593694440702</v>
      </c>
      <c r="H41">
        <v>7.4207131086728495E-2</v>
      </c>
      <c r="I41">
        <v>7.7378808281014502</v>
      </c>
      <c r="J41">
        <v>3.03220705377498E-3</v>
      </c>
      <c r="K41">
        <v>0.59650528317127705</v>
      </c>
      <c r="L41">
        <v>8.6661344357489803E-2</v>
      </c>
      <c r="M41">
        <v>6.8831759718682903</v>
      </c>
      <c r="N41">
        <v>4.5310162630221003E-3</v>
      </c>
      <c r="AB41" t="str">
        <f t="shared" si="0"/>
        <v>***</v>
      </c>
      <c r="AC41" t="str">
        <f t="shared" si="1"/>
        <v>***</v>
      </c>
      <c r="AD41" t="str">
        <f t="shared" si="2"/>
        <v>***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0.62493210937071098</v>
      </c>
      <c r="D42">
        <v>6.1202657204733203E-2</v>
      </c>
      <c r="E42">
        <v>10.2108656374217</v>
      </c>
      <c r="F42">
        <v>3.8947283356924497E-5</v>
      </c>
      <c r="G42">
        <v>0.57076234494582201</v>
      </c>
      <c r="H42">
        <v>8.7764022968569805E-2</v>
      </c>
      <c r="I42">
        <v>6.5033749096736804</v>
      </c>
      <c r="J42">
        <v>6.03634760304059E-4</v>
      </c>
      <c r="K42">
        <v>0.58385816800552504</v>
      </c>
      <c r="L42">
        <v>9.9342097298401696E-2</v>
      </c>
      <c r="M42">
        <v>5.8772482551052301</v>
      </c>
      <c r="N42">
        <v>1.04481449554297E-3</v>
      </c>
      <c r="AB42" t="str">
        <f t="shared" si="0"/>
        <v>***</v>
      </c>
      <c r="AC42" t="str">
        <f t="shared" si="1"/>
        <v>***</v>
      </c>
      <c r="AD42" t="str">
        <f t="shared" si="2"/>
        <v>***</v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0.63823186647313102</v>
      </c>
      <c r="D43">
        <v>4.8727150134505598E-2</v>
      </c>
      <c r="E43">
        <v>13.098074989228101</v>
      </c>
      <c r="F43">
        <v>2.90414734146362E-5</v>
      </c>
      <c r="G43">
        <v>0.58980125242732495</v>
      </c>
      <c r="H43">
        <v>7.5764857218213397E-2</v>
      </c>
      <c r="I43">
        <v>7.7846283103077099</v>
      </c>
      <c r="J43">
        <v>5.0018773236430399E-4</v>
      </c>
      <c r="K43">
        <v>0.59914117729388705</v>
      </c>
      <c r="L43">
        <v>8.9246513848544401E-2</v>
      </c>
      <c r="M43">
        <v>6.7133286383674102</v>
      </c>
      <c r="N43">
        <v>1.0437071562293199E-3</v>
      </c>
      <c r="AB43" t="str">
        <f t="shared" si="0"/>
        <v>***</v>
      </c>
      <c r="AC43" t="str">
        <f t="shared" si="1"/>
        <v>***</v>
      </c>
      <c r="AD43" t="str">
        <f t="shared" si="2"/>
        <v>***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0.58269808195041795</v>
      </c>
      <c r="D44">
        <v>4.7785606019200497E-2</v>
      </c>
      <c r="E44">
        <v>12.194008415761999</v>
      </c>
      <c r="F44">
        <v>1.00000275688435E-6</v>
      </c>
      <c r="G44">
        <v>0.52089747812547005</v>
      </c>
      <c r="H44">
        <v>8.2096726671981105E-2</v>
      </c>
      <c r="I44">
        <v>6.3449238385194704</v>
      </c>
      <c r="J44">
        <v>1.7793372922494E-4</v>
      </c>
      <c r="K44">
        <v>0.52233166731534797</v>
      </c>
      <c r="L44">
        <v>9.7125137013783197E-2</v>
      </c>
      <c r="M44">
        <v>5.3779246379979098</v>
      </c>
      <c r="N44">
        <v>5.6848162240396097E-4</v>
      </c>
      <c r="AB44" t="str">
        <f t="shared" si="0"/>
        <v>***</v>
      </c>
      <c r="AC44" t="str">
        <f t="shared" si="1"/>
        <v>***</v>
      </c>
      <c r="AD44" t="str">
        <f t="shared" si="2"/>
        <v>***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-4.5221438347322903E-6</v>
      </c>
      <c r="D45">
        <v>1.24166374933355E-4</v>
      </c>
      <c r="E45">
        <v>-3.64200359168051E-2</v>
      </c>
      <c r="F45">
        <v>0.97177305864414198</v>
      </c>
      <c r="G45">
        <v>1.13823976991858E-4</v>
      </c>
      <c r="H45">
        <v>1.3589463891556101E-4</v>
      </c>
      <c r="I45">
        <v>0.83758989979422704</v>
      </c>
      <c r="J45">
        <v>0.42532201244590701</v>
      </c>
      <c r="K45">
        <v>-1.4465123724189099E-4</v>
      </c>
      <c r="L45">
        <v>2.33790633230316E-4</v>
      </c>
      <c r="M45">
        <v>-0.618721268868753</v>
      </c>
      <c r="N45">
        <v>0.55290887589941096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5.0666485436610398E-3</v>
      </c>
      <c r="D46">
        <v>4.0706770179384901E-3</v>
      </c>
      <c r="E46">
        <v>1.2446697493644301</v>
      </c>
      <c r="F46">
        <v>0.231460610146806</v>
      </c>
      <c r="G46">
        <v>-1.06189669232132E-4</v>
      </c>
      <c r="H46">
        <v>4.08400524482365E-3</v>
      </c>
      <c r="I46">
        <v>-2.6001354764841299E-2</v>
      </c>
      <c r="J46">
        <v>0.979583235526582</v>
      </c>
      <c r="K46">
        <v>-9.0206175758604703E-3</v>
      </c>
      <c r="L46">
        <v>5.8282072419092402E-3</v>
      </c>
      <c r="M46">
        <v>-1.5477516844279899</v>
      </c>
      <c r="N46">
        <v>0.14152792428709299</v>
      </c>
      <c r="AB46" t="str">
        <f t="shared" si="0"/>
        <v/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5.4025459298998896E-3</v>
      </c>
      <c r="D47">
        <v>2.3299002165705798E-3</v>
      </c>
      <c r="E47">
        <v>2.3187885435935001</v>
      </c>
      <c r="F47">
        <v>9.3346740838662901E-2</v>
      </c>
      <c r="G47">
        <v>1.2304961832011199E-2</v>
      </c>
      <c r="H47">
        <v>3.8815468790497701E-3</v>
      </c>
      <c r="I47">
        <v>3.1701180522708299</v>
      </c>
      <c r="J47">
        <v>4.3521282696551998E-2</v>
      </c>
      <c r="K47">
        <v>1.7141162654899001E-2</v>
      </c>
      <c r="L47">
        <v>2.5040402409205399E-3</v>
      </c>
      <c r="M47">
        <v>6.8454022322730301</v>
      </c>
      <c r="N47">
        <v>4.4256470244624403E-3</v>
      </c>
      <c r="AB47" t="str">
        <f t="shared" si="0"/>
        <v>*</v>
      </c>
      <c r="AC47" t="str">
        <f t="shared" si="1"/>
        <v>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-4.9616314497752702E-3</v>
      </c>
      <c r="D48">
        <v>7.2803187014700297E-3</v>
      </c>
      <c r="E48">
        <v>-0.68151294651062799</v>
      </c>
      <c r="F48">
        <v>0.51202566816172301</v>
      </c>
      <c r="G48">
        <v>-8.6943063585147497E-3</v>
      </c>
      <c r="H48">
        <v>9.6776112210474694E-3</v>
      </c>
      <c r="I48">
        <v>-0.89839384533301303</v>
      </c>
      <c r="J48">
        <v>0.39102796525957401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-6.4387525008109806E-2</v>
      </c>
      <c r="D49">
        <v>3.2066204099647E-2</v>
      </c>
      <c r="E49">
        <v>-2.0079559404045102</v>
      </c>
      <c r="F49">
        <v>6.5853946313318298E-2</v>
      </c>
      <c r="G49">
        <v>-4.4355697254941998E-2</v>
      </c>
      <c r="H49">
        <v>3.5870476582628798E-2</v>
      </c>
      <c r="I49">
        <v>-1.2365516569808399</v>
      </c>
      <c r="J49">
        <v>0.23819077150300699</v>
      </c>
      <c r="AB49" t="str">
        <f t="shared" si="0"/>
        <v>*</v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-8.2433512280159008E-3</v>
      </c>
      <c r="D50">
        <v>8.3850446890225104E-3</v>
      </c>
      <c r="E50">
        <v>-0.98310164510010201</v>
      </c>
      <c r="F50">
        <v>0.34829771836448598</v>
      </c>
      <c r="G50">
        <v>-5.4909498883367004E-3</v>
      </c>
      <c r="H50">
        <v>9.5931085944751492E-3</v>
      </c>
      <c r="I50">
        <v>-0.57238483587051703</v>
      </c>
      <c r="J50">
        <v>0.58071234651322901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-6.8308216886456396E-3</v>
      </c>
      <c r="D51">
        <v>6.3470924494805799E-3</v>
      </c>
      <c r="E51">
        <v>-1.0762127293741599</v>
      </c>
      <c r="F51">
        <v>0.29967464447665798</v>
      </c>
      <c r="G51">
        <v>-5.3041651398986599E-3</v>
      </c>
      <c r="H51">
        <v>8.1855181494664593E-3</v>
      </c>
      <c r="I51">
        <v>-0.64799381579092696</v>
      </c>
      <c r="J51">
        <v>0.52758426362336197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-1.0728729070626599E-3</v>
      </c>
      <c r="D52">
        <v>1.7553091164213999E-3</v>
      </c>
      <c r="E52">
        <v>-0.61121593742414904</v>
      </c>
      <c r="F52">
        <v>0.64380877364674705</v>
      </c>
      <c r="G52">
        <v>-4.3103533869250202E-4</v>
      </c>
      <c r="H52">
        <v>5.9021534827378803E-3</v>
      </c>
      <c r="I52">
        <v>-7.3030181264035002E-2</v>
      </c>
      <c r="J52">
        <v>0.95282989596753798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1.88524310311739E-2</v>
      </c>
      <c r="D53">
        <v>1.2690568199720901E-2</v>
      </c>
      <c r="E53">
        <v>1.4855466464920399</v>
      </c>
      <c r="F53">
        <v>0.162975130892581</v>
      </c>
      <c r="G53">
        <v>2.35188468578508E-2</v>
      </c>
      <c r="H53">
        <v>1.44520611225146E-2</v>
      </c>
      <c r="I53">
        <v>1.6273697335261901</v>
      </c>
      <c r="J53">
        <v>0.12872721241141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8.6129398520527391E-3</v>
      </c>
      <c r="D54">
        <v>1.1982760671188799E-2</v>
      </c>
      <c r="E54">
        <v>0.71877759127423702</v>
      </c>
      <c r="F54">
        <v>0.48343195266986799</v>
      </c>
      <c r="G54">
        <v>1.5556702092132399E-2</v>
      </c>
      <c r="H54">
        <v>1.70184364684699E-2</v>
      </c>
      <c r="I54">
        <v>0.91410877379683697</v>
      </c>
      <c r="J54">
        <v>0.37514593969430099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4.6244319447728498E-6</v>
      </c>
      <c r="D55">
        <v>5.3892417090462501E-6</v>
      </c>
      <c r="E55">
        <v>0.85808582996201199</v>
      </c>
      <c r="F55">
        <v>0.40800399223197398</v>
      </c>
      <c r="G55">
        <v>4.4666759341575203E-6</v>
      </c>
      <c r="H55">
        <v>6.4607110342488403E-6</v>
      </c>
      <c r="I55">
        <v>0.69135980706755695</v>
      </c>
      <c r="J55">
        <v>0.50388967904244397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1.3140071374814301E-5</v>
      </c>
      <c r="D56">
        <v>2.7016561000445199E-6</v>
      </c>
      <c r="E56">
        <v>4.8637098461931503</v>
      </c>
      <c r="F56">
        <v>1.9348672534952701E-4</v>
      </c>
      <c r="G56">
        <v>1.46068202121606E-5</v>
      </c>
      <c r="H56">
        <v>3.5700769084325001E-6</v>
      </c>
      <c r="I56">
        <v>4.0914581357223403</v>
      </c>
      <c r="J56">
        <v>1.0928302385228999E-3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-0.42386948047039402</v>
      </c>
      <c r="D57">
        <v>0.14928542889975099</v>
      </c>
      <c r="E57">
        <v>-2.8393225219256499</v>
      </c>
      <c r="F57">
        <v>2.5464968974176699E-2</v>
      </c>
      <c r="AB57" t="str">
        <f t="shared" si="0"/>
        <v>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-0.14515457045520799</v>
      </c>
      <c r="D58">
        <v>5.9024134078126497E-2</v>
      </c>
      <c r="E58">
        <v>-2.4592409989967101</v>
      </c>
      <c r="F58">
        <v>2.88562250842231E-2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-0.36094592753503701</v>
      </c>
      <c r="D59">
        <v>0.139247247758016</v>
      </c>
      <c r="E59">
        <v>-2.5921225255546099</v>
      </c>
      <c r="F59">
        <v>2.1313341376752799E-2</v>
      </c>
      <c r="AB59" t="str">
        <f t="shared" si="0"/>
        <v>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0.27631760845842601</v>
      </c>
      <c r="D60">
        <v>8.4320668469528903E-2</v>
      </c>
      <c r="E60">
        <v>3.2769855063267102</v>
      </c>
      <c r="F60">
        <v>4.9476503524940397E-3</v>
      </c>
      <c r="AB60" t="str">
        <f t="shared" si="0"/>
        <v>***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-0.66794658172712695</v>
      </c>
      <c r="D61">
        <v>9.0932700587461501E-2</v>
      </c>
      <c r="E61">
        <v>-7.3455047239543703</v>
      </c>
      <c r="F61">
        <v>1.16213647815761E-4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6F0F-5123-452B-9B7D-B5E42F8171C4}">
  <sheetPr codeName="Sheet13"/>
  <dimension ref="A1:L130"/>
  <sheetViews>
    <sheetView topLeftCell="C47" workbookViewId="0">
      <selection activeCell="C65" sqref="C65:J129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0" max="10" width="12.7109375" style="3" customWidth="1"/>
    <col min="12" max="12" width="11.7109375" bestFit="1" customWidth="1"/>
  </cols>
  <sheetData>
    <row r="1" spans="1:12" ht="15.75" thickBot="1" x14ac:dyDescent="0.3">
      <c r="B1" t="s">
        <v>195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</row>
    <row r="2" spans="1:12" ht="29.25" thickTop="1" x14ac:dyDescent="0.45">
      <c r="C2" s="47" t="s">
        <v>310</v>
      </c>
      <c r="D2" s="47"/>
      <c r="E2" s="47"/>
      <c r="F2" s="47"/>
      <c r="G2" s="47"/>
      <c r="H2" s="47"/>
      <c r="I2" s="47"/>
      <c r="J2" s="47"/>
    </row>
    <row r="3" spans="1:12" ht="21" x14ac:dyDescent="0.35">
      <c r="C3" s="48" t="s">
        <v>393</v>
      </c>
      <c r="D3" s="48"/>
      <c r="E3" s="48"/>
      <c r="F3" s="48"/>
      <c r="G3" s="48"/>
      <c r="H3" s="48"/>
      <c r="I3" s="48"/>
      <c r="J3" s="48"/>
    </row>
    <row r="4" spans="1:12" x14ac:dyDescent="0.25">
      <c r="C4" s="19" t="s">
        <v>392</v>
      </c>
      <c r="D4" s="20" t="s">
        <v>265</v>
      </c>
      <c r="E4" s="20" t="s">
        <v>266</v>
      </c>
      <c r="F4" s="20" t="s">
        <v>267</v>
      </c>
      <c r="G4" s="20" t="s">
        <v>268</v>
      </c>
      <c r="H4" s="20" t="s">
        <v>269</v>
      </c>
      <c r="I4" s="20" t="s">
        <v>299</v>
      </c>
      <c r="J4" s="20" t="s">
        <v>307</v>
      </c>
    </row>
    <row r="5" spans="1:12" x14ac:dyDescent="0.25">
      <c r="A5">
        <v>1</v>
      </c>
      <c r="B5" t="s">
        <v>11</v>
      </c>
      <c r="C5" t="s">
        <v>11</v>
      </c>
      <c r="D5" s="3" t="str">
        <f>VLOOKUP($A5,'Reg1'!$A:$H,D$1,0)</f>
        <v>0.078***</v>
      </c>
      <c r="E5" s="3" t="str">
        <f>VLOOKUP($A5,'Reg1'!$A:$H,E$1,0)</f>
        <v>0.038*</v>
      </c>
      <c r="F5" s="3">
        <f>VLOOKUP($A5,'Reg1'!$A:$H,F$1,0)</f>
        <v>1.4E-2</v>
      </c>
      <c r="G5" s="3" t="str">
        <f>VLOOKUP($A5,'Reg1'!$A:$H,G$1,0)</f>
        <v>0.021*</v>
      </c>
      <c r="H5" s="3" t="str">
        <f>VLOOKUP($A5,'Reg1'!$A:$H,H$1,0)</f>
        <v>0.019*</v>
      </c>
      <c r="I5" s="3" t="str">
        <f>VLOOKUP($A5,'Reg1'!$A:$H,I$1,0)</f>
        <v>0.020**</v>
      </c>
      <c r="J5" s="3" t="str">
        <f>_xlfn.CONCAT(FIXED(VLOOKUP($A5,Reg1_Robust!A:AG,3,0),3),VLOOKUP($A5,Reg1_Robust!A:AG,28,0))</f>
        <v>0.020*</v>
      </c>
      <c r="L5">
        <f>EXP(0.02)-1</f>
        <v>2.0201340026755776E-2</v>
      </c>
    </row>
    <row r="6" spans="1:12" x14ac:dyDescent="0.25">
      <c r="A6">
        <v>2</v>
      </c>
      <c r="D6" s="3" t="str">
        <f>_xlfn.CONCAT("(",FIXED(ABS(VLOOKUP($A6,'Reg1'!$A:$H,D$1,0)),4),")")</f>
        <v>(0.0050)</v>
      </c>
      <c r="E6" s="3" t="str">
        <f>_xlfn.CONCAT("(",FIXED(ABS(VLOOKUP($A6,'Reg1'!$A:$H,E$1,0)),4),")")</f>
        <v>(0.0210)</v>
      </c>
      <c r="F6" s="3" t="str">
        <f>_xlfn.CONCAT("(",FIXED(ABS(VLOOKUP($A6,'Reg1'!$A:$H,F$1,0)),4),")")</f>
        <v>(0.0130)</v>
      </c>
      <c r="G6" s="3" t="str">
        <f>_xlfn.CONCAT("(",FIXED(ABS(VLOOKUP($A6,'Reg1'!$A:$H,G$1,0)),4),")")</f>
        <v>(0.0110)</v>
      </c>
      <c r="H6" s="3" t="str">
        <f>_xlfn.CONCAT("(",FIXED(ABS(VLOOKUP($A6,'Reg1'!$A:$H,H$1,0)),4),")")</f>
        <v>(0.0100)</v>
      </c>
      <c r="I6" s="3" t="str">
        <f>_xlfn.CONCAT("(",FIXED(ABS(VLOOKUP($A6,'Reg1'!$A:$H,I$1,0)),4),")")</f>
        <v>(0.0090)</v>
      </c>
      <c r="J6" s="3" t="str">
        <f>_xlfn.CONCAT("(",FIXED(VLOOKUP($A5,Reg1_Robust!A:AG,4,0),4),")")</f>
        <v>(0.0097)</v>
      </c>
      <c r="L6" s="26">
        <f>L5*'Table One'!C7*100000</f>
        <v>18746.84354482936</v>
      </c>
    </row>
    <row r="7" spans="1:12" x14ac:dyDescent="0.25">
      <c r="A7">
        <v>3</v>
      </c>
      <c r="B7" t="s">
        <v>16</v>
      </c>
      <c r="C7" t="s">
        <v>16</v>
      </c>
      <c r="E7" s="3" t="str">
        <f>VLOOKUP($A7,'Reg1'!$A:$H,E$1,0)</f>
        <v>0.001***</v>
      </c>
      <c r="F7" s="3" t="str">
        <f>VLOOKUP($A7,'Reg1'!$A:$H,F$1,0)</f>
        <v>0.0001***</v>
      </c>
      <c r="G7" s="3" t="str">
        <f>VLOOKUP($A7,'Reg1'!$A:$H,G$1,0)</f>
        <v>0.0002***</v>
      </c>
      <c r="H7" s="3" t="str">
        <f>VLOOKUP($A7,'Reg1'!$A:$H,H$1,0)</f>
        <v>0.0001***</v>
      </c>
      <c r="I7" s="3" t="str">
        <f>VLOOKUP($A7,'Reg1'!$A:$H,I$1,0)</f>
        <v>0.0001***</v>
      </c>
      <c r="J7" s="3" t="str">
        <f>_xlfn.CONCAT(FIXED(VLOOKUP($A7,Reg1_Robust!A:AG,3,0),4),VLOOKUP($A7,Reg1_Robust!A:AG,28,0))</f>
        <v>0.0001</v>
      </c>
    </row>
    <row r="8" spans="1:12" x14ac:dyDescent="0.25">
      <c r="A8">
        <v>4</v>
      </c>
      <c r="E8" s="3" t="str">
        <f>_xlfn.CONCAT("(",FIXED(ABS(VLOOKUP($A8,'Reg1'!$A:$H,E$1,0)),5),")")</f>
        <v>(0.00005)</v>
      </c>
      <c r="F8" s="3" t="str">
        <f>_xlfn.CONCAT("(",FIXED(ABS(VLOOKUP($A8,'Reg1'!$A:$H,F$1,0)),5),")")</f>
        <v>(0.00003)</v>
      </c>
      <c r="G8" s="3" t="str">
        <f>_xlfn.CONCAT("(",FIXED(ABS(VLOOKUP($A8,'Reg1'!$A:$H,G$1,0)),5),")")</f>
        <v>(0.00003)</v>
      </c>
      <c r="H8" s="3" t="str">
        <f>_xlfn.CONCAT("(",FIXED(ABS(VLOOKUP($A8,'Reg1'!$A:$H,H$1,0)),5),")")</f>
        <v>(0.00002)</v>
      </c>
      <c r="I8" s="3" t="str">
        <f>_xlfn.CONCAT("(",FIXED(ABS(VLOOKUP($A8,'Reg1'!$A:$H,I$1,0)),5),")")</f>
        <v>(0.00002)</v>
      </c>
      <c r="J8" s="3" t="str">
        <f>_xlfn.CONCAT("(",FIXED(VLOOKUP($A7,Reg1_Robust!A:AG,4,0),5),")")</f>
        <v>(0.00007)</v>
      </c>
    </row>
    <row r="9" spans="1:12" hidden="1" x14ac:dyDescent="0.25">
      <c r="A9">
        <v>5</v>
      </c>
      <c r="B9" t="s">
        <v>197</v>
      </c>
      <c r="E9" s="3" t="str">
        <f>VLOOKUP($A9,'Reg1'!$A:$H,E$1,0)</f>
        <v>0.061***</v>
      </c>
      <c r="F9" s="3" t="str">
        <f>VLOOKUP($A9,'Reg1'!$A:$H,F$1,0)</f>
        <v>0.031***</v>
      </c>
      <c r="G9" s="3" t="str">
        <f>VLOOKUP($A9,'Reg1'!$A:$H,G$1,0)</f>
        <v>0.032***</v>
      </c>
      <c r="H9" s="3" t="str">
        <f>VLOOKUP($A9,'Reg1'!$A:$H,H$1,0)</f>
        <v>0.040***</v>
      </c>
      <c r="I9" s="3" t="str">
        <f>VLOOKUP($A9,'Reg1'!$A:$H,I$1,0)</f>
        <v>0.036***</v>
      </c>
      <c r="J9" s="3" t="str">
        <f>_xlfn.CONCAT(FIXED(VLOOKUP($A9,Reg1_Robust!A:AG,3,0),3),VLOOKUP($A9,Reg1_Robust!A:AG,28,0))</f>
        <v>0.036***</v>
      </c>
    </row>
    <row r="10" spans="1:12" hidden="1" x14ac:dyDescent="0.25">
      <c r="A10">
        <v>6</v>
      </c>
      <c r="E10" s="3" t="str">
        <f>_xlfn.CONCAT("(",FIXED(ABS(VLOOKUP($A10,'Reg1'!$A:$H,E$1,0)),4),")")</f>
        <v>(0.0100)</v>
      </c>
      <c r="F10" s="3" t="str">
        <f>_xlfn.CONCAT("(",FIXED(ABS(VLOOKUP($A10,'Reg1'!$A:$H,F$1,0)),4),")")</f>
        <v>(0.0060)</v>
      </c>
      <c r="G10" s="3" t="str">
        <f>_xlfn.CONCAT("(",FIXED(ABS(VLOOKUP($A10,'Reg1'!$A:$H,G$1,0)),4),")")</f>
        <v>(0.0050)</v>
      </c>
      <c r="H10" s="3" t="str">
        <f>_xlfn.CONCAT("(",FIXED(ABS(VLOOKUP($A10,'Reg1'!$A:$H,H$1,0)),4),")")</f>
        <v>(0.0050)</v>
      </c>
      <c r="I10" s="3" t="str">
        <f>_xlfn.CONCAT("(",FIXED(ABS(VLOOKUP($A10,'Reg1'!$A:$H,I$1,0)),4),")")</f>
        <v>(0.0040)</v>
      </c>
      <c r="J10" s="3" t="str">
        <f>_xlfn.CONCAT("(",FIXED(VLOOKUP($A9,Reg1_Robust!A:AG,4,0),4),")")</f>
        <v>(0.0112)</v>
      </c>
    </row>
    <row r="11" spans="1:12" hidden="1" x14ac:dyDescent="0.25">
      <c r="A11">
        <v>7</v>
      </c>
      <c r="B11" t="s">
        <v>200</v>
      </c>
      <c r="E11" s="3" t="str">
        <f>VLOOKUP($A11,'Reg1'!$A:$H,E$1,0)</f>
        <v>0.068***</v>
      </c>
      <c r="F11" s="3" t="str">
        <f>VLOOKUP($A11,'Reg1'!$A:$H,F$1,0)</f>
        <v>0.040***</v>
      </c>
      <c r="G11" s="3" t="str">
        <f>VLOOKUP($A11,'Reg1'!$A:$H,G$1,0)</f>
        <v>0.041***</v>
      </c>
      <c r="H11" s="3" t="str">
        <f>VLOOKUP($A11,'Reg1'!$A:$H,H$1,0)</f>
        <v>0.052***</v>
      </c>
      <c r="I11" s="3" t="str">
        <f>VLOOKUP($A11,'Reg1'!$A:$H,I$1,0)</f>
        <v>0.044***</v>
      </c>
      <c r="J11" s="3" t="str">
        <f>_xlfn.CONCAT(FIXED(VLOOKUP($A11,Reg1_Robust!A:AG,3,0),3),VLOOKUP($A11,Reg1_Robust!A:AG,28,0))</f>
        <v>0.044**</v>
      </c>
    </row>
    <row r="12" spans="1:12" hidden="1" x14ac:dyDescent="0.25">
      <c r="A12">
        <v>8</v>
      </c>
      <c r="E12" s="3" t="str">
        <f>_xlfn.CONCAT("(",FIXED(ABS(VLOOKUP($A12,'Reg1'!$A:$H,E$1,0)),4),")")</f>
        <v>(0.0100)</v>
      </c>
      <c r="F12" s="3" t="str">
        <f>_xlfn.CONCAT("(",FIXED(ABS(VLOOKUP($A12,'Reg1'!$A:$H,F$1,0)),4),")")</f>
        <v>(0.0060)</v>
      </c>
      <c r="G12" s="3" t="str">
        <f>_xlfn.CONCAT("(",FIXED(ABS(VLOOKUP($A12,'Reg1'!$A:$H,G$1,0)),4),")")</f>
        <v>(0.0050)</v>
      </c>
      <c r="H12" s="3" t="str">
        <f>_xlfn.CONCAT("(",FIXED(ABS(VLOOKUP($A12,'Reg1'!$A:$H,H$1,0)),4),")")</f>
        <v>(0.0050)</v>
      </c>
      <c r="I12" s="3" t="str">
        <f>_xlfn.CONCAT("(",FIXED(ABS(VLOOKUP($A12,'Reg1'!$A:$H,I$1,0)),4),")")</f>
        <v>(0.0040)</v>
      </c>
      <c r="J12" s="3" t="str">
        <f>_xlfn.CONCAT("(",FIXED(VLOOKUP($A11,Reg1_Robust!A:AG,4,0),4),")")</f>
        <v>(0.0169)</v>
      </c>
    </row>
    <row r="13" spans="1:12" hidden="1" x14ac:dyDescent="0.25">
      <c r="A13">
        <v>9</v>
      </c>
      <c r="B13" t="s">
        <v>204</v>
      </c>
      <c r="E13" s="3" t="str">
        <f>VLOOKUP($A13,'Reg1'!$A:$H,E$1,0)</f>
        <v>0.065***</v>
      </c>
      <c r="F13" s="3" t="str">
        <f>VLOOKUP($A13,'Reg1'!$A:$H,F$1,0)</f>
        <v>0.033***</v>
      </c>
      <c r="G13" s="3" t="str">
        <f>VLOOKUP($A13,'Reg1'!$A:$H,G$1,0)</f>
        <v>0.027***</v>
      </c>
      <c r="H13" s="3" t="str">
        <f>VLOOKUP($A13,'Reg1'!$A:$H,H$1,0)</f>
        <v>0.038***</v>
      </c>
      <c r="I13" s="3" t="str">
        <f>VLOOKUP($A13,'Reg1'!$A:$H,I$1,0)</f>
        <v>0.033***</v>
      </c>
      <c r="J13" s="3" t="str">
        <f>_xlfn.CONCAT(FIXED(VLOOKUP($A13,Reg1_Robust!A:AG,3,0),3),VLOOKUP($A13,Reg1_Robust!A:AG,28,0))</f>
        <v>0.033*</v>
      </c>
    </row>
    <row r="14" spans="1:12" hidden="1" x14ac:dyDescent="0.25">
      <c r="A14">
        <v>10</v>
      </c>
      <c r="E14" s="3" t="str">
        <f>_xlfn.CONCAT("(",FIXED(ABS(VLOOKUP($A14,'Reg1'!$A:$H,E$1,0)),4),")")</f>
        <v>(0.0100)</v>
      </c>
      <c r="F14" s="3" t="str">
        <f>_xlfn.CONCAT("(",FIXED(ABS(VLOOKUP($A14,'Reg1'!$A:$H,F$1,0)),4),")")</f>
        <v>(0.0060)</v>
      </c>
      <c r="G14" s="3" t="str">
        <f>_xlfn.CONCAT("(",FIXED(ABS(VLOOKUP($A14,'Reg1'!$A:$H,G$1,0)),4),")")</f>
        <v>(0.0050)</v>
      </c>
      <c r="H14" s="3" t="str">
        <f>_xlfn.CONCAT("(",FIXED(ABS(VLOOKUP($A14,'Reg1'!$A:$H,H$1,0)),4),")")</f>
        <v>(0.0050)</v>
      </c>
      <c r="I14" s="3" t="str">
        <f>_xlfn.CONCAT("(",FIXED(ABS(VLOOKUP($A14,'Reg1'!$A:$H,I$1,0)),4),")")</f>
        <v>(0.0040)</v>
      </c>
      <c r="J14" s="3" t="str">
        <f>_xlfn.CONCAT("(",FIXED(VLOOKUP($A13,Reg1_Robust!A:AG,4,0),4),")")</f>
        <v>(0.0178)</v>
      </c>
    </row>
    <row r="15" spans="1:12" hidden="1" x14ac:dyDescent="0.25">
      <c r="A15">
        <v>11</v>
      </c>
      <c r="B15" t="s">
        <v>206</v>
      </c>
      <c r="E15" s="3" t="str">
        <f>VLOOKUP($A15,'Reg1'!$A:$H,E$1,0)</f>
        <v>0.056***</v>
      </c>
      <c r="F15" s="3">
        <f>VLOOKUP($A15,'Reg1'!$A:$H,F$1,0)</f>
        <v>1.9E-2</v>
      </c>
      <c r="G15" s="3">
        <f>VLOOKUP($A15,'Reg1'!$A:$H,G$1,0)</f>
        <v>7.0000000000000001E-3</v>
      </c>
      <c r="H15" s="3" t="str">
        <f>VLOOKUP($A15,'Reg1'!$A:$H,H$1,0)</f>
        <v>0.022**</v>
      </c>
      <c r="I15" s="3">
        <f>VLOOKUP($A15,'Reg1'!$A:$H,I$1,0)</f>
        <v>1.4E-2</v>
      </c>
      <c r="J15" s="3" t="str">
        <f>_xlfn.CONCAT(FIXED(VLOOKUP($A15,Reg1_Robust!A:AG,3,0),3),VLOOKUP($A15,Reg1_Robust!A:AG,28,0))</f>
        <v>0.014</v>
      </c>
    </row>
    <row r="16" spans="1:12" hidden="1" x14ac:dyDescent="0.25">
      <c r="A16">
        <v>12</v>
      </c>
      <c r="E16" s="3" t="str">
        <f>_xlfn.CONCAT("(",FIXED(ABS(VLOOKUP($A16,'Reg1'!$A:$H,E$1,0)),4),")")</f>
        <v>(0.0210)</v>
      </c>
      <c r="F16" s="3" t="str">
        <f>_xlfn.CONCAT("(",FIXED(ABS(VLOOKUP($A16,'Reg1'!$A:$H,F$1,0)),4),")")</f>
        <v>(0.0130)</v>
      </c>
      <c r="G16" s="3" t="str">
        <f>_xlfn.CONCAT("(",FIXED(ABS(VLOOKUP($A16,'Reg1'!$A:$H,G$1,0)),4),")")</f>
        <v>(0.0110)</v>
      </c>
      <c r="H16" s="3" t="str">
        <f>_xlfn.CONCAT("(",FIXED(ABS(VLOOKUP($A16,'Reg1'!$A:$H,H$1,0)),4),")")</f>
        <v>(0.0100)</v>
      </c>
      <c r="I16" s="3" t="str">
        <f>_xlfn.CONCAT("(",FIXED(ABS(VLOOKUP($A16,'Reg1'!$A:$H,I$1,0)),4),")")</f>
        <v>(0.0090)</v>
      </c>
      <c r="J16" s="3" t="str">
        <f>_xlfn.CONCAT("(",FIXED(VLOOKUP($A15,Reg1_Robust!A:AG,4,0),4),")")</f>
        <v>(0.0228)</v>
      </c>
    </row>
    <row r="17" spans="1:10" hidden="1" x14ac:dyDescent="0.25">
      <c r="A17">
        <v>13</v>
      </c>
      <c r="B17" t="s">
        <v>207</v>
      </c>
      <c r="E17" s="3" t="str">
        <f>VLOOKUP($A17,'Reg1'!$A:$H,E$1,0)</f>
        <v>0.110***</v>
      </c>
      <c r="F17" s="3" t="str">
        <f>VLOOKUP($A17,'Reg1'!$A:$H,F$1,0)</f>
        <v>0.088***</v>
      </c>
      <c r="G17" s="3" t="str">
        <f>VLOOKUP($A17,'Reg1'!$A:$H,G$1,0)</f>
        <v>0.081***</v>
      </c>
      <c r="H17" s="3" t="str">
        <f>VLOOKUP($A17,'Reg1'!$A:$H,H$1,0)</f>
        <v>0.095***</v>
      </c>
      <c r="I17" s="3" t="str">
        <f>VLOOKUP($A17,'Reg1'!$A:$H,I$1,0)</f>
        <v>0.086***</v>
      </c>
      <c r="J17" s="3" t="str">
        <f>_xlfn.CONCAT(FIXED(VLOOKUP($A17,Reg1_Robust!A:AG,3,0),3),VLOOKUP($A17,Reg1_Robust!A:AG,28,0))</f>
        <v>0.086***</v>
      </c>
    </row>
    <row r="18" spans="1:10" hidden="1" x14ac:dyDescent="0.25">
      <c r="A18">
        <v>14</v>
      </c>
      <c r="E18" s="3" t="str">
        <f>_xlfn.CONCAT("(",FIXED(ABS(VLOOKUP($A18,'Reg1'!$A:$H,E$1,0)),4),")")</f>
        <v>(0.0230)</v>
      </c>
      <c r="F18" s="3" t="str">
        <f>_xlfn.CONCAT("(",FIXED(ABS(VLOOKUP($A18,'Reg1'!$A:$H,F$1,0)),4),")")</f>
        <v>(0.0140)</v>
      </c>
      <c r="G18" s="3" t="str">
        <f>_xlfn.CONCAT("(",FIXED(ABS(VLOOKUP($A18,'Reg1'!$A:$H,G$1,0)),4),")")</f>
        <v>(0.0120)</v>
      </c>
      <c r="H18" s="3" t="str">
        <f>_xlfn.CONCAT("(",FIXED(ABS(VLOOKUP($A18,'Reg1'!$A:$H,H$1,0)),4),")")</f>
        <v>(0.0110)</v>
      </c>
      <c r="I18" s="3" t="str">
        <f>_xlfn.CONCAT("(",FIXED(ABS(VLOOKUP($A18,'Reg1'!$A:$H,I$1,0)),4),")")</f>
        <v>(0.0100)</v>
      </c>
      <c r="J18" s="3" t="str">
        <f>_xlfn.CONCAT("(",FIXED(VLOOKUP($A17,Reg1_Robust!A:AG,4,0),4),")")</f>
        <v>(0.0275)</v>
      </c>
    </row>
    <row r="19" spans="1:10" hidden="1" x14ac:dyDescent="0.25">
      <c r="A19">
        <v>15</v>
      </c>
      <c r="B19" t="s">
        <v>209</v>
      </c>
      <c r="E19" s="3" t="str">
        <f>VLOOKUP($A19,'Reg1'!$A:$H,E$1,0)</f>
        <v>0.126***</v>
      </c>
      <c r="F19" s="3" t="str">
        <f>VLOOKUP($A19,'Reg1'!$A:$H,F$1,0)</f>
        <v>0.123***</v>
      </c>
      <c r="G19" s="3" t="str">
        <f>VLOOKUP($A19,'Reg1'!$A:$H,G$1,0)</f>
        <v>0.115***</v>
      </c>
      <c r="H19" s="3" t="str">
        <f>VLOOKUP($A19,'Reg1'!$A:$H,H$1,0)</f>
        <v>0.138***</v>
      </c>
      <c r="I19" s="3" t="str">
        <f>VLOOKUP($A19,'Reg1'!$A:$H,I$1,0)</f>
        <v>0.128***</v>
      </c>
      <c r="J19" s="3" t="str">
        <f>_xlfn.CONCAT(FIXED(VLOOKUP($A19,Reg1_Robust!A:AG,3,0),3),VLOOKUP($A19,Reg1_Robust!A:AG,28,0))</f>
        <v>0.128***</v>
      </c>
    </row>
    <row r="20" spans="1:10" hidden="1" x14ac:dyDescent="0.25">
      <c r="A20">
        <v>16</v>
      </c>
      <c r="E20" s="3" t="str">
        <f>_xlfn.CONCAT("(",FIXED(ABS(VLOOKUP($A20,'Reg1'!$A:$H,E$1,0)),4),")")</f>
        <v>(0.0230)</v>
      </c>
      <c r="F20" s="3" t="str">
        <f>_xlfn.CONCAT("(",FIXED(ABS(VLOOKUP($A20,'Reg1'!$A:$H,F$1,0)),4),")")</f>
        <v>(0.0140)</v>
      </c>
      <c r="G20" s="3" t="str">
        <f>_xlfn.CONCAT("(",FIXED(ABS(VLOOKUP($A20,'Reg1'!$A:$H,G$1,0)),4),")")</f>
        <v>(0.0120)</v>
      </c>
      <c r="H20" s="3" t="str">
        <f>_xlfn.CONCAT("(",FIXED(ABS(VLOOKUP($A20,'Reg1'!$A:$H,H$1,0)),4),")")</f>
        <v>(0.0110)</v>
      </c>
      <c r="I20" s="3" t="str">
        <f>_xlfn.CONCAT("(",FIXED(ABS(VLOOKUP($A20,'Reg1'!$A:$H,I$1,0)),4),")")</f>
        <v>(0.0100)</v>
      </c>
      <c r="J20" s="3" t="str">
        <f>_xlfn.CONCAT("(",FIXED(VLOOKUP($A19,Reg1_Robust!A:AG,4,0),4),")")</f>
        <v>(0.0300)</v>
      </c>
    </row>
    <row r="21" spans="1:10" hidden="1" x14ac:dyDescent="0.25">
      <c r="A21">
        <v>17</v>
      </c>
      <c r="B21" t="s">
        <v>212</v>
      </c>
      <c r="E21" s="3" t="str">
        <f>VLOOKUP($A21,'Reg1'!$A:$H,E$1,0)</f>
        <v>0.447***</v>
      </c>
      <c r="F21" s="3" t="str">
        <f>VLOOKUP($A21,'Reg1'!$A:$H,F$1,0)</f>
        <v>0.123***</v>
      </c>
      <c r="G21" s="3" t="str">
        <f>VLOOKUP($A21,'Reg1'!$A:$H,G$1,0)</f>
        <v>0.059***</v>
      </c>
      <c r="H21" s="3" t="str">
        <f>VLOOKUP($A21,'Reg1'!$A:$H,H$1,0)</f>
        <v>0.094***</v>
      </c>
      <c r="I21" s="3" t="str">
        <f>VLOOKUP($A21,'Reg1'!$A:$H,I$1,0)</f>
        <v>0.096***</v>
      </c>
      <c r="J21" s="3" t="str">
        <f>_xlfn.CONCAT(FIXED(VLOOKUP($A21,Reg1_Robust!A:AG,3,0),3),VLOOKUP($A21,Reg1_Robust!A:AG,28,0))</f>
        <v>0.096**</v>
      </c>
    </row>
    <row r="22" spans="1:10" hidden="1" x14ac:dyDescent="0.25">
      <c r="A22">
        <v>18</v>
      </c>
      <c r="E22" s="3" t="str">
        <f>_xlfn.CONCAT("(",FIXED(ABS(VLOOKUP($A22,'Reg1'!$A:$H,E$1,0)),4),")")</f>
        <v>(0.0390)</v>
      </c>
      <c r="F22" s="3" t="str">
        <f>_xlfn.CONCAT("(",FIXED(ABS(VLOOKUP($A22,'Reg1'!$A:$H,F$1,0)),4),")")</f>
        <v>(0.0240)</v>
      </c>
      <c r="G22" s="3" t="str">
        <f>_xlfn.CONCAT("(",FIXED(ABS(VLOOKUP($A22,'Reg1'!$A:$H,G$1,0)),4),")")</f>
        <v>(0.0210)</v>
      </c>
      <c r="H22" s="3" t="str">
        <f>_xlfn.CONCAT("(",FIXED(ABS(VLOOKUP($A22,'Reg1'!$A:$H,H$1,0)),4),")")</f>
        <v>(0.0180)</v>
      </c>
      <c r="I22" s="3" t="str">
        <f>_xlfn.CONCAT("(",FIXED(ABS(VLOOKUP($A22,'Reg1'!$A:$H,I$1,0)),4),")")</f>
        <v>(0.0170)</v>
      </c>
      <c r="J22" s="3" t="str">
        <f>_xlfn.CONCAT("(",FIXED(VLOOKUP($A21,Reg1_Robust!A:AG,4,0),4),")")</f>
        <v>(0.0349)</v>
      </c>
    </row>
    <row r="23" spans="1:10" x14ac:dyDescent="0.25">
      <c r="A23">
        <v>19</v>
      </c>
      <c r="B23" t="s">
        <v>15</v>
      </c>
      <c r="C23" t="s">
        <v>351</v>
      </c>
      <c r="F23" s="3" t="str">
        <f>VLOOKUP($A23,'Reg1'!$A:$H,F$1,0)</f>
        <v>0.034***</v>
      </c>
      <c r="G23" s="3" t="str">
        <f>VLOOKUP($A23,'Reg1'!$A:$H,G$1,0)</f>
        <v>-0.015***</v>
      </c>
      <c r="H23" s="3" t="str">
        <f>VLOOKUP($A23,'Reg1'!$A:$H,H$1,0)</f>
        <v>0.013***</v>
      </c>
      <c r="I23" s="3" t="str">
        <f>VLOOKUP($A23,'Reg1'!$A:$H,I$1,0)</f>
        <v>0.024***</v>
      </c>
      <c r="J23" s="3" t="str">
        <f>_xlfn.CONCAT(FIXED(VLOOKUP($A23,Reg1_Robust!A:AG,3,0),3),VLOOKUP($A23,Reg1_Robust!A:AG,28,0))</f>
        <v>0.024</v>
      </c>
    </row>
    <row r="24" spans="1:10" x14ac:dyDescent="0.25">
      <c r="A24">
        <v>20</v>
      </c>
      <c r="F24" s="3" t="str">
        <f>_xlfn.CONCAT("(",FIXED(ABS(VLOOKUP($A24,'Reg1'!$A:$H,F$1,0)),4),")")</f>
        <v>(0.0020)</v>
      </c>
      <c r="G24" s="3" t="str">
        <f>_xlfn.CONCAT("(",FIXED(ABS(VLOOKUP($A24,'Reg1'!$A:$H,G$1,0)),4),")")</f>
        <v>(0.0020)</v>
      </c>
      <c r="H24" s="3" t="str">
        <f>_xlfn.CONCAT("(",FIXED(ABS(VLOOKUP($A24,'Reg1'!$A:$H,H$1,0)),4),")")</f>
        <v>(0.0020)</v>
      </c>
      <c r="I24" s="3" t="str">
        <f>_xlfn.CONCAT("(",FIXED(ABS(VLOOKUP($A24,'Reg1'!$A:$H,I$1,0)),4),")")</f>
        <v>(0.0020)</v>
      </c>
      <c r="J24" s="3" t="str">
        <f>_xlfn.CONCAT("(",FIXED(VLOOKUP($A23,Reg1_Robust!A:AG,4,0),4),")")</f>
        <v>(0.0226)</v>
      </c>
    </row>
    <row r="25" spans="1:10" x14ac:dyDescent="0.25">
      <c r="A25">
        <v>21</v>
      </c>
      <c r="B25" t="s">
        <v>13</v>
      </c>
      <c r="C25" t="s">
        <v>352</v>
      </c>
      <c r="F25" s="3" t="str">
        <f>VLOOKUP($A25,'Reg1'!$A:$H,F$1,0)</f>
        <v>0.091***</v>
      </c>
      <c r="G25" s="3" t="str">
        <f>VLOOKUP($A25,'Reg1'!$A:$H,G$1,0)</f>
        <v>0.091***</v>
      </c>
      <c r="H25" s="3" t="str">
        <f>VLOOKUP($A25,'Reg1'!$A:$H,H$1,0)</f>
        <v>0.061***</v>
      </c>
      <c r="I25" s="3" t="str">
        <f>VLOOKUP($A25,'Reg1'!$A:$H,I$1,0)</f>
        <v>0.054***</v>
      </c>
      <c r="J25" s="3" t="str">
        <f>_xlfn.CONCAT(FIXED(VLOOKUP($A25,Reg1_Robust!A:AG,3,0),3),VLOOKUP($A25,Reg1_Robust!A:AG,28,0))</f>
        <v>0.054***</v>
      </c>
    </row>
    <row r="26" spans="1:10" x14ac:dyDescent="0.25">
      <c r="A26">
        <v>22</v>
      </c>
      <c r="F26" s="3" t="str">
        <f>_xlfn.CONCAT("(",FIXED(ABS(VLOOKUP($A26,'Reg1'!$A:$H,F$1,0)),4),")")</f>
        <v>(0.0040)</v>
      </c>
      <c r="G26" s="3" t="str">
        <f>_xlfn.CONCAT("(",FIXED(ABS(VLOOKUP($A26,'Reg1'!$A:$H,G$1,0)),4),")")</f>
        <v>(0.0030)</v>
      </c>
      <c r="H26" s="3" t="str">
        <f>_xlfn.CONCAT("(",FIXED(ABS(VLOOKUP($A26,'Reg1'!$A:$H,H$1,0)),4),")")</f>
        <v>(0.0030)</v>
      </c>
      <c r="I26" s="3" t="str">
        <f>_xlfn.CONCAT("(",FIXED(ABS(VLOOKUP($A26,'Reg1'!$A:$H,I$1,0)),4),")")</f>
        <v>(0.0030)</v>
      </c>
      <c r="J26" s="3" t="str">
        <f>_xlfn.CONCAT("(",FIXED(VLOOKUP($A25,Reg1_Robust!A:AG,4,0),4),")")</f>
        <v>(0.0163)</v>
      </c>
    </row>
    <row r="27" spans="1:10" x14ac:dyDescent="0.25">
      <c r="A27">
        <v>23</v>
      </c>
      <c r="B27" t="s">
        <v>14</v>
      </c>
      <c r="C27" t="s">
        <v>353</v>
      </c>
      <c r="F27" s="3" t="str">
        <f>VLOOKUP($A27,'Reg1'!$A:$H,F$1,0)</f>
        <v>0.064***</v>
      </c>
      <c r="G27" s="3" t="str">
        <f>VLOOKUP($A27,'Reg1'!$A:$H,G$1,0)</f>
        <v>0.047***</v>
      </c>
      <c r="H27" s="3" t="str">
        <f>VLOOKUP($A27,'Reg1'!$A:$H,H$1,0)</f>
        <v>0.057***</v>
      </c>
      <c r="I27" s="3" t="str">
        <f>VLOOKUP($A27,'Reg1'!$A:$H,I$1,0)</f>
        <v>0.057***</v>
      </c>
      <c r="J27" s="3" t="str">
        <f>_xlfn.CONCAT(FIXED(VLOOKUP($A27,Reg1_Robust!A:AG,3,0),3),VLOOKUP($A27,Reg1_Robust!A:AG,28,0))</f>
        <v>0.057***</v>
      </c>
    </row>
    <row r="28" spans="1:10" x14ac:dyDescent="0.25">
      <c r="A28">
        <v>24</v>
      </c>
      <c r="F28" s="3" t="str">
        <f>_xlfn.CONCAT("(",FIXED(ABS(VLOOKUP($A28,'Reg1'!$A:$H,F$1,0)),4),")")</f>
        <v>(0.0040)</v>
      </c>
      <c r="G28" s="3" t="str">
        <f>_xlfn.CONCAT("(",FIXED(ABS(VLOOKUP($A28,'Reg1'!$A:$H,G$1,0)),4),")")</f>
        <v>(0.0040)</v>
      </c>
      <c r="H28" s="3" t="str">
        <f>_xlfn.CONCAT("(",FIXED(ABS(VLOOKUP($A28,'Reg1'!$A:$H,H$1,0)),4),")")</f>
        <v>(0.0030)</v>
      </c>
      <c r="I28" s="3" t="str">
        <f>_xlfn.CONCAT("(",FIXED(ABS(VLOOKUP($A28,'Reg1'!$A:$H,I$1,0)),4),")")</f>
        <v>(0.0030)</v>
      </c>
      <c r="J28" s="3" t="str">
        <f>_xlfn.CONCAT("(",FIXED(VLOOKUP($A27,Reg1_Robust!A:AG,4,0),4),")")</f>
        <v>(0.0090)</v>
      </c>
    </row>
    <row r="29" spans="1:10" x14ac:dyDescent="0.25">
      <c r="A29">
        <v>25</v>
      </c>
      <c r="B29" t="s">
        <v>59</v>
      </c>
      <c r="C29" t="s">
        <v>354</v>
      </c>
      <c r="F29" s="3" t="str">
        <f>VLOOKUP($A29,'Reg1'!$A:$H,F$1,0)</f>
        <v>-0.181***</v>
      </c>
      <c r="G29" s="3" t="str">
        <f>VLOOKUP($A29,'Reg1'!$A:$H,G$1,0)</f>
        <v>-0.105***</v>
      </c>
      <c r="H29" s="3" t="str">
        <f>VLOOKUP($A29,'Reg1'!$A:$H,H$1,0)</f>
        <v>-0.097***</v>
      </c>
      <c r="I29" s="3" t="str">
        <f>VLOOKUP($A29,'Reg1'!$A:$H,I$1,0)</f>
        <v>-0.093***</v>
      </c>
      <c r="J29" s="3" t="str">
        <f>_xlfn.CONCAT(FIXED(VLOOKUP($A29,Reg1_Robust!A:AG,3,0),3),VLOOKUP($A29,Reg1_Robust!A:AG,28,0))</f>
        <v>-0.093***</v>
      </c>
    </row>
    <row r="30" spans="1:10" x14ac:dyDescent="0.25">
      <c r="A30">
        <v>26</v>
      </c>
      <c r="F30" s="3" t="str">
        <f>_xlfn.CONCAT("(",FIXED(ABS(VLOOKUP($A30,'Reg1'!$A:$H,F$1,0)),4),")")</f>
        <v>(0.0040)</v>
      </c>
      <c r="G30" s="3" t="str">
        <f>_xlfn.CONCAT("(",FIXED(ABS(VLOOKUP($A30,'Reg1'!$A:$H,G$1,0)),4),")")</f>
        <v>(0.0040)</v>
      </c>
      <c r="H30" s="3" t="str">
        <f>_xlfn.CONCAT("(",FIXED(ABS(VLOOKUP($A30,'Reg1'!$A:$H,H$1,0)),4),")")</f>
        <v>(0.0030)</v>
      </c>
      <c r="I30" s="3" t="str">
        <f>_xlfn.CONCAT("(",FIXED(ABS(VLOOKUP($A30,'Reg1'!$A:$H,I$1,0)),4),")")</f>
        <v>(0.0030)</v>
      </c>
      <c r="J30" s="3" t="str">
        <f>_xlfn.CONCAT("(",FIXED(VLOOKUP($A29,Reg1_Robust!A:AG,4,0),4),")")</f>
        <v>(0.0294)</v>
      </c>
    </row>
    <row r="31" spans="1:10" x14ac:dyDescent="0.25">
      <c r="A31">
        <v>27</v>
      </c>
      <c r="B31" t="s">
        <v>60</v>
      </c>
      <c r="C31" t="s">
        <v>355</v>
      </c>
      <c r="F31" s="3" t="str">
        <f>VLOOKUP($A31,'Reg1'!$A:$H,F$1,0)</f>
        <v>-0.087***</v>
      </c>
      <c r="G31" s="3" t="str">
        <f>VLOOKUP($A31,'Reg1'!$A:$H,G$1,0)</f>
        <v>-0.032***</v>
      </c>
      <c r="H31" s="3" t="str">
        <f>VLOOKUP($A31,'Reg1'!$A:$H,H$1,0)</f>
        <v>-0.056***</v>
      </c>
      <c r="I31" s="3" t="str">
        <f>VLOOKUP($A31,'Reg1'!$A:$H,I$1,0)</f>
        <v>-0.055***</v>
      </c>
      <c r="J31" s="3" t="str">
        <f>_xlfn.CONCAT(FIXED(VLOOKUP($A31,Reg1_Robust!A:AG,3,0),3),VLOOKUP($A31,Reg1_Robust!A:AG,28,0))</f>
        <v>-0.055***</v>
      </c>
    </row>
    <row r="32" spans="1:10" x14ac:dyDescent="0.25">
      <c r="A32">
        <v>28</v>
      </c>
      <c r="F32" s="3" t="str">
        <f>_xlfn.CONCAT("(",FIXED(ABS(VLOOKUP($A32,'Reg1'!$A:$H,F$1,0)),4),")")</f>
        <v>(0.0040)</v>
      </c>
      <c r="G32" s="3" t="str">
        <f>_xlfn.CONCAT("(",FIXED(ABS(VLOOKUP($A32,'Reg1'!$A:$H,G$1,0)),4),")")</f>
        <v>(0.0040)</v>
      </c>
      <c r="H32" s="3" t="str">
        <f>_xlfn.CONCAT("(",FIXED(ABS(VLOOKUP($A32,'Reg1'!$A:$H,H$1,0)),4),")")</f>
        <v>(0.0040)</v>
      </c>
      <c r="I32" s="3" t="str">
        <f>_xlfn.CONCAT("(",FIXED(ABS(VLOOKUP($A32,'Reg1'!$A:$H,I$1,0)),4),")")</f>
        <v>(0.0040)</v>
      </c>
      <c r="J32" s="3" t="str">
        <f>_xlfn.CONCAT("(",FIXED(VLOOKUP($A31,Reg1_Robust!A:AG,4,0),4),")")</f>
        <v>(0.0099)</v>
      </c>
    </row>
    <row r="33" spans="1:10" x14ac:dyDescent="0.25">
      <c r="A33">
        <v>29</v>
      </c>
      <c r="B33" t="s">
        <v>18</v>
      </c>
      <c r="C33" t="s">
        <v>356</v>
      </c>
      <c r="F33" s="3" t="str">
        <f>VLOOKUP($A33,'Reg1'!$A:$H,F$1,0)</f>
        <v>0.0003***</v>
      </c>
      <c r="G33" s="3" t="str">
        <f>VLOOKUP($A33,'Reg1'!$A:$H,G$1,0)</f>
        <v>0.0003***</v>
      </c>
      <c r="H33" s="3" t="str">
        <f>VLOOKUP($A33,'Reg1'!$A:$H,H$1,0)</f>
        <v>0.0002***</v>
      </c>
      <c r="I33" s="3" t="str">
        <f>VLOOKUP($A33,'Reg1'!$A:$H,I$1,0)</f>
        <v>0.0002***</v>
      </c>
      <c r="J33" s="3" t="str">
        <f>_xlfn.CONCAT(FIXED(VLOOKUP($A33,Reg1_Robust!A:AG,3,0),4),VLOOKUP($A33,Reg1_Robust!A:AG,28,0))</f>
        <v>0.0002***</v>
      </c>
    </row>
    <row r="34" spans="1:10" x14ac:dyDescent="0.25">
      <c r="A34">
        <v>30</v>
      </c>
      <c r="F34" s="3" t="str">
        <f>_xlfn.CONCAT("(",FIXED(ABS(VLOOKUP($A34,'Reg1'!$A:$H,F$1,0)),6),")")</f>
        <v>(0.000000)</v>
      </c>
      <c r="G34" s="3" t="str">
        <f>_xlfn.CONCAT("(",FIXED(ABS(VLOOKUP($A34,'Reg1'!$A:$H,G$1,0)),4),")")</f>
        <v>(0.0000)</v>
      </c>
      <c r="H34" s="3" t="str">
        <f>_xlfn.CONCAT("(",FIXED(ABS(VLOOKUP($A34,'Reg1'!$A:$H,H$1,0)),4),")")</f>
        <v>(0.0000)</v>
      </c>
      <c r="I34" s="3" t="str">
        <f>_xlfn.CONCAT("(",FIXED(ABS(VLOOKUP($A34,'Reg1'!$A:$H,I$1,0)),4),")")</f>
        <v>(0.0000)</v>
      </c>
      <c r="J34" s="3" t="str">
        <f>_xlfn.CONCAT("(",FIXED(VLOOKUP($A33,Reg1_Robust!A:AG,4,0),4),")")</f>
        <v>(0.0000)</v>
      </c>
    </row>
    <row r="35" spans="1:10" x14ac:dyDescent="0.25">
      <c r="A35">
        <v>31</v>
      </c>
      <c r="B35" t="s">
        <v>33</v>
      </c>
      <c r="C35" t="s">
        <v>33</v>
      </c>
      <c r="F35" s="3" t="str">
        <f>VLOOKUP($A35,'Reg1'!$A:$H,F$1,0)</f>
        <v>-0.016***</v>
      </c>
      <c r="G35" s="3" t="str">
        <f>VLOOKUP($A35,'Reg1'!$A:$H,G$1,0)</f>
        <v>-0.010***</v>
      </c>
      <c r="H35" s="3" t="str">
        <f>VLOOKUP($A35,'Reg1'!$A:$H,H$1,0)</f>
        <v>-0.014***</v>
      </c>
      <c r="I35" s="3" t="str">
        <f>VLOOKUP($A35,'Reg1'!$A:$H,I$1,0)</f>
        <v>-0.014***</v>
      </c>
      <c r="J35" s="3" t="str">
        <f>_xlfn.CONCAT(FIXED(VLOOKUP($A35,Reg1_Robust!A:AG,3,0),3),VLOOKUP($A35,Reg1_Robust!A:AG,28,0))</f>
        <v>-0.014***</v>
      </c>
    </row>
    <row r="36" spans="1:10" x14ac:dyDescent="0.25">
      <c r="A36">
        <v>32</v>
      </c>
      <c r="F36" s="3" t="str">
        <f>_xlfn.CONCAT("(",FIXED(ABS(VLOOKUP($A36,'Reg1'!$A:$H,F$1,0)),4),")")</f>
        <v>(0.0003)</v>
      </c>
      <c r="G36" s="3" t="str">
        <f>_xlfn.CONCAT("(",FIXED(ABS(VLOOKUP($A36,'Reg1'!$A:$H,G$1,0)),4),")")</f>
        <v>(0.0003)</v>
      </c>
      <c r="H36" s="3" t="str">
        <f>_xlfn.CONCAT("(",FIXED(ABS(VLOOKUP($A36,'Reg1'!$A:$H,H$1,0)),4),")")</f>
        <v>(0.0002)</v>
      </c>
      <c r="I36" s="3" t="str">
        <f>_xlfn.CONCAT("(",FIXED(ABS(VLOOKUP($A36,'Reg1'!$A:$H,I$1,0)),4),")")</f>
        <v>(0.0002)</v>
      </c>
      <c r="J36" s="3" t="str">
        <f>_xlfn.CONCAT("(",FIXED(VLOOKUP($A35,Reg1_Robust!A:AG,4,0),4),")")</f>
        <v>(0.0045)</v>
      </c>
    </row>
    <row r="37" spans="1:10" x14ac:dyDescent="0.25">
      <c r="A37">
        <v>33</v>
      </c>
      <c r="B37" t="s">
        <v>34</v>
      </c>
      <c r="C37" t="s">
        <v>34</v>
      </c>
      <c r="F37" s="3" t="str">
        <f>VLOOKUP($A37,'Reg1'!$A:$H,F$1,0)</f>
        <v>0.196***</v>
      </c>
      <c r="G37" s="3" t="str">
        <f>VLOOKUP($A37,'Reg1'!$A:$H,G$1,0)</f>
        <v>0.147***</v>
      </c>
      <c r="H37" s="3" t="str">
        <f>VLOOKUP($A37,'Reg1'!$A:$H,H$1,0)</f>
        <v>0.156***</v>
      </c>
      <c r="I37" s="3" t="str">
        <f>VLOOKUP($A37,'Reg1'!$A:$H,I$1,0)</f>
        <v>0.149***</v>
      </c>
      <c r="J37" s="3" t="str">
        <f>_xlfn.CONCAT(FIXED(VLOOKUP($A37,Reg1_Robust!A:AG,3,0),3),VLOOKUP($A37,Reg1_Robust!A:AG,28,0))</f>
        <v>0.149***</v>
      </c>
    </row>
    <row r="38" spans="1:10" x14ac:dyDescent="0.25">
      <c r="A38">
        <v>34</v>
      </c>
      <c r="F38" s="3" t="str">
        <f>_xlfn.CONCAT("(",FIXED(ABS(VLOOKUP($A38,'Reg1'!$A:$H,F$1,0)),4),")")</f>
        <v>(0.0030)</v>
      </c>
      <c r="G38" s="3" t="str">
        <f>_xlfn.CONCAT("(",FIXED(ABS(VLOOKUP($A38,'Reg1'!$A:$H,G$1,0)),4),")")</f>
        <v>(0.0030)</v>
      </c>
      <c r="H38" s="3" t="str">
        <f>_xlfn.CONCAT("(",FIXED(ABS(VLOOKUP($A38,'Reg1'!$A:$H,H$1,0)),4),")")</f>
        <v>(0.0030)</v>
      </c>
      <c r="I38" s="3" t="str">
        <f>_xlfn.CONCAT("(",FIXED(ABS(VLOOKUP($A38,'Reg1'!$A:$H,I$1,0)),4),")")</f>
        <v>(0.0030)</v>
      </c>
      <c r="J38" s="3" t="str">
        <f>_xlfn.CONCAT("(",FIXED(VLOOKUP($A37,Reg1_Robust!A:AG,4,0),4),")")</f>
        <v>(0.0440)</v>
      </c>
    </row>
    <row r="39" spans="1:10" x14ac:dyDescent="0.25">
      <c r="A39">
        <v>35</v>
      </c>
      <c r="B39" t="s">
        <v>21</v>
      </c>
      <c r="C39" t="s">
        <v>21</v>
      </c>
      <c r="F39" s="3">
        <f>VLOOKUP($A39,'Reg1'!$A:$H,F$1,0)</f>
        <v>-1E-3</v>
      </c>
      <c r="G39" s="3" t="str">
        <f>VLOOKUP($A39,'Reg1'!$A:$H,G$1,0)</f>
        <v>-0.028**</v>
      </c>
      <c r="H39" s="3" t="str">
        <f>VLOOKUP($A39,'Reg1'!$A:$H,H$1,0)</f>
        <v>-0.054***</v>
      </c>
      <c r="I39" s="3" t="str">
        <f>VLOOKUP($A39,'Reg1'!$A:$H,I$1,0)</f>
        <v>-0.040***</v>
      </c>
      <c r="J39" s="3" t="str">
        <f>_xlfn.CONCAT(FIXED(VLOOKUP($A39,Reg1_Robust!A:AG,3,0),3),VLOOKUP($A39,Reg1_Robust!A:AG,28,0))</f>
        <v>-0.040**</v>
      </c>
    </row>
    <row r="40" spans="1:10" x14ac:dyDescent="0.25">
      <c r="A40">
        <v>36</v>
      </c>
      <c r="F40" s="3" t="str">
        <f>_xlfn.CONCAT("(",FIXED(ABS(VLOOKUP($A40,'Reg1'!$A:$H,F$1,0)),4),")")</f>
        <v>(0.0140)</v>
      </c>
      <c r="G40" s="3" t="str">
        <f>_xlfn.CONCAT("(",FIXED(ABS(VLOOKUP($A40,'Reg1'!$A:$H,G$1,0)),4),")")</f>
        <v>(0.0130)</v>
      </c>
      <c r="H40" s="3" t="str">
        <f>_xlfn.CONCAT("(",FIXED(ABS(VLOOKUP($A40,'Reg1'!$A:$H,H$1,0)),4),")")</f>
        <v>(0.0110)</v>
      </c>
      <c r="I40" s="3" t="str">
        <f>_xlfn.CONCAT("(",FIXED(ABS(VLOOKUP($A40,'Reg1'!$A:$H,I$1,0)),4),")")</f>
        <v>(0.0100)</v>
      </c>
      <c r="J40" s="3" t="str">
        <f>_xlfn.CONCAT("(",FIXED(VLOOKUP($A39,Reg1_Robust!A:AG,4,0),4),")")</f>
        <v>(0.0161)</v>
      </c>
    </row>
    <row r="41" spans="1:10" x14ac:dyDescent="0.25">
      <c r="A41">
        <v>37</v>
      </c>
      <c r="B41" t="s">
        <v>224</v>
      </c>
      <c r="C41" t="s">
        <v>357</v>
      </c>
      <c r="F41" s="3" t="str">
        <f>VLOOKUP($A41,'Reg1'!$A:$H,F$1,0)</f>
        <v>0.150***</v>
      </c>
      <c r="G41" s="3" t="str">
        <f>VLOOKUP($A41,'Reg1'!$A:$H,G$1,0)</f>
        <v>0.151***</v>
      </c>
      <c r="H41" s="3" t="str">
        <f>VLOOKUP($A41,'Reg1'!$A:$H,H$1,0)</f>
        <v>0.120***</v>
      </c>
      <c r="I41" s="3" t="str">
        <f>VLOOKUP($A41,'Reg1'!$A:$H,I$1,0)</f>
        <v>0.109***</v>
      </c>
      <c r="J41" s="3" t="str">
        <f>_xlfn.CONCAT(FIXED(VLOOKUP($A41,Reg1_Robust!A:AG,3,0),3),VLOOKUP($A41,Reg1_Robust!A:AG,28,0))</f>
        <v>0.109***</v>
      </c>
    </row>
    <row r="42" spans="1:10" x14ac:dyDescent="0.25">
      <c r="A42">
        <v>38</v>
      </c>
      <c r="F42" s="3" t="str">
        <f>_xlfn.CONCAT("(",FIXED(ABS(VLOOKUP($A42,'Reg1'!$A:$H,F$1,0)),4),")")</f>
        <v>(0.0050)</v>
      </c>
      <c r="G42" s="3" t="str">
        <f>_xlfn.CONCAT("(",FIXED(ABS(VLOOKUP($A42,'Reg1'!$A:$H,G$1,0)),4),")")</f>
        <v>(0.0040)</v>
      </c>
      <c r="H42" s="3" t="str">
        <f>_xlfn.CONCAT("(",FIXED(ABS(VLOOKUP($A42,'Reg1'!$A:$H,H$1,0)),4),")")</f>
        <v>(0.0040)</v>
      </c>
      <c r="I42" s="3" t="str">
        <f>_xlfn.CONCAT("(",FIXED(ABS(VLOOKUP($A42,'Reg1'!$A:$H,I$1,0)),4),")")</f>
        <v>(0.0040)</v>
      </c>
      <c r="J42" s="3" t="str">
        <f>_xlfn.CONCAT("(",FIXED(VLOOKUP($A41,Reg1_Robust!A:AG,4,0),4),")")</f>
        <v>(0.0109)</v>
      </c>
    </row>
    <row r="43" spans="1:10" x14ac:dyDescent="0.25">
      <c r="A43">
        <v>39</v>
      </c>
      <c r="B43" t="s">
        <v>226</v>
      </c>
      <c r="C43" t="s">
        <v>358</v>
      </c>
      <c r="F43" s="3" t="str">
        <f>VLOOKUP($A43,'Reg1'!$A:$H,F$1,0)</f>
        <v>0.069***</v>
      </c>
      <c r="G43" s="3" t="str">
        <f>VLOOKUP($A43,'Reg1'!$A:$H,G$1,0)</f>
        <v>0.072***</v>
      </c>
      <c r="H43" s="3" t="str">
        <f>VLOOKUP($A43,'Reg1'!$A:$H,H$1,0)</f>
        <v>0.059***</v>
      </c>
      <c r="I43" s="3" t="str">
        <f>VLOOKUP($A43,'Reg1'!$A:$H,I$1,0)</f>
        <v>0.055***</v>
      </c>
      <c r="J43" s="3" t="str">
        <f>_xlfn.CONCAT(FIXED(VLOOKUP($A43,Reg1_Robust!A:AG,3,0),3),VLOOKUP($A43,Reg1_Robust!A:AG,28,0))</f>
        <v>0.055***</v>
      </c>
    </row>
    <row r="44" spans="1:10" x14ac:dyDescent="0.25">
      <c r="A44">
        <v>40</v>
      </c>
      <c r="F44" s="3" t="str">
        <f>_xlfn.CONCAT("(",FIXED(ABS(VLOOKUP($A44,'Reg1'!$A:$H,F$1,0)),4),")")</f>
        <v>(0.0040)</v>
      </c>
      <c r="G44" s="3" t="str">
        <f>_xlfn.CONCAT("(",FIXED(ABS(VLOOKUP($A44,'Reg1'!$A:$H,G$1,0)),4),")")</f>
        <v>(0.0040)</v>
      </c>
      <c r="H44" s="3" t="str">
        <f>_xlfn.CONCAT("(",FIXED(ABS(VLOOKUP($A44,'Reg1'!$A:$H,H$1,0)),4),")")</f>
        <v>(0.0030)</v>
      </c>
      <c r="I44" s="3" t="str">
        <f>_xlfn.CONCAT("(",FIXED(ABS(VLOOKUP($A44,'Reg1'!$A:$H,I$1,0)),4),")")</f>
        <v>(0.0030)</v>
      </c>
      <c r="J44" s="3" t="str">
        <f>_xlfn.CONCAT("(",FIXED(VLOOKUP($A43,Reg1_Robust!A:AG,4,0),4),")")</f>
        <v>(0.0047)</v>
      </c>
    </row>
    <row r="45" spans="1:10" x14ac:dyDescent="0.25">
      <c r="A45">
        <v>41</v>
      </c>
      <c r="B45" t="s">
        <v>230</v>
      </c>
      <c r="C45" t="s">
        <v>359</v>
      </c>
      <c r="F45" s="3" t="str">
        <f>VLOOKUP($A45,'Reg1'!$A:$H,F$1,0)</f>
        <v>-0.030***</v>
      </c>
      <c r="G45" s="3" t="str">
        <f>VLOOKUP($A45,'Reg1'!$A:$H,G$1,0)</f>
        <v>-0.058***</v>
      </c>
      <c r="H45" s="3" t="str">
        <f>VLOOKUP($A45,'Reg1'!$A:$H,H$1,0)</f>
        <v>-0.059***</v>
      </c>
      <c r="I45" s="3" t="str">
        <f>VLOOKUP($A45,'Reg1'!$A:$H,I$1,0)</f>
        <v>-0.058***</v>
      </c>
      <c r="J45" s="3" t="str">
        <f>_xlfn.CONCAT(FIXED(VLOOKUP($A45,Reg1_Robust!A:AG,3,0),3),VLOOKUP($A45,Reg1_Robust!A:AG,28,0))</f>
        <v>-0.058***</v>
      </c>
    </row>
    <row r="46" spans="1:10" x14ac:dyDescent="0.25">
      <c r="A46">
        <v>42</v>
      </c>
      <c r="F46" s="3" t="str">
        <f>_xlfn.CONCAT("(",FIXED(ABS(VLOOKUP($A46,'Reg1'!$A:$H,F$1,0)),4),")")</f>
        <v>(0.0080)</v>
      </c>
      <c r="G46" s="3" t="str">
        <f>_xlfn.CONCAT("(",FIXED(ABS(VLOOKUP($A46,'Reg1'!$A:$H,G$1,0)),4),")")</f>
        <v>(0.0070)</v>
      </c>
      <c r="H46" s="3" t="str">
        <f>_xlfn.CONCAT("(",FIXED(ABS(VLOOKUP($A46,'Reg1'!$A:$H,H$1,0)),4),")")</f>
        <v>(0.0060)</v>
      </c>
      <c r="I46" s="3" t="str">
        <f>_xlfn.CONCAT("(",FIXED(ABS(VLOOKUP($A46,'Reg1'!$A:$H,I$1,0)),4),")")</f>
        <v>(0.0060)</v>
      </c>
      <c r="J46" s="3" t="str">
        <f>_xlfn.CONCAT("(",FIXED(VLOOKUP($A45,Reg1_Robust!A:AG,4,0),4),")")</f>
        <v>(0.0094)</v>
      </c>
    </row>
    <row r="47" spans="1:10" x14ac:dyDescent="0.25">
      <c r="A47">
        <v>43</v>
      </c>
      <c r="B47" t="s">
        <v>22</v>
      </c>
      <c r="C47" t="s">
        <v>360</v>
      </c>
      <c r="G47" s="3" t="str">
        <f>VLOOKUP($A47,'Reg1'!$A:$H,G$1,0)</f>
        <v>0.041***</v>
      </c>
      <c r="H47" s="3" t="str">
        <f>VLOOKUP($A47,'Reg1'!$A:$H,H$1,0)</f>
        <v>0.019***</v>
      </c>
      <c r="I47" s="3" t="str">
        <f>VLOOKUP($A47,'Reg1'!$A:$H,I$1,0)</f>
        <v>0.020***</v>
      </c>
      <c r="J47" s="3" t="str">
        <f>_xlfn.CONCAT(FIXED(VLOOKUP($A47,Reg1_Robust!A:AG,3,0),3),VLOOKUP($A47,Reg1_Robust!A:AG,28,0))</f>
        <v>0.020</v>
      </c>
    </row>
    <row r="48" spans="1:10" x14ac:dyDescent="0.25">
      <c r="A48">
        <v>44</v>
      </c>
      <c r="G48" s="3" t="str">
        <f>_xlfn.CONCAT("(",FIXED(ABS(VLOOKUP($A48,'Reg1'!$A:$H,G$1,0)),4),")")</f>
        <v>(0.0080)</v>
      </c>
      <c r="H48" s="3" t="str">
        <f>_xlfn.CONCAT("(",FIXED(ABS(VLOOKUP($A48,'Reg1'!$A:$H,H$1,0)),4),")")</f>
        <v>(0.0070)</v>
      </c>
      <c r="I48" s="3" t="str">
        <f>_xlfn.CONCAT("(",FIXED(ABS(VLOOKUP($A48,'Reg1'!$A:$H,I$1,0)),4),")")</f>
        <v>(0.0060)</v>
      </c>
      <c r="J48" s="3" t="str">
        <f>_xlfn.CONCAT("(",FIXED(VLOOKUP($A47,Reg1_Robust!A:AG,4,0),4),")")</f>
        <v>(0.0117)</v>
      </c>
    </row>
    <row r="49" spans="1:10" x14ac:dyDescent="0.25">
      <c r="A49">
        <v>45</v>
      </c>
      <c r="B49" t="s">
        <v>23</v>
      </c>
      <c r="C49" t="s">
        <v>23</v>
      </c>
      <c r="G49" s="3" t="str">
        <f>VLOOKUP($A49,'Reg1'!$A:$H,G$1,0)</f>
        <v>-0.029*</v>
      </c>
      <c r="H49" s="3" t="str">
        <f>VLOOKUP($A49,'Reg1'!$A:$H,H$1,0)</f>
        <v>-0.036**</v>
      </c>
      <c r="I49" s="3" t="str">
        <f>VLOOKUP($A49,'Reg1'!$A:$H,I$1,0)</f>
        <v>-0.038***</v>
      </c>
      <c r="J49" s="3" t="str">
        <f>_xlfn.CONCAT(FIXED(VLOOKUP($A49,Reg1_Robust!A:AG,3,0),3),VLOOKUP($A49,Reg1_Robust!A:AG,28,0))</f>
        <v>-0.038</v>
      </c>
    </row>
    <row r="50" spans="1:10" x14ac:dyDescent="0.25">
      <c r="A50">
        <v>46</v>
      </c>
      <c r="G50" s="3" t="str">
        <f>_xlfn.CONCAT("(",FIXED(ABS(VLOOKUP($A50,'Reg1'!$A:$H,G$1,0)),4),")")</f>
        <v>(0.0160)</v>
      </c>
      <c r="H50" s="3" t="str">
        <f>_xlfn.CONCAT("(",FIXED(ABS(VLOOKUP($A50,'Reg1'!$A:$H,H$1,0)),4),")")</f>
        <v>(0.0140)</v>
      </c>
      <c r="I50" s="3" t="str">
        <f>_xlfn.CONCAT("(",FIXED(ABS(VLOOKUP($A50,'Reg1'!$A:$H,I$1,0)),4),")")</f>
        <v>(0.0130)</v>
      </c>
      <c r="J50" s="3" t="str">
        <f>_xlfn.CONCAT("(",FIXED(VLOOKUP($A49,Reg1_Robust!A:AG,4,0),4),")")</f>
        <v>(0.0261)</v>
      </c>
    </row>
    <row r="51" spans="1:10" x14ac:dyDescent="0.25">
      <c r="A51">
        <v>47</v>
      </c>
      <c r="B51" t="s">
        <v>24</v>
      </c>
      <c r="C51" t="s">
        <v>361</v>
      </c>
      <c r="G51" s="3" t="str">
        <f>VLOOKUP($A51,'Reg1'!$A:$H,G$1,0)</f>
        <v>-0.069***</v>
      </c>
      <c r="H51" s="3" t="str">
        <f>VLOOKUP($A51,'Reg1'!$A:$H,H$1,0)</f>
        <v>-0.097***</v>
      </c>
      <c r="I51" s="3" t="str">
        <f>VLOOKUP($A51,'Reg1'!$A:$H,I$1,0)</f>
        <v>-0.101***</v>
      </c>
      <c r="J51" s="3" t="str">
        <f>_xlfn.CONCAT(FIXED(VLOOKUP($A51,Reg1_Robust!A:AG,3,0),3),VLOOKUP($A51,Reg1_Robust!A:AG,28,0))</f>
        <v>-0.101***</v>
      </c>
    </row>
    <row r="52" spans="1:10" x14ac:dyDescent="0.25">
      <c r="A52">
        <v>48</v>
      </c>
      <c r="G52" s="3" t="str">
        <f>_xlfn.CONCAT("(",FIXED(ABS(VLOOKUP($A52,'Reg1'!$A:$H,G$1,0)),4),")")</f>
        <v>(0.0070)</v>
      </c>
      <c r="H52" s="3" t="str">
        <f>_xlfn.CONCAT("(",FIXED(ABS(VLOOKUP($A52,'Reg1'!$A:$H,H$1,0)),4),")")</f>
        <v>(0.0060)</v>
      </c>
      <c r="I52" s="3" t="str">
        <f>_xlfn.CONCAT("(",FIXED(ABS(VLOOKUP($A52,'Reg1'!$A:$H,I$1,0)),4),")")</f>
        <v>(0.0050)</v>
      </c>
      <c r="J52" s="3" t="str">
        <f>_xlfn.CONCAT("(",FIXED(VLOOKUP($A51,Reg1_Robust!A:AG,4,0),4),")")</f>
        <v>(0.0293)</v>
      </c>
    </row>
    <row r="53" spans="1:10" x14ac:dyDescent="0.25">
      <c r="A53">
        <v>49</v>
      </c>
      <c r="B53" t="s">
        <v>25</v>
      </c>
      <c r="C53" t="s">
        <v>362</v>
      </c>
      <c r="G53" s="3">
        <f>VLOOKUP($A53,'Reg1'!$A:$H,G$1,0)</f>
        <v>8.9999999999999993E-3</v>
      </c>
      <c r="H53" s="3" t="str">
        <f>VLOOKUP($A53,'Reg1'!$A:$H,H$1,0)</f>
        <v>-0.018***</v>
      </c>
      <c r="I53" s="3" t="str">
        <f>VLOOKUP($A53,'Reg1'!$A:$H,I$1,0)</f>
        <v>-0.045***</v>
      </c>
      <c r="J53" s="3" t="str">
        <f>_xlfn.CONCAT(FIXED(VLOOKUP($A53,Reg1_Robust!A:AG,3,0),3),VLOOKUP($A53,Reg1_Robust!A:AG,28,0))</f>
        <v>-0.045</v>
      </c>
    </row>
    <row r="54" spans="1:10" x14ac:dyDescent="0.25">
      <c r="A54">
        <v>50</v>
      </c>
      <c r="G54" s="3" t="str">
        <f>_xlfn.CONCAT("(",FIXED(ABS(VLOOKUP($A54,'Reg1'!$A:$H,G$1,0)),4),")")</f>
        <v>(0.0080)</v>
      </c>
      <c r="H54" s="3" t="str">
        <f>_xlfn.CONCAT("(",FIXED(ABS(VLOOKUP($A54,'Reg1'!$A:$H,H$1,0)),4),")")</f>
        <v>(0.0070)</v>
      </c>
      <c r="I54" s="3" t="str">
        <f>_xlfn.CONCAT("(",FIXED(ABS(VLOOKUP($A54,'Reg1'!$A:$H,I$1,0)),4),")")</f>
        <v>(0.0060)</v>
      </c>
      <c r="J54" s="3" t="str">
        <f>_xlfn.CONCAT("(",FIXED(VLOOKUP($A53,Reg1_Robust!A:AG,4,0),4),")")</f>
        <v>(0.0597)</v>
      </c>
    </row>
    <row r="55" spans="1:10" x14ac:dyDescent="0.25">
      <c r="A55">
        <v>51</v>
      </c>
      <c r="B55" t="s">
        <v>26</v>
      </c>
      <c r="C55" t="s">
        <v>26</v>
      </c>
      <c r="G55" s="3" t="str">
        <f>VLOOKUP($A55,'Reg1'!$A:$H,G$1,0)</f>
        <v>-0.013**</v>
      </c>
      <c r="H55" s="3" t="str">
        <f>VLOOKUP($A55,'Reg1'!$A:$H,H$1,0)</f>
        <v>0.012**</v>
      </c>
      <c r="I55" s="3" t="str">
        <f>VLOOKUP($A55,'Reg1'!$A:$H,I$1,0)</f>
        <v>-0.009*</v>
      </c>
      <c r="J55" s="3" t="str">
        <f>_xlfn.CONCAT(FIXED(VLOOKUP($A55,Reg1_Robust!A:AG,3,0),3),VLOOKUP($A55,Reg1_Robust!A:AG,28,0))</f>
        <v>-0.009</v>
      </c>
    </row>
    <row r="56" spans="1:10" x14ac:dyDescent="0.25">
      <c r="A56">
        <v>52</v>
      </c>
      <c r="G56" s="3" t="str">
        <f>_xlfn.CONCAT("(",FIXED(ABS(VLOOKUP($A56,'Reg1'!$A:$H,G$1,0)),4),")")</f>
        <v>(0.0060)</v>
      </c>
      <c r="H56" s="3" t="str">
        <f>_xlfn.CONCAT("(",FIXED(ABS(VLOOKUP($A56,'Reg1'!$A:$H,H$1,0)),4),")")</f>
        <v>(0.0050)</v>
      </c>
      <c r="I56" s="3" t="str">
        <f>_xlfn.CONCAT("(",FIXED(ABS(VLOOKUP($A56,'Reg1'!$A:$H,I$1,0)),4),")")</f>
        <v>(0.0050)</v>
      </c>
      <c r="J56" s="3" t="str">
        <f>_xlfn.CONCAT("(",FIXED(VLOOKUP($A55,Reg1_Robust!A:AG,4,0),4),")")</f>
        <v>(0.0265)</v>
      </c>
    </row>
    <row r="57" spans="1:10" x14ac:dyDescent="0.25">
      <c r="A57">
        <v>53</v>
      </c>
      <c r="B57" t="s">
        <v>27</v>
      </c>
      <c r="C57" t="s">
        <v>363</v>
      </c>
      <c r="G57" s="3" t="str">
        <f>VLOOKUP($A57,'Reg1'!$A:$H,G$1,0)</f>
        <v>-0.079***</v>
      </c>
      <c r="H57" s="3" t="str">
        <f>VLOOKUP($A57,'Reg1'!$A:$H,H$1,0)</f>
        <v>-0.088***</v>
      </c>
      <c r="I57" s="3" t="str">
        <f>VLOOKUP($A57,'Reg1'!$A:$H,I$1,0)</f>
        <v>-0.121***</v>
      </c>
      <c r="J57" s="3" t="str">
        <f>_xlfn.CONCAT(FIXED(VLOOKUP($A57,Reg1_Robust!A:AG,3,0),3),VLOOKUP($A57,Reg1_Robust!A:AG,28,0))</f>
        <v>-0.121</v>
      </c>
    </row>
    <row r="58" spans="1:10" x14ac:dyDescent="0.25">
      <c r="A58">
        <v>54</v>
      </c>
      <c r="G58" s="3" t="str">
        <f>_xlfn.CONCAT("(",FIXED(ABS(VLOOKUP($A58,'Reg1'!$A:$H,G$1,0)),4),")")</f>
        <v>(0.0100)</v>
      </c>
      <c r="H58" s="3" t="str">
        <f>_xlfn.CONCAT("(",FIXED(ABS(VLOOKUP($A58,'Reg1'!$A:$H,H$1,0)),4),")")</f>
        <v>(0.0090)</v>
      </c>
      <c r="I58" s="3" t="str">
        <f>_xlfn.CONCAT("(",FIXED(ABS(VLOOKUP($A58,'Reg1'!$A:$H,I$1,0)),4),")")</f>
        <v>(0.0080)</v>
      </c>
      <c r="J58" s="3" t="str">
        <f>_xlfn.CONCAT("(",FIXED(VLOOKUP($A57,Reg1_Robust!A:AG,4,0),4),")")</f>
        <v>(0.1822)</v>
      </c>
    </row>
    <row r="59" spans="1:10" x14ac:dyDescent="0.25">
      <c r="A59">
        <v>55</v>
      </c>
      <c r="B59" t="s">
        <v>29</v>
      </c>
      <c r="C59" t="s">
        <v>29</v>
      </c>
      <c r="G59" s="3">
        <f>VLOOKUP($A59,'Reg1'!$A:$H,G$1,0)</f>
        <v>-1.7000000000000001E-2</v>
      </c>
      <c r="H59" s="3">
        <f>VLOOKUP($A59,'Reg1'!$A:$H,H$1,0)</f>
        <v>1.6E-2</v>
      </c>
      <c r="I59" s="3" t="str">
        <f>VLOOKUP($A59,'Reg1'!$A:$H,I$1,0)</f>
        <v>0.028**</v>
      </c>
      <c r="J59" s="3" t="str">
        <f>_xlfn.CONCAT(FIXED(VLOOKUP($A59,Reg1_Robust!A:AG,3,0),3),VLOOKUP($A59,Reg1_Robust!A:AG,28,0))</f>
        <v>0.028</v>
      </c>
    </row>
    <row r="60" spans="1:10" x14ac:dyDescent="0.25">
      <c r="A60">
        <v>56</v>
      </c>
      <c r="G60" s="3" t="str">
        <f>_xlfn.CONCAT("(",FIXED(ABS(VLOOKUP($A60,'Reg1'!$A:$H,G$1,0)),4),")")</f>
        <v>(0.0160)</v>
      </c>
      <c r="H60" s="3" t="str">
        <f>_xlfn.CONCAT("(",FIXED(ABS(VLOOKUP($A60,'Reg1'!$A:$H,H$1,0)),4),")")</f>
        <v>(0.0140)</v>
      </c>
      <c r="I60" s="3" t="str">
        <f>_xlfn.CONCAT("(",FIXED(ABS(VLOOKUP($A60,'Reg1'!$A:$H,I$1,0)),4),")")</f>
        <v>(0.0130)</v>
      </c>
      <c r="J60" s="3" t="str">
        <f>_xlfn.CONCAT("(",FIXED(VLOOKUP($A59,Reg1_Robust!A:AG,4,0),4),")")</f>
        <v>(0.0302)</v>
      </c>
    </row>
    <row r="61" spans="1:10" x14ac:dyDescent="0.25">
      <c r="A61">
        <v>57</v>
      </c>
      <c r="B61" t="s">
        <v>31</v>
      </c>
      <c r="C61" t="s">
        <v>364</v>
      </c>
      <c r="G61" s="3" t="str">
        <f>VLOOKUP($A61,'Reg1'!$A:$H,G$1,0)</f>
        <v>-0.092***</v>
      </c>
      <c r="H61" s="3" t="str">
        <f>VLOOKUP($A61,'Reg1'!$A:$H,H$1,0)</f>
        <v>-0.053***</v>
      </c>
      <c r="I61" s="3" t="str">
        <f>VLOOKUP($A61,'Reg1'!$A:$H,I$1,0)</f>
        <v>-0.048***</v>
      </c>
      <c r="J61" s="3" t="str">
        <f>_xlfn.CONCAT(FIXED(VLOOKUP($A61,Reg1_Robust!A:AG,3,0),3),VLOOKUP($A61,Reg1_Robust!A:AG,28,0))</f>
        <v>-0.048*</v>
      </c>
    </row>
    <row r="62" spans="1:10" x14ac:dyDescent="0.25">
      <c r="A62">
        <v>58</v>
      </c>
      <c r="G62" s="3" t="str">
        <f>_xlfn.CONCAT("(",FIXED(ABS(VLOOKUP($A62,'Reg1'!$A:$H,G$1,0)),4),")")</f>
        <v>(0.0070)</v>
      </c>
      <c r="H62" s="3" t="str">
        <f>_xlfn.CONCAT("(",FIXED(ABS(VLOOKUP($A62,'Reg1'!$A:$H,H$1,0)),4),")")</f>
        <v>(0.0060)</v>
      </c>
      <c r="I62" s="3" t="str">
        <f>_xlfn.CONCAT("(",FIXED(ABS(VLOOKUP($A62,'Reg1'!$A:$H,I$1,0)),4),")")</f>
        <v>(0.0060)</v>
      </c>
      <c r="J62" s="3" t="str">
        <f>_xlfn.CONCAT("(",FIXED(VLOOKUP($A61,Reg1_Robust!A:AG,4,0),4),")")</f>
        <v>(0.0240)</v>
      </c>
    </row>
    <row r="63" spans="1:10" x14ac:dyDescent="0.25">
      <c r="A63">
        <v>59</v>
      </c>
      <c r="B63" t="s">
        <v>28</v>
      </c>
      <c r="C63" t="s">
        <v>415</v>
      </c>
      <c r="G63" s="3" t="str">
        <f>VLOOKUP($A63,'Reg1'!$A:$H,G$1,0)</f>
        <v>0.177***</v>
      </c>
      <c r="H63" s="3" t="str">
        <f>VLOOKUP($A63,'Reg1'!$A:$H,H$1,0)</f>
        <v>0.208***</v>
      </c>
      <c r="I63" s="3" t="str">
        <f>VLOOKUP($A63,'Reg1'!$A:$H,I$1,0)</f>
        <v>0.193***</v>
      </c>
      <c r="J63" s="3" t="str">
        <f>_xlfn.CONCAT(FIXED(VLOOKUP($A63,Reg1_Robust!A:AG,3,0),3),VLOOKUP($A63,Reg1_Robust!A:AG,28,0))</f>
        <v>0.193***</v>
      </c>
    </row>
    <row r="64" spans="1:10" x14ac:dyDescent="0.25">
      <c r="A64">
        <v>60</v>
      </c>
      <c r="G64" s="3" t="str">
        <f>_xlfn.CONCAT("(",FIXED(ABS(VLOOKUP($A64,'Reg1'!$A:$H,G$1,0)),4),")")</f>
        <v>(0.0060)</v>
      </c>
      <c r="H64" s="3" t="str">
        <f>_xlfn.CONCAT("(",FIXED(ABS(VLOOKUP($A64,'Reg1'!$A:$H,H$1,0)),4),")")</f>
        <v>(0.0060)</v>
      </c>
      <c r="I64" s="3" t="str">
        <f>_xlfn.CONCAT("(",FIXED(ABS(VLOOKUP($A64,'Reg1'!$A:$H,I$1,0)),4),")")</f>
        <v>(0.0050)</v>
      </c>
      <c r="J64" s="3" t="str">
        <f>_xlfn.CONCAT("(",FIXED(VLOOKUP($A63,Reg1_Robust!A:AG,4,0),4),")")</f>
        <v>(0.0404)</v>
      </c>
    </row>
    <row r="65" spans="1:10" x14ac:dyDescent="0.25">
      <c r="A65">
        <v>61</v>
      </c>
      <c r="B65" t="s">
        <v>235</v>
      </c>
      <c r="C65" t="s">
        <v>365</v>
      </c>
      <c r="G65" s="3">
        <f>VLOOKUP($A65,'Reg1'!$A:$H,G$1,0)</f>
        <v>-1.0999999999999999E-2</v>
      </c>
      <c r="H65" s="3" t="str">
        <f>VLOOKUP($A65,'Reg1'!$A:$H,H$1,0)</f>
        <v>-0.035**</v>
      </c>
      <c r="I65" s="3">
        <f>VLOOKUP($A65,'Reg1'!$A:$H,I$1,0)</f>
        <v>-1.0999999999999999E-2</v>
      </c>
      <c r="J65" s="3" t="str">
        <f>_xlfn.CONCAT(FIXED(VLOOKUP($A65,Reg1_Robust!A:AG,3,0),3),VLOOKUP($A65,Reg1_Robust!A:AG,28,0))</f>
        <v>-0.011</v>
      </c>
    </row>
    <row r="66" spans="1:10" x14ac:dyDescent="0.25">
      <c r="A66">
        <v>62</v>
      </c>
      <c r="G66" s="3" t="str">
        <f>_xlfn.CONCAT("(",FIXED(ABS(VLOOKUP($A66,'Reg1'!$A:$H,G$1,0)),4),")")</f>
        <v>(0.0150)</v>
      </c>
      <c r="H66" s="3" t="str">
        <f>_xlfn.CONCAT("(",FIXED(ABS(VLOOKUP($A66,'Reg1'!$A:$H,H$1,0)),4),")")</f>
        <v>(0.0140)</v>
      </c>
      <c r="I66" s="3" t="str">
        <f>_xlfn.CONCAT("(",FIXED(ABS(VLOOKUP($A66,'Reg1'!$A:$H,I$1,0)),4),")")</f>
        <v>(0.0130)</v>
      </c>
      <c r="J66" s="3" t="str">
        <f>_xlfn.CONCAT("(",FIXED(VLOOKUP($A65,Reg1_Robust!A:AG,4,0),4),")")</f>
        <v>(0.1053)</v>
      </c>
    </row>
    <row r="67" spans="1:10" x14ac:dyDescent="0.25">
      <c r="A67">
        <v>65</v>
      </c>
      <c r="B67" t="s">
        <v>236</v>
      </c>
      <c r="C67" t="s">
        <v>366</v>
      </c>
      <c r="G67" s="3" t="str">
        <f>VLOOKUP($A67,'Reg1'!$A:$H,G$1,0)</f>
        <v>-0.062***</v>
      </c>
      <c r="H67" s="3" t="str">
        <f>VLOOKUP($A67,'Reg1'!$A:$H,H$1,0)</f>
        <v>-0.039***</v>
      </c>
      <c r="I67" s="3" t="str">
        <f>VLOOKUP($A67,'Reg1'!$A:$H,I$1,0)</f>
        <v>-0.068***</v>
      </c>
      <c r="J67" s="3" t="str">
        <f>_xlfn.CONCAT(FIXED(VLOOKUP($A67,Reg1_Robust!A:AG,3,0),3),VLOOKUP($A67,Reg1_Robust!A:AG,28,0))</f>
        <v>-0.068*</v>
      </c>
    </row>
    <row r="68" spans="1:10" x14ac:dyDescent="0.25">
      <c r="A68">
        <v>66</v>
      </c>
      <c r="G68" s="3" t="str">
        <f>_xlfn.CONCAT("(",FIXED(ABS(VLOOKUP($A68,'Reg1'!$A:$H,G$1,0)),4),")")</f>
        <v>(0.0050)</v>
      </c>
      <c r="H68" s="3" t="str">
        <f>_xlfn.CONCAT("(",FIXED(ABS(VLOOKUP($A68,'Reg1'!$A:$H,H$1,0)),4),")")</f>
        <v>(0.0040)</v>
      </c>
      <c r="I68" s="3" t="str">
        <f>_xlfn.CONCAT("(",FIXED(ABS(VLOOKUP($A68,'Reg1'!$A:$H,I$1,0)),4),")")</f>
        <v>(0.0040)</v>
      </c>
      <c r="J68" s="3" t="str">
        <f>_xlfn.CONCAT("(",FIXED(VLOOKUP($A67,Reg1_Robust!A:AG,4,0),4),")")</f>
        <v>(0.0320)</v>
      </c>
    </row>
    <row r="69" spans="1:10" x14ac:dyDescent="0.25">
      <c r="A69">
        <v>63</v>
      </c>
      <c r="B69" t="s">
        <v>240</v>
      </c>
      <c r="C69" t="s">
        <v>367</v>
      </c>
      <c r="G69" s="3">
        <f>VLOOKUP($A69,'Reg1'!$A:$H,G$1,0)</f>
        <v>2E-3</v>
      </c>
      <c r="H69" s="3" t="str">
        <f>VLOOKUP($A69,'Reg1'!$A:$H,H$1,0)</f>
        <v>-0.045***</v>
      </c>
      <c r="I69" s="3">
        <f>VLOOKUP($A69,'Reg1'!$A:$H,I$1,0)</f>
        <v>-0.01</v>
      </c>
      <c r="J69" s="3" t="str">
        <f>_xlfn.CONCAT(FIXED(VLOOKUP($A69,Reg1_Robust!A:AG,3,0),3),VLOOKUP($A69,Reg1_Robust!A:AG,28,0))</f>
        <v>-0.010</v>
      </c>
    </row>
    <row r="70" spans="1:10" x14ac:dyDescent="0.25">
      <c r="A70">
        <v>64</v>
      </c>
      <c r="G70" s="3" t="str">
        <f>_xlfn.CONCAT("(",FIXED(ABS(VLOOKUP($A70,'Reg1'!$A:$H,G$1,0)),4),")")</f>
        <v>(0.0100)</v>
      </c>
      <c r="H70" s="3" t="str">
        <f>_xlfn.CONCAT("(",FIXED(ABS(VLOOKUP($A70,'Reg1'!$A:$H,H$1,0)),4),")")</f>
        <v>(0.0090)</v>
      </c>
      <c r="I70" s="3" t="str">
        <f>_xlfn.CONCAT("(",FIXED(ABS(VLOOKUP($A70,'Reg1'!$A:$H,I$1,0)),4),")")</f>
        <v>(0.0090)</v>
      </c>
      <c r="J70" s="3" t="str">
        <f>_xlfn.CONCAT("(",FIXED(VLOOKUP($A69,Reg1_Robust!A:AG,4,0),4),")")</f>
        <v>(0.0591)</v>
      </c>
    </row>
    <row r="71" spans="1:10" x14ac:dyDescent="0.25">
      <c r="A71">
        <v>67</v>
      </c>
      <c r="B71" t="s">
        <v>238</v>
      </c>
      <c r="C71" t="s">
        <v>368</v>
      </c>
      <c r="G71" s="3" t="str">
        <f>VLOOKUP($A71,'Reg1'!$A:$H,G$1,0)</f>
        <v>-0.071***</v>
      </c>
      <c r="H71" s="3" t="str">
        <f>VLOOKUP($A71,'Reg1'!$A:$H,H$1,0)</f>
        <v>-0.093***</v>
      </c>
      <c r="I71" s="3" t="str">
        <f>VLOOKUP($A71,'Reg1'!$A:$H,I$1,0)</f>
        <v>-0.075***</v>
      </c>
      <c r="J71" s="3" t="str">
        <f>_xlfn.CONCAT(FIXED(VLOOKUP($A71,Reg1_Robust!A:AG,3,0),3),VLOOKUP($A71,Reg1_Robust!A:AG,28,0))</f>
        <v>-0.075</v>
      </c>
    </row>
    <row r="72" spans="1:10" x14ac:dyDescent="0.25">
      <c r="A72">
        <v>68</v>
      </c>
      <c r="G72" s="3" t="str">
        <f>_xlfn.CONCAT("(",FIXED(ABS(VLOOKUP($A72,'Reg1'!$A:$H,G$1,0)),4),")")</f>
        <v>(0.0060)</v>
      </c>
      <c r="H72" s="3" t="str">
        <f>_xlfn.CONCAT("(",FIXED(ABS(VLOOKUP($A72,'Reg1'!$A:$H,H$1,0)),4),")")</f>
        <v>(0.0050)</v>
      </c>
      <c r="I72" s="3" t="str">
        <f>_xlfn.CONCAT("(",FIXED(ABS(VLOOKUP($A72,'Reg1'!$A:$H,I$1,0)),4),")")</f>
        <v>(0.0050)</v>
      </c>
      <c r="J72" s="3" t="str">
        <f>_xlfn.CONCAT("(",FIXED(VLOOKUP($A71,Reg1_Robust!A:AG,4,0),4),")")</f>
        <v>(0.0539)</v>
      </c>
    </row>
    <row r="73" spans="1:10" x14ac:dyDescent="0.25">
      <c r="A73">
        <v>69</v>
      </c>
      <c r="B73" t="s">
        <v>241</v>
      </c>
      <c r="C73" t="s">
        <v>369</v>
      </c>
      <c r="G73" s="3" t="str">
        <f>VLOOKUP($A73,'Reg1'!$A:$H,G$1,0)</f>
        <v>0.102***</v>
      </c>
      <c r="H73" s="3" t="str">
        <f>VLOOKUP($A73,'Reg1'!$A:$H,H$1,0)</f>
        <v>0.015*</v>
      </c>
      <c r="I73" s="3" t="str">
        <f>VLOOKUP($A73,'Reg1'!$A:$H,I$1,0)</f>
        <v>0.046***</v>
      </c>
      <c r="J73" s="3" t="str">
        <f>_xlfn.CONCAT(FIXED(VLOOKUP($A73,Reg1_Robust!A:AG,3,0),3),VLOOKUP($A73,Reg1_Robust!A:AG,28,0))</f>
        <v>0.046</v>
      </c>
    </row>
    <row r="74" spans="1:10" x14ac:dyDescent="0.25">
      <c r="A74">
        <v>70</v>
      </c>
      <c r="G74" s="3" t="str">
        <f>_xlfn.CONCAT("(",FIXED(ABS(VLOOKUP($A74,'Reg1'!$A:$H,G$1,0)),4),")")</f>
        <v>(0.0100)</v>
      </c>
      <c r="H74" s="3" t="str">
        <f>_xlfn.CONCAT("(",FIXED(ABS(VLOOKUP($A74,'Reg1'!$A:$H,H$1,0)),4),")")</f>
        <v>(0.0090)</v>
      </c>
      <c r="I74" s="3" t="str">
        <f>_xlfn.CONCAT("(",FIXED(ABS(VLOOKUP($A74,'Reg1'!$A:$H,I$1,0)),4),")")</f>
        <v>(0.0080)</v>
      </c>
      <c r="J74" s="3" t="str">
        <f>_xlfn.CONCAT("(",FIXED(VLOOKUP($A73,Reg1_Robust!A:AG,4,0),4),")")</f>
        <v>(0.0583)</v>
      </c>
    </row>
    <row r="75" spans="1:10" x14ac:dyDescent="0.25">
      <c r="A75">
        <v>71</v>
      </c>
      <c r="B75" t="s">
        <v>243</v>
      </c>
      <c r="C75" t="s">
        <v>370</v>
      </c>
      <c r="G75" s="3" t="str">
        <f>VLOOKUP($A75,'Reg1'!$A:$H,G$1,0)</f>
        <v>0.163***</v>
      </c>
      <c r="H75" s="3" t="str">
        <f>VLOOKUP($A75,'Reg1'!$A:$H,H$1,0)</f>
        <v>0.073***</v>
      </c>
      <c r="I75" s="3">
        <f>VLOOKUP($A75,'Reg1'!$A:$H,I$1,0)</f>
        <v>-7.0000000000000001E-3</v>
      </c>
      <c r="J75" s="3" t="str">
        <f>_xlfn.CONCAT(FIXED(VLOOKUP($A75,Reg1_Robust!A:AG,3,0),3),VLOOKUP($A75,Reg1_Robust!A:AG,28,0))</f>
        <v>-0.007</v>
      </c>
    </row>
    <row r="76" spans="1:10" x14ac:dyDescent="0.25">
      <c r="A76">
        <v>72</v>
      </c>
      <c r="G76" s="3" t="str">
        <f>_xlfn.CONCAT("(",FIXED(ABS(VLOOKUP($A76,'Reg1'!$A:$H,G$1,0)),4),")")</f>
        <v>(0.0070)</v>
      </c>
      <c r="H76" s="3" t="str">
        <f>_xlfn.CONCAT("(",FIXED(ABS(VLOOKUP($A76,'Reg1'!$A:$H,H$1,0)),4),")")</f>
        <v>(0.0070)</v>
      </c>
      <c r="I76" s="3" t="str">
        <f>_xlfn.CONCAT("(",FIXED(ABS(VLOOKUP($A76,'Reg1'!$A:$H,I$1,0)),4),")")</f>
        <v>(0.0060)</v>
      </c>
      <c r="J76" s="3" t="str">
        <f>_xlfn.CONCAT("(",FIXED(VLOOKUP($A75,Reg1_Robust!A:AG,4,0),4),")")</f>
        <v>(0.1435)</v>
      </c>
    </row>
    <row r="77" spans="1:10" x14ac:dyDescent="0.25">
      <c r="A77">
        <v>73</v>
      </c>
      <c r="B77" t="s">
        <v>245</v>
      </c>
      <c r="C77" t="s">
        <v>371</v>
      </c>
      <c r="G77" s="3" t="str">
        <f>VLOOKUP($A77,'Reg1'!$A:$H,G$1,0)</f>
        <v>0.639***</v>
      </c>
      <c r="H77" s="3" t="str">
        <f>VLOOKUP($A77,'Reg1'!$A:$H,H$1,0)</f>
        <v>0.561***</v>
      </c>
      <c r="I77" s="3" t="str">
        <f>VLOOKUP($A77,'Reg1'!$A:$H,I$1,0)</f>
        <v>0.269***</v>
      </c>
      <c r="J77" s="3" t="str">
        <f>_xlfn.CONCAT(FIXED(VLOOKUP($A77,Reg1_Robust!A:AG,3,0),3),VLOOKUP($A77,Reg1_Robust!A:AG,28,0))</f>
        <v>0.269</v>
      </c>
    </row>
    <row r="78" spans="1:10" x14ac:dyDescent="0.25">
      <c r="A78">
        <v>74</v>
      </c>
      <c r="G78" s="3" t="str">
        <f>_xlfn.CONCAT("(",FIXED(ABS(VLOOKUP($A78,'Reg1'!$A:$H,G$1,0)),4),")")</f>
        <v>(0.0120)</v>
      </c>
      <c r="H78" s="3" t="str">
        <f>_xlfn.CONCAT("(",FIXED(ABS(VLOOKUP($A78,'Reg1'!$A:$H,H$1,0)),4),")")</f>
        <v>(0.0100)</v>
      </c>
      <c r="I78" s="3" t="str">
        <f>_xlfn.CONCAT("(",FIXED(ABS(VLOOKUP($A78,'Reg1'!$A:$H,I$1,0)),4),")")</f>
        <v>(0.0110)</v>
      </c>
      <c r="J78" s="3" t="str">
        <f>_xlfn.CONCAT("(",FIXED(VLOOKUP($A77,Reg1_Robust!A:AG,4,0),4),")")</f>
        <v>(0.1379)</v>
      </c>
    </row>
    <row r="79" spans="1:10" x14ac:dyDescent="0.25">
      <c r="A79">
        <v>75</v>
      </c>
      <c r="B79" t="s">
        <v>166</v>
      </c>
      <c r="C79" t="s">
        <v>372</v>
      </c>
      <c r="G79" s="3" t="str">
        <f>VLOOKUP($A79,'Reg1'!$A:$H,G$1,0)</f>
        <v>0.355***</v>
      </c>
      <c r="H79" s="3" t="str">
        <f>VLOOKUP($A79,'Reg1'!$A:$H,H$1,0)</f>
        <v>0.351***</v>
      </c>
      <c r="I79" s="3" t="str">
        <f>VLOOKUP($A79,'Reg1'!$A:$H,I$1,0)</f>
        <v>0.407***</v>
      </c>
      <c r="J79" s="3" t="str">
        <f>_xlfn.CONCAT(FIXED(VLOOKUP($A79,Reg1_Robust!A:AG,3,0),3),VLOOKUP($A79,Reg1_Robust!A:AG,28,0))</f>
        <v>0.407***</v>
      </c>
    </row>
    <row r="80" spans="1:10" x14ac:dyDescent="0.25">
      <c r="A80">
        <v>76</v>
      </c>
      <c r="G80" s="3" t="str">
        <f>_xlfn.CONCAT("(",FIXED(ABS(VLOOKUP($A80,'Reg1'!$A:$H,G$1,0)),4),")")</f>
        <v>(0.0080)</v>
      </c>
      <c r="H80" s="3" t="str">
        <f>_xlfn.CONCAT("(",FIXED(ABS(VLOOKUP($A80,'Reg1'!$A:$H,H$1,0)),4),")")</f>
        <v>(0.0070)</v>
      </c>
      <c r="I80" s="3" t="str">
        <f>_xlfn.CONCAT("(",FIXED(ABS(VLOOKUP($A80,'Reg1'!$A:$H,I$1,0)),4),")")</f>
        <v>(0.0070)</v>
      </c>
      <c r="J80" s="3" t="str">
        <f>_xlfn.CONCAT("(",FIXED(VLOOKUP($A79,Reg1_Robust!A:AG,4,0),4),")")</f>
        <v>(0.0337)</v>
      </c>
    </row>
    <row r="81" spans="1:12" x14ac:dyDescent="0.25">
      <c r="A81">
        <v>77</v>
      </c>
      <c r="B81" t="s">
        <v>167</v>
      </c>
      <c r="C81" t="s">
        <v>373</v>
      </c>
      <c r="G81" s="3" t="str">
        <f>VLOOKUP($A81,'Reg1'!$A:$H,G$1,0)</f>
        <v>0.597***</v>
      </c>
      <c r="H81" s="3" t="str">
        <f>VLOOKUP($A81,'Reg1'!$A:$H,H$1,0)</f>
        <v>0.574***</v>
      </c>
      <c r="I81" s="3" t="str">
        <f>VLOOKUP($A81,'Reg1'!$A:$H,I$1,0)</f>
        <v>0.622***</v>
      </c>
      <c r="J81" s="3" t="str">
        <f>_xlfn.CONCAT(FIXED(VLOOKUP($A81,Reg1_Robust!A:AG,3,0),3),VLOOKUP($A81,Reg1_Robust!A:AG,28,0))</f>
        <v>0.622***</v>
      </c>
    </row>
    <row r="82" spans="1:12" x14ac:dyDescent="0.25">
      <c r="A82">
        <v>78</v>
      </c>
      <c r="G82" s="3" t="str">
        <f>_xlfn.CONCAT("(",FIXED(ABS(VLOOKUP($A82,'Reg1'!$A:$H,G$1,0)),4),")")</f>
        <v>(0.0090)</v>
      </c>
      <c r="H82" s="3" t="str">
        <f>_xlfn.CONCAT("(",FIXED(ABS(VLOOKUP($A82,'Reg1'!$A:$H,H$1,0)),4),")")</f>
        <v>(0.0080)</v>
      </c>
      <c r="I82" s="3" t="str">
        <f>_xlfn.CONCAT("(",FIXED(ABS(VLOOKUP($A82,'Reg1'!$A:$H,I$1,0)),4),")")</f>
        <v>(0.0080)</v>
      </c>
      <c r="J82" s="3" t="str">
        <f>_xlfn.CONCAT("(",FIXED(VLOOKUP($A81,Reg1_Robust!A:AG,4,0),4),")")</f>
        <v>(0.0509)</v>
      </c>
    </row>
    <row r="83" spans="1:12" x14ac:dyDescent="0.25">
      <c r="A83">
        <v>79</v>
      </c>
      <c r="B83" t="s">
        <v>168</v>
      </c>
      <c r="C83" t="s">
        <v>374</v>
      </c>
      <c r="G83" s="3" t="str">
        <f>VLOOKUP($A83,'Reg1'!$A:$H,G$1,0)</f>
        <v>0.584***</v>
      </c>
      <c r="H83" s="3" t="str">
        <f>VLOOKUP($A83,'Reg1'!$A:$H,H$1,0)</f>
        <v>0.571***</v>
      </c>
      <c r="I83" s="3" t="str">
        <f>VLOOKUP($A83,'Reg1'!$A:$H,I$1,0)</f>
        <v>0.625***</v>
      </c>
      <c r="J83" s="3" t="str">
        <f>_xlfn.CONCAT(FIXED(VLOOKUP($A83,Reg1_Robust!A:AG,3,0),3),VLOOKUP($A83,Reg1_Robust!A:AG,28,0))</f>
        <v>0.625***</v>
      </c>
    </row>
    <row r="84" spans="1:12" x14ac:dyDescent="0.25">
      <c r="A84">
        <v>80</v>
      </c>
      <c r="G84" s="3" t="str">
        <f>_xlfn.CONCAT("(",FIXED(ABS(VLOOKUP($A84,'Reg1'!$A:$H,G$1,0)),4),")")</f>
        <v>(0.0110)</v>
      </c>
      <c r="H84" s="3" t="str">
        <f>_xlfn.CONCAT("(",FIXED(ABS(VLOOKUP($A84,'Reg1'!$A:$H,H$1,0)),4),")")</f>
        <v>(0.0090)</v>
      </c>
      <c r="I84" s="3" t="str">
        <f>_xlfn.CONCAT("(",FIXED(ABS(VLOOKUP($A84,'Reg1'!$A:$H,I$1,0)),4),")")</f>
        <v>(0.0090)</v>
      </c>
      <c r="J84" s="3" t="str">
        <f>_xlfn.CONCAT("(",FIXED(VLOOKUP($A83,Reg1_Robust!A:AG,4,0),4),")")</f>
        <v>(0.0612)</v>
      </c>
    </row>
    <row r="85" spans="1:12" x14ac:dyDescent="0.25">
      <c r="A85">
        <v>81</v>
      </c>
      <c r="B85" t="s">
        <v>169</v>
      </c>
      <c r="C85" t="s">
        <v>375</v>
      </c>
      <c r="G85" s="3" t="str">
        <f>VLOOKUP($A85,'Reg1'!$A:$H,G$1,0)</f>
        <v>0.599***</v>
      </c>
      <c r="H85" s="3" t="str">
        <f>VLOOKUP($A85,'Reg1'!$A:$H,H$1,0)</f>
        <v>0.590***</v>
      </c>
      <c r="I85" s="3" t="str">
        <f>VLOOKUP($A85,'Reg1'!$A:$H,I$1,0)</f>
        <v>0.638***</v>
      </c>
      <c r="J85" s="3" t="str">
        <f>_xlfn.CONCAT(FIXED(VLOOKUP($A85,Reg1_Robust!A:AG,3,0),3),VLOOKUP($A85,Reg1_Robust!A:AG,28,0))</f>
        <v>0.638***</v>
      </c>
    </row>
    <row r="86" spans="1:12" x14ac:dyDescent="0.25">
      <c r="A86">
        <v>82</v>
      </c>
      <c r="G86" s="3" t="str">
        <f>_xlfn.CONCAT("(",FIXED(ABS(VLOOKUP($A86,'Reg1'!$A:$H,G$1,0)),4),")")</f>
        <v>(0.0100)</v>
      </c>
      <c r="H86" s="3" t="str">
        <f>_xlfn.CONCAT("(",FIXED(ABS(VLOOKUP($A86,'Reg1'!$A:$H,H$1,0)),4),")")</f>
        <v>(0.0090)</v>
      </c>
      <c r="I86" s="3" t="str">
        <f>_xlfn.CONCAT("(",FIXED(ABS(VLOOKUP($A86,'Reg1'!$A:$H,I$1,0)),4),")")</f>
        <v>(0.0080)</v>
      </c>
      <c r="J86" s="3" t="str">
        <f>_xlfn.CONCAT("(",FIXED(VLOOKUP($A85,Reg1_Robust!A:AG,4,0),4),")")</f>
        <v>(0.0487)</v>
      </c>
    </row>
    <row r="87" spans="1:12" x14ac:dyDescent="0.25">
      <c r="A87">
        <v>83</v>
      </c>
      <c r="B87" t="s">
        <v>170</v>
      </c>
      <c r="C87" t="s">
        <v>376</v>
      </c>
      <c r="G87" s="3" t="str">
        <f>VLOOKUP($A87,'Reg1'!$A:$H,G$1,0)</f>
        <v>0.522***</v>
      </c>
      <c r="H87" s="3" t="str">
        <f>VLOOKUP($A87,'Reg1'!$A:$H,H$1,0)</f>
        <v>0.521***</v>
      </c>
      <c r="I87" s="3" t="str">
        <f>VLOOKUP($A87,'Reg1'!$A:$H,I$1,0)</f>
        <v>0.583***</v>
      </c>
      <c r="J87" s="3" t="str">
        <f>_xlfn.CONCAT(FIXED(VLOOKUP($A87,Reg1_Robust!A:AG,3,0),3),VLOOKUP($A87,Reg1_Robust!A:AG,28,0))</f>
        <v>0.583***</v>
      </c>
    </row>
    <row r="88" spans="1:12" x14ac:dyDescent="0.25">
      <c r="A88">
        <v>84</v>
      </c>
      <c r="G88" s="3" t="str">
        <f>_xlfn.CONCAT("(",FIXED(ABS(VLOOKUP($A88,'Reg1'!$A:$H,G$1,0)),4),")")</f>
        <v>(0.0120)</v>
      </c>
      <c r="H88" s="3" t="str">
        <f>_xlfn.CONCAT("(",FIXED(ABS(VLOOKUP($A88,'Reg1'!$A:$H,H$1,0)),4),")")</f>
        <v>(0.0110)</v>
      </c>
      <c r="I88" s="3" t="str">
        <f>_xlfn.CONCAT("(",FIXED(ABS(VLOOKUP($A88,'Reg1'!$A:$H,I$1,0)),4),")")</f>
        <v>(0.0100)</v>
      </c>
      <c r="J88" s="3" t="str">
        <f>_xlfn.CONCAT("(",FIXED(VLOOKUP($A87,Reg1_Robust!A:AG,4,0),4),")")</f>
        <v>(0.0478)</v>
      </c>
    </row>
    <row r="89" spans="1:12" x14ac:dyDescent="0.25">
      <c r="A89">
        <v>85</v>
      </c>
      <c r="B89" t="s">
        <v>50</v>
      </c>
      <c r="C89" t="s">
        <v>377</v>
      </c>
      <c r="G89" s="3" t="str">
        <f>VLOOKUP($A89,'Reg1'!$A:$H,G$1,0)</f>
        <v>-0.0001***</v>
      </c>
      <c r="H89" s="3" t="str">
        <f>VLOOKUP($A89,'Reg1'!$A:$H,H$1,0)</f>
        <v>0.0001***</v>
      </c>
      <c r="I89" s="3">
        <f>VLOOKUP($A89,'Reg1'!$A:$H,I$1,0)</f>
        <v>0</v>
      </c>
      <c r="J89" s="3" t="str">
        <f>_xlfn.CONCAT(FIXED(VLOOKUP($A89,Reg1_Robust!A:AG,3,0),3),VLOOKUP($A89,Reg1_Robust!A:AG,28,0))</f>
        <v>0.000</v>
      </c>
      <c r="L89">
        <f>EXP(-0.0001)-1</f>
        <v>-9.999500016666385E-5</v>
      </c>
    </row>
    <row r="90" spans="1:12" x14ac:dyDescent="0.25">
      <c r="A90">
        <v>86</v>
      </c>
      <c r="G90" s="3" t="str">
        <f>_xlfn.CONCAT("(",FIXED(ABS(VLOOKUP($A90,'Reg1'!$A:$H,G$1,0)),4),")")</f>
        <v>(0.0000)</v>
      </c>
      <c r="H90" s="3" t="str">
        <f>_xlfn.CONCAT("(",FIXED(ABS(VLOOKUP($A90,'Reg1'!$A:$H,H$1,0)),4),")")</f>
        <v>(0.0000)</v>
      </c>
      <c r="I90" s="3" t="str">
        <f>_xlfn.CONCAT("(",FIXED(ABS(VLOOKUP($A90,'Reg1'!$A:$H,I$1,0)),4),")")</f>
        <v>(0.0000)</v>
      </c>
      <c r="J90" s="3" t="str">
        <f>_xlfn.CONCAT("(",FIXED(VLOOKUP($A89,Reg1_Robust!A:AG,4,0),4),")")</f>
        <v>(0.0001)</v>
      </c>
      <c r="L90">
        <f>L89*1000</f>
        <v>-9.999500016666385E-2</v>
      </c>
    </row>
    <row r="91" spans="1:12" x14ac:dyDescent="0.25">
      <c r="A91">
        <v>87</v>
      </c>
      <c r="B91" t="s">
        <v>52</v>
      </c>
      <c r="C91" t="s">
        <v>378</v>
      </c>
      <c r="G91" s="3" t="str">
        <f>VLOOKUP($A91,'Reg1'!$A:$H,G$1,0)</f>
        <v>-0.009***</v>
      </c>
      <c r="H91" s="3">
        <f>VLOOKUP($A91,'Reg1'!$A:$H,H$1,0)</f>
        <v>-1E-4</v>
      </c>
      <c r="I91" s="3" t="str">
        <f>VLOOKUP($A91,'Reg1'!$A:$H,I$1,0)</f>
        <v>0.005**</v>
      </c>
      <c r="J91" s="3" t="str">
        <f>_xlfn.CONCAT(FIXED(VLOOKUP($A91,Reg1_Robust!A:AG,3,0),3),VLOOKUP($A91,Reg1_Robust!A:AG,28,0))</f>
        <v>0.005</v>
      </c>
    </row>
    <row r="92" spans="1:12" x14ac:dyDescent="0.25">
      <c r="A92">
        <v>88</v>
      </c>
      <c r="G92" s="3" t="str">
        <f>_xlfn.CONCAT("(",FIXED(ABS(VLOOKUP($A92,'Reg1'!$A:$H,G$1,0)),4),")")</f>
        <v>(0.0030)</v>
      </c>
      <c r="H92" s="3" t="str">
        <f>_xlfn.CONCAT("(",FIXED(ABS(VLOOKUP($A92,'Reg1'!$A:$H,H$1,0)),4),")")</f>
        <v>(0.0030)</v>
      </c>
      <c r="I92" s="3" t="str">
        <f>_xlfn.CONCAT("(",FIXED(ABS(VLOOKUP($A92,'Reg1'!$A:$H,I$1,0)),4),")")</f>
        <v>(0.0030)</v>
      </c>
      <c r="J92" s="3" t="str">
        <f>_xlfn.CONCAT("(",FIXED(VLOOKUP($A91,Reg1_Robust!A:AG,4,0),4),")")</f>
        <v>(0.0041)</v>
      </c>
    </row>
    <row r="93" spans="1:12" x14ac:dyDescent="0.25">
      <c r="A93">
        <v>89</v>
      </c>
      <c r="B93" t="s">
        <v>51</v>
      </c>
      <c r="C93" t="s">
        <v>379</v>
      </c>
      <c r="G93" s="3" t="str">
        <f>VLOOKUP($A93,'Reg1'!$A:$H,G$1,0)</f>
        <v>0.017***</v>
      </c>
      <c r="H93" s="3" t="str">
        <f>VLOOKUP($A93,'Reg1'!$A:$H,H$1,0)</f>
        <v>0.012***</v>
      </c>
      <c r="I93" s="3" t="str">
        <f>VLOOKUP($A93,'Reg1'!$A:$H,I$1,0)</f>
        <v>0.005***</v>
      </c>
      <c r="J93" s="3" t="str">
        <f>_xlfn.CONCAT(FIXED(VLOOKUP($A93,Reg1_Robust!A:AG,3,0),3),VLOOKUP($A93,Reg1_Robust!A:AG,28,0))</f>
        <v>0.005*</v>
      </c>
    </row>
    <row r="94" spans="1:12" x14ac:dyDescent="0.25">
      <c r="A94">
        <v>90</v>
      </c>
      <c r="G94" s="3" t="str">
        <f>_xlfn.CONCAT("(",FIXED(ABS(VLOOKUP($A94,'Reg1'!$A:$H,G$1,0)),4),")")</f>
        <v>(0.0010)</v>
      </c>
      <c r="H94" s="3" t="str">
        <f>_xlfn.CONCAT("(",FIXED(ABS(VLOOKUP($A94,'Reg1'!$A:$H,H$1,0)),4),")")</f>
        <v>(0.0010)</v>
      </c>
      <c r="I94" s="3" t="str">
        <f>_xlfn.CONCAT("(",FIXED(ABS(VLOOKUP($A94,'Reg1'!$A:$H,I$1,0)),4),")")</f>
        <v>(0.0010)</v>
      </c>
      <c r="J94" s="3" t="str">
        <f>_xlfn.CONCAT("(",FIXED(VLOOKUP($A93,Reg1_Robust!A:AG,4,0),4),")")</f>
        <v>(0.0023)</v>
      </c>
    </row>
    <row r="95" spans="1:12" x14ac:dyDescent="0.25">
      <c r="A95">
        <v>91</v>
      </c>
      <c r="B95" t="s">
        <v>164</v>
      </c>
      <c r="C95" t="s">
        <v>380</v>
      </c>
      <c r="H95" s="3" t="str">
        <f>VLOOKUP($A95,'Reg1'!$A:$H,H$1,0)</f>
        <v>-0.009***</v>
      </c>
      <c r="I95" s="3" t="str">
        <f>VLOOKUP($A95,'Reg1'!$A:$H,I$1,0)</f>
        <v>-0.005***</v>
      </c>
      <c r="J95" s="3" t="str">
        <f>_xlfn.CONCAT(FIXED(VLOOKUP($A95,Reg1_Robust!A:AG,3,0),3),VLOOKUP($A95,Reg1_Robust!A:AG,28,0))</f>
        <v>-0.005</v>
      </c>
    </row>
    <row r="96" spans="1:12" x14ac:dyDescent="0.25">
      <c r="A96">
        <v>92</v>
      </c>
      <c r="H96" s="3" t="str">
        <f>_xlfn.CONCAT("(",FIXED(ABS(VLOOKUP($A96,'Reg1'!$A:$H,H$1,0)),4),")")</f>
        <v>(0.0010)</v>
      </c>
      <c r="I96" s="3" t="str">
        <f>_xlfn.CONCAT("(",FIXED(ABS(VLOOKUP($A96,'Reg1'!$A:$H,I$1,0)),4),")")</f>
        <v>(0.0010)</v>
      </c>
      <c r="J96" s="3" t="str">
        <f>_xlfn.CONCAT("(",FIXED(VLOOKUP($A95,Reg1_Robust!A:AG,4,0),4),")")</f>
        <v>(0.0073)</v>
      </c>
    </row>
    <row r="97" spans="1:10" x14ac:dyDescent="0.25">
      <c r="A97">
        <v>93</v>
      </c>
      <c r="B97" t="s">
        <v>39</v>
      </c>
      <c r="C97" t="s">
        <v>381</v>
      </c>
      <c r="H97" s="3" t="str">
        <f>VLOOKUP($A97,'Reg1'!$A:$H,H$1,0)</f>
        <v>-0.044***</v>
      </c>
      <c r="I97" s="3" t="str">
        <f>VLOOKUP($A97,'Reg1'!$A:$H,I$1,0)</f>
        <v>-0.064***</v>
      </c>
      <c r="J97" s="3" t="str">
        <f>_xlfn.CONCAT(FIXED(VLOOKUP($A97,Reg1_Robust!A:AG,3,0),3),VLOOKUP($A97,Reg1_Robust!A:AG,28,0))</f>
        <v>-0.064*</v>
      </c>
    </row>
    <row r="98" spans="1:10" x14ac:dyDescent="0.25">
      <c r="A98">
        <v>94</v>
      </c>
      <c r="H98" s="3" t="str">
        <f>_xlfn.CONCAT("(",FIXED(ABS(VLOOKUP($A98,'Reg1'!$A:$H,H$1,0)),4),")")</f>
        <v>(0.0040)</v>
      </c>
      <c r="I98" s="3" t="str">
        <f>_xlfn.CONCAT("(",FIXED(ABS(VLOOKUP($A98,'Reg1'!$A:$H,I$1,0)),4),")")</f>
        <v>(0.0040)</v>
      </c>
      <c r="J98" s="3" t="str">
        <f>_xlfn.CONCAT("(",FIXED(VLOOKUP($A97,Reg1_Robust!A:AG,4,0),4),")")</f>
        <v>(0.0321)</v>
      </c>
    </row>
    <row r="99" spans="1:10" x14ac:dyDescent="0.25">
      <c r="A99">
        <v>95</v>
      </c>
      <c r="B99" t="s">
        <v>40</v>
      </c>
      <c r="C99" t="s">
        <v>382</v>
      </c>
      <c r="H99" s="3" t="str">
        <f>VLOOKUP($A99,'Reg1'!$A:$H,H$1,0)</f>
        <v>-0.005***</v>
      </c>
      <c r="I99" s="3" t="str">
        <f>VLOOKUP($A99,'Reg1'!$A:$H,I$1,0)</f>
        <v>-0.008***</v>
      </c>
      <c r="J99" s="3" t="str">
        <f>_xlfn.CONCAT(FIXED(VLOOKUP($A99,Reg1_Robust!A:AG,3,0),3),VLOOKUP($A99,Reg1_Robust!A:AG,28,0))</f>
        <v>-0.008</v>
      </c>
    </row>
    <row r="100" spans="1:10" x14ac:dyDescent="0.25">
      <c r="A100">
        <v>96</v>
      </c>
      <c r="H100" s="3" t="str">
        <f>_xlfn.CONCAT("(",FIXED(ABS(VLOOKUP($A100,'Reg1'!$A:$H,H$1,0)),4),")")</f>
        <v>(0.0010)</v>
      </c>
      <c r="I100" s="3" t="str">
        <f>_xlfn.CONCAT("(",FIXED(ABS(VLOOKUP($A100,'Reg1'!$A:$H,I$1,0)),4),")")</f>
        <v>(0.0010)</v>
      </c>
      <c r="J100" s="3" t="str">
        <f>_xlfn.CONCAT("(",FIXED(VLOOKUP($A99,Reg1_Robust!A:AG,4,0),4),")")</f>
        <v>(0.0084)</v>
      </c>
    </row>
    <row r="101" spans="1:10" x14ac:dyDescent="0.25">
      <c r="A101">
        <v>97</v>
      </c>
      <c r="B101" t="s">
        <v>41</v>
      </c>
      <c r="C101" t="s">
        <v>383</v>
      </c>
      <c r="H101" s="3" t="str">
        <f>VLOOKUP($A101,'Reg1'!$A:$H,H$1,0)</f>
        <v>-0.005***</v>
      </c>
      <c r="I101" s="3" t="str">
        <f>VLOOKUP($A101,'Reg1'!$A:$H,I$1,0)</f>
        <v>-0.007***</v>
      </c>
      <c r="J101" s="3" t="str">
        <f>_xlfn.CONCAT(FIXED(VLOOKUP($A101,Reg1_Robust!A:AG,3,0),3),VLOOKUP($A101,Reg1_Robust!A:AG,28,0))</f>
        <v>-0.007</v>
      </c>
    </row>
    <row r="102" spans="1:10" x14ac:dyDescent="0.25">
      <c r="A102">
        <v>98</v>
      </c>
      <c r="H102" s="3" t="str">
        <f>_xlfn.CONCAT("(",FIXED(ABS(VLOOKUP($A102,'Reg1'!$A:$H,H$1,0)),4),")")</f>
        <v>(0.0005)</v>
      </c>
      <c r="I102" s="3" t="str">
        <f>_xlfn.CONCAT("(",FIXED(ABS(VLOOKUP($A102,'Reg1'!$A:$H,I$1,0)),4),")")</f>
        <v>(0.0005)</v>
      </c>
      <c r="J102" s="3" t="str">
        <f>_xlfn.CONCAT("(",FIXED(VLOOKUP($A101,Reg1_Robust!A:AG,4,0),4),")")</f>
        <v>(0.0063)</v>
      </c>
    </row>
    <row r="103" spans="1:10" x14ac:dyDescent="0.25">
      <c r="A103">
        <v>99</v>
      </c>
      <c r="B103" t="s">
        <v>173</v>
      </c>
      <c r="C103" t="s">
        <v>384</v>
      </c>
      <c r="H103" s="3">
        <f>VLOOKUP($A103,'Reg1'!$A:$H,H$1,0)</f>
        <v>-4.0000000000000002E-4</v>
      </c>
      <c r="I103" s="3" t="str">
        <f>VLOOKUP($A103,'Reg1'!$A:$H,I$1,0)</f>
        <v>-0.001***</v>
      </c>
      <c r="J103" s="3" t="str">
        <f>_xlfn.CONCAT(FIXED(VLOOKUP($A103,Reg1_Robust!A:AG,3,0),3),VLOOKUP($A103,Reg1_Robust!A:AG,28,0))</f>
        <v>-0.001</v>
      </c>
    </row>
    <row r="104" spans="1:10" x14ac:dyDescent="0.25">
      <c r="A104">
        <v>100</v>
      </c>
      <c r="H104" s="3" t="str">
        <f>_xlfn.CONCAT("(",FIXED(ABS(VLOOKUP($A104,'Reg1'!$A:$H,H$1,0)),4),")")</f>
        <v>(0.0003)</v>
      </c>
      <c r="I104" s="3" t="str">
        <f>_xlfn.CONCAT("(",FIXED(ABS(VLOOKUP($A104,'Reg1'!$A:$H,I$1,0)),4),")")</f>
        <v>(0.0003)</v>
      </c>
      <c r="J104" s="3" t="str">
        <f>_xlfn.CONCAT("(",FIXED(VLOOKUP($A103,Reg1_Robust!A:AG,4,0),4),")")</f>
        <v>(0.0018)</v>
      </c>
    </row>
    <row r="105" spans="1:10" x14ac:dyDescent="0.25">
      <c r="A105">
        <v>101</v>
      </c>
      <c r="B105" t="s">
        <v>174</v>
      </c>
      <c r="C105" t="s">
        <v>385</v>
      </c>
      <c r="H105" s="3" t="str">
        <f>VLOOKUP($A105,'Reg1'!$A:$H,H$1,0)</f>
        <v>0.024***</v>
      </c>
      <c r="I105" s="3" t="str">
        <f>VLOOKUP($A105,'Reg1'!$A:$H,I$1,0)</f>
        <v>0.019***</v>
      </c>
      <c r="J105" s="3" t="str">
        <f>_xlfn.CONCAT(FIXED(VLOOKUP($A105,Reg1_Robust!A:AG,3,0),3),VLOOKUP($A105,Reg1_Robust!A:AG,28,0))</f>
        <v>0.019</v>
      </c>
    </row>
    <row r="106" spans="1:10" x14ac:dyDescent="0.25">
      <c r="A106">
        <v>102</v>
      </c>
      <c r="H106" s="3" t="str">
        <f>_xlfn.CONCAT("(",FIXED(ABS(VLOOKUP($A106,'Reg1'!$A:$H,H$1,0)),4),")")</f>
        <v>(0.0010)</v>
      </c>
      <c r="I106" s="3" t="str">
        <f>_xlfn.CONCAT("(",FIXED(ABS(VLOOKUP($A106,'Reg1'!$A:$H,I$1,0)),4),")")</f>
        <v>(0.0010)</v>
      </c>
      <c r="J106" s="3" t="str">
        <f>_xlfn.CONCAT("(",FIXED(VLOOKUP($A105,Reg1_Robust!A:AG,4,0),4),")")</f>
        <v>(0.0127)</v>
      </c>
    </row>
    <row r="107" spans="1:10" x14ac:dyDescent="0.25">
      <c r="A107">
        <v>103</v>
      </c>
      <c r="B107" t="s">
        <v>175</v>
      </c>
      <c r="C107" t="s">
        <v>386</v>
      </c>
      <c r="H107" s="3" t="str">
        <f>VLOOKUP($A107,'Reg1'!$A:$H,H$1,0)</f>
        <v>0.016***</v>
      </c>
      <c r="I107" s="3" t="str">
        <f>VLOOKUP($A107,'Reg1'!$A:$H,I$1,0)</f>
        <v>0.009***</v>
      </c>
      <c r="J107" s="3" t="str">
        <f>_xlfn.CONCAT(FIXED(VLOOKUP($A107,Reg1_Robust!A:AG,3,0),3),VLOOKUP($A107,Reg1_Robust!A:AG,28,0))</f>
        <v>0.009</v>
      </c>
    </row>
    <row r="108" spans="1:10" x14ac:dyDescent="0.25">
      <c r="A108">
        <v>104</v>
      </c>
      <c r="H108" s="3" t="str">
        <f>_xlfn.CONCAT("(",FIXED(ABS(VLOOKUP($A108,'Reg1'!$A:$H,H$1,0)),4),")")</f>
        <v>(0.0010)</v>
      </c>
      <c r="I108" s="3" t="str">
        <f>_xlfn.CONCAT("(",FIXED(ABS(VLOOKUP($A108,'Reg1'!$A:$H,I$1,0)),4),")")</f>
        <v>(0.0010)</v>
      </c>
      <c r="J108" s="3" t="str">
        <f>_xlfn.CONCAT("(",FIXED(VLOOKUP($A107,Reg1_Robust!A:AG,4,0),4),")")</f>
        <v>(0.0120)</v>
      </c>
    </row>
    <row r="109" spans="1:10" hidden="1" x14ac:dyDescent="0.25">
      <c r="A109">
        <v>105</v>
      </c>
      <c r="B109" t="s">
        <v>53</v>
      </c>
      <c r="H109" s="3" t="str">
        <f>VLOOKUP($A109,'Reg1'!$A:$H,H$1,0)</f>
        <v>0.00000***</v>
      </c>
      <c r="I109" s="3" t="str">
        <f>VLOOKUP($A109,'Reg1'!$A:$H,I$1,0)</f>
        <v>0.00000***</v>
      </c>
      <c r="J109" s="3" t="str">
        <f>_xlfn.CONCAT(FIXED(VLOOKUP($A109,Reg1_Robust!A:AG,3,0),3),VLOOKUP($A109,Reg1_Robust!A:AG,28,0))</f>
        <v>0.000</v>
      </c>
    </row>
    <row r="110" spans="1:10" hidden="1" x14ac:dyDescent="0.25">
      <c r="A110">
        <v>106</v>
      </c>
      <c r="H110" s="3" t="str">
        <f>_xlfn.CONCAT("(",FIXED(ABS(VLOOKUP($A110,'Reg1'!$A:$H,H$1,0)),4),")")</f>
        <v>(0.0000)</v>
      </c>
      <c r="I110" s="3" t="str">
        <f>_xlfn.CONCAT("(",FIXED(ABS(VLOOKUP($A110,'Reg1'!$A:$H,I$1,0)),4),")")</f>
        <v>(0.0000)</v>
      </c>
      <c r="J110" s="3" t="str">
        <f>_xlfn.CONCAT("(",FIXED(VLOOKUP($A109,Reg1_Robust!A:AG,4,0),4),")")</f>
        <v>(0.0000)</v>
      </c>
    </row>
    <row r="111" spans="1:10" hidden="1" x14ac:dyDescent="0.25">
      <c r="A111">
        <v>107</v>
      </c>
      <c r="B111" t="s">
        <v>54</v>
      </c>
      <c r="H111" s="3" t="str">
        <f>VLOOKUP($A111,'Reg1'!$A:$H,H$1,0)</f>
        <v>0.00001***</v>
      </c>
      <c r="I111" s="3" t="str">
        <f>VLOOKUP($A111,'Reg1'!$A:$H,I$1,0)</f>
        <v>0.00001***</v>
      </c>
      <c r="J111" s="3" t="str">
        <f>_xlfn.CONCAT(FIXED(VLOOKUP($A111,Reg1_Robust!A:AG,3,0),3),VLOOKUP($A111,Reg1_Robust!A:AG,28,0))</f>
        <v>0.000***</v>
      </c>
    </row>
    <row r="112" spans="1:10" hidden="1" x14ac:dyDescent="0.25">
      <c r="A112">
        <v>108</v>
      </c>
      <c r="H112" s="3" t="str">
        <f>_xlfn.CONCAT("(",FIXED(ABS(VLOOKUP($A112,'Reg1'!$A:$H,H$1,0)),4),")")</f>
        <v>(0.0000)</v>
      </c>
      <c r="I112" s="3" t="str">
        <f>_xlfn.CONCAT("(",FIXED(ABS(VLOOKUP($A112,'Reg1'!$A:$H,I$1,0)),4),")")</f>
        <v>(0.0000)</v>
      </c>
      <c r="J112" s="3" t="str">
        <f>_xlfn.CONCAT("(",FIXED(VLOOKUP($A111,Reg1_Robust!A:AG,4,0),4),")")</f>
        <v>(0.0000)</v>
      </c>
    </row>
    <row r="113" spans="1:10" x14ac:dyDescent="0.25">
      <c r="A113">
        <v>109</v>
      </c>
      <c r="B113" t="s">
        <v>43</v>
      </c>
      <c r="C113" t="s">
        <v>387</v>
      </c>
      <c r="H113" s="3"/>
      <c r="I113" s="3" t="str">
        <f>VLOOKUP($A113,'Reg1'!$A:$H,I$1,0)</f>
        <v>-0.424***</v>
      </c>
      <c r="J113" s="3" t="str">
        <f>_xlfn.CONCAT(FIXED(VLOOKUP($A113,Reg1_Robust!A:AG,3,0),3),VLOOKUP($A113,Reg1_Robust!A:AG,28,0))</f>
        <v>-0.424**</v>
      </c>
    </row>
    <row r="114" spans="1:10" x14ac:dyDescent="0.25">
      <c r="A114">
        <v>110</v>
      </c>
      <c r="H114" s="3"/>
      <c r="I114" s="3" t="str">
        <f>_xlfn.CONCAT("(",FIXED(ABS(VLOOKUP($A114,'Reg1'!$A:$H,I$1,0)),4),")")</f>
        <v>(0.0370)</v>
      </c>
      <c r="J114" s="3" t="str">
        <f>_xlfn.CONCAT("(",FIXED(VLOOKUP($A113,Reg1_Robust!A:AG,4,0),4),")")</f>
        <v>(0.1493)</v>
      </c>
    </row>
    <row r="115" spans="1:10" x14ac:dyDescent="0.25">
      <c r="A115">
        <v>111</v>
      </c>
      <c r="B115" t="s">
        <v>44</v>
      </c>
      <c r="C115" t="s">
        <v>388</v>
      </c>
      <c r="H115" s="3"/>
      <c r="I115" s="3" t="str">
        <f>VLOOKUP($A115,'Reg1'!$A:$H,I$1,0)</f>
        <v>-0.145***</v>
      </c>
      <c r="J115" s="3" t="str">
        <f>_xlfn.CONCAT(FIXED(VLOOKUP($A115,Reg1_Robust!A:AG,3,0),3),VLOOKUP($A115,Reg1_Robust!A:AG,28,0))</f>
        <v>-0.145**</v>
      </c>
    </row>
    <row r="116" spans="1:10" x14ac:dyDescent="0.25">
      <c r="A116">
        <v>112</v>
      </c>
      <c r="H116" s="3"/>
      <c r="I116" s="3" t="str">
        <f>_xlfn.CONCAT("(",FIXED(ABS(VLOOKUP($A116,'Reg1'!$A:$H,I$1,0)),4),")")</f>
        <v>(0.0080)</v>
      </c>
      <c r="J116" s="3" t="str">
        <f>_xlfn.CONCAT("(",FIXED(VLOOKUP($A115,Reg1_Robust!A:AG,4,0),4),")")</f>
        <v>(0.0590)</v>
      </c>
    </row>
    <row r="117" spans="1:10" x14ac:dyDescent="0.25">
      <c r="A117">
        <v>113</v>
      </c>
      <c r="B117" t="s">
        <v>45</v>
      </c>
      <c r="C117" t="s">
        <v>389</v>
      </c>
      <c r="H117" s="3"/>
      <c r="I117" s="3" t="str">
        <f>VLOOKUP($A117,'Reg1'!$A:$H,I$1,0)</f>
        <v>-0.361***</v>
      </c>
      <c r="J117" s="3" t="str">
        <f>_xlfn.CONCAT(FIXED(VLOOKUP($A117,Reg1_Robust!A:AG,3,0),3),VLOOKUP($A117,Reg1_Robust!A:AG,28,0))</f>
        <v>-0.361**</v>
      </c>
    </row>
    <row r="118" spans="1:10" x14ac:dyDescent="0.25">
      <c r="A118">
        <v>114</v>
      </c>
      <c r="H118" s="3"/>
      <c r="I118" s="3" t="str">
        <f>_xlfn.CONCAT("(",FIXED(ABS(VLOOKUP($A118,'Reg1'!$A:$H,I$1,0)),4),")")</f>
        <v>(0.0160)</v>
      </c>
      <c r="J118" s="3" t="str">
        <f>_xlfn.CONCAT("(",FIXED(VLOOKUP($A117,Reg1_Robust!A:AG,4,0),4),")")</f>
        <v>(0.1392)</v>
      </c>
    </row>
    <row r="119" spans="1:10" x14ac:dyDescent="0.25">
      <c r="A119">
        <v>115</v>
      </c>
      <c r="B119" t="s">
        <v>48</v>
      </c>
      <c r="C119" t="s">
        <v>390</v>
      </c>
      <c r="H119" s="3"/>
      <c r="I119" s="3" t="str">
        <f>VLOOKUP($A119,'Reg1'!$A:$H,I$1,0)</f>
        <v>0.276***</v>
      </c>
      <c r="J119" s="3" t="str">
        <f>_xlfn.CONCAT(FIXED(VLOOKUP($A119,Reg1_Robust!A:AG,3,0),3),VLOOKUP($A119,Reg1_Robust!A:AG,28,0))</f>
        <v>0.276***</v>
      </c>
    </row>
    <row r="120" spans="1:10" x14ac:dyDescent="0.25">
      <c r="A120">
        <v>116</v>
      </c>
      <c r="H120" s="3"/>
      <c r="I120" s="3" t="str">
        <f>_xlfn.CONCAT("(",FIXED(ABS(VLOOKUP($A120,'Reg1'!$A:$H,I$1,0)),4),")")</f>
        <v>(0.0080)</v>
      </c>
      <c r="J120" s="3" t="str">
        <f>_xlfn.CONCAT("(",FIXED(VLOOKUP($A119,Reg1_Robust!A:AG,4,0),4),")")</f>
        <v>(0.0843)</v>
      </c>
    </row>
    <row r="121" spans="1:10" x14ac:dyDescent="0.25">
      <c r="A121">
        <v>117</v>
      </c>
      <c r="B121" t="s">
        <v>46</v>
      </c>
      <c r="C121" t="s">
        <v>391</v>
      </c>
      <c r="H121" s="3"/>
      <c r="I121" s="3" t="str">
        <f>VLOOKUP($A121,'Reg1'!$A:$H,I$1,0)</f>
        <v>-0.668***</v>
      </c>
      <c r="J121" s="3" t="str">
        <f>_xlfn.CONCAT(FIXED(VLOOKUP($A121,Reg1_Robust!A:AG,3,0),3),VLOOKUP($A121,Reg1_Robust!A:AG,28,0))</f>
        <v>-0.668</v>
      </c>
    </row>
    <row r="122" spans="1:10" x14ac:dyDescent="0.25">
      <c r="A122">
        <v>118</v>
      </c>
      <c r="H122" s="3"/>
      <c r="I122" s="3" t="str">
        <f>_xlfn.CONCAT("(",FIXED(ABS(VLOOKUP($A122,'Reg1'!$A:$H,I$1,0)),4),")")</f>
        <v>(0.0110)</v>
      </c>
      <c r="J122" s="3" t="str">
        <f>_xlfn.CONCAT("(",FIXED(VLOOKUP($A121,Reg1_Robust!A:AG,4,0),4),")")</f>
        <v>(0.0909)</v>
      </c>
    </row>
    <row r="123" spans="1:10" x14ac:dyDescent="0.25">
      <c r="A123">
        <v>119</v>
      </c>
      <c r="B123" t="s">
        <v>258</v>
      </c>
      <c r="C123" s="25" t="s">
        <v>258</v>
      </c>
      <c r="D123" s="3" t="str">
        <f>VLOOKUP($A123,'Reg1'!$A:$H,D$1,0)</f>
        <v>13.516***</v>
      </c>
      <c r="E123" s="3" t="str">
        <f>VLOOKUP($A123,'Reg1'!$A:$H,E$1,0)</f>
        <v>13.414***</v>
      </c>
      <c r="F123" s="3" t="str">
        <f>VLOOKUP($A123,'Reg1'!$A:$H,F$1,0)</f>
        <v>12.963***</v>
      </c>
      <c r="G123" s="3" t="str">
        <f>VLOOKUP($A123,'Reg1'!$A:$H,G$1,0)</f>
        <v>12.420***</v>
      </c>
      <c r="H123" s="3" t="str">
        <f>VLOOKUP($A123,'Reg1'!$A:$H,H$1,0)</f>
        <v>-6.821***</v>
      </c>
      <c r="I123" s="3" t="str">
        <f>VLOOKUP($A123,'Reg1'!$A:$H,I$1,0)</f>
        <v>-5.720***</v>
      </c>
      <c r="J123" s="3" t="str">
        <f>_xlfn.CONCAT(FIXED(VLOOKUP($A123,Reg1_Robust!A:AG,3,0),3),VLOOKUP($A123,Reg1_Robust!A:AG,28,0))</f>
        <v>-5.720</v>
      </c>
    </row>
    <row r="124" spans="1:10" x14ac:dyDescent="0.25">
      <c r="A124">
        <v>120</v>
      </c>
      <c r="C124" s="16"/>
      <c r="D124" s="3" t="str">
        <f>_xlfn.CONCAT("(",FIXED(ABS(VLOOKUP($A124,'Reg1'!$A:$H,D$1,0)),4),")")</f>
        <v>(0.0030)</v>
      </c>
      <c r="E124" s="3" t="str">
        <f>_xlfn.CONCAT("(",FIXED(ABS(VLOOKUP($A124,'Reg1'!$A:$H,E$1,0)),4),")")</f>
        <v>(0.0080)</v>
      </c>
      <c r="F124" s="3" t="str">
        <f>_xlfn.CONCAT("(",FIXED(ABS(VLOOKUP($A124,'Reg1'!$A:$H,F$1,0)),4),")")</f>
        <v>(0.0090)</v>
      </c>
      <c r="G124" s="3" t="str">
        <f>_xlfn.CONCAT("(",FIXED(ABS(VLOOKUP($A124,'Reg1'!$A:$H,G$1,0)),4),")")</f>
        <v>(0.0140)</v>
      </c>
      <c r="H124" s="3" t="str">
        <f>_xlfn.CONCAT("(",FIXED(ABS(VLOOKUP($A124,'Reg1'!$A:$H,H$1,0)),4),")")</f>
        <v>(0.8210)</v>
      </c>
      <c r="I124" s="3" t="str">
        <f>_xlfn.CONCAT("(",FIXED(ABS(VLOOKUP($A124,'Reg1'!$A:$H,I$1,0)),4),")")</f>
        <v>(0.7900)</v>
      </c>
      <c r="J124" s="3" t="str">
        <f>_xlfn.CONCAT("(",FIXED(VLOOKUP($A123,Reg1_Robust!A:AG,4,0),4),")")</f>
        <v>(14.0884)</v>
      </c>
    </row>
    <row r="125" spans="1:10" x14ac:dyDescent="0.25">
      <c r="A125">
        <v>120</v>
      </c>
      <c r="B125" t="s">
        <v>349</v>
      </c>
      <c r="C125" t="s">
        <v>349</v>
      </c>
      <c r="D125" s="3" t="s">
        <v>308</v>
      </c>
      <c r="E125" s="3" t="s">
        <v>309</v>
      </c>
      <c r="F125" s="3" t="s">
        <v>309</v>
      </c>
      <c r="G125" s="3" t="s">
        <v>309</v>
      </c>
      <c r="H125" s="3" t="s">
        <v>309</v>
      </c>
      <c r="I125" s="3" t="s">
        <v>309</v>
      </c>
      <c r="J125" s="3" t="s">
        <v>309</v>
      </c>
    </row>
    <row r="126" spans="1:10" x14ac:dyDescent="0.25">
      <c r="A126">
        <v>121</v>
      </c>
      <c r="B126" t="s">
        <v>350</v>
      </c>
      <c r="C126" s="18" t="s">
        <v>350</v>
      </c>
      <c r="D126" s="16" t="s">
        <v>308</v>
      </c>
      <c r="E126" s="16" t="s">
        <v>308</v>
      </c>
      <c r="F126" s="16" t="s">
        <v>308</v>
      </c>
      <c r="G126" s="16" t="s">
        <v>308</v>
      </c>
      <c r="H126" s="16" t="s">
        <v>309</v>
      </c>
      <c r="I126" s="16" t="s">
        <v>309</v>
      </c>
      <c r="J126" s="16" t="s">
        <v>309</v>
      </c>
    </row>
    <row r="127" spans="1:10" x14ac:dyDescent="0.25">
      <c r="A127">
        <v>123</v>
      </c>
      <c r="B127" t="s">
        <v>187</v>
      </c>
      <c r="C127" t="s">
        <v>187</v>
      </c>
      <c r="D127" s="3">
        <f>VLOOKUP($A127,'Reg1'!$A:$H,D$1,0)</f>
        <v>50394</v>
      </c>
      <c r="E127" s="3">
        <f>VLOOKUP($A127,'Reg1'!$A:$H,E$1,0)</f>
        <v>50394</v>
      </c>
      <c r="F127" s="3">
        <f>VLOOKUP($A127,'Reg1'!$A:$H,F$1,0)</f>
        <v>50394</v>
      </c>
      <c r="G127" s="3">
        <f>VLOOKUP($A127,'Reg1'!$A:$H,G$1,0)</f>
        <v>50394</v>
      </c>
      <c r="H127" s="3">
        <f>VLOOKUP($A127,'Reg1'!$A:$H,H$1,0)</f>
        <v>50394</v>
      </c>
      <c r="I127" s="3">
        <f>VLOOKUP($A127,'Reg1'!$A:$H,I$1,0)</f>
        <v>50394</v>
      </c>
      <c r="J127" s="3">
        <v>50394</v>
      </c>
    </row>
    <row r="128" spans="1:10" ht="17.25" x14ac:dyDescent="0.25">
      <c r="A128">
        <v>124</v>
      </c>
      <c r="C128" t="s">
        <v>271</v>
      </c>
      <c r="D128" s="3">
        <f>VLOOKUP($A128,'Reg1'!$A:$H,D$1,0)</f>
        <v>4.0000000000000001E-3</v>
      </c>
      <c r="E128" s="3">
        <f>VLOOKUP($A128,'Reg1'!$A:$H,E$1,0)</f>
        <v>1.7999999999999999E-2</v>
      </c>
      <c r="F128" s="3">
        <f>VLOOKUP($A128,'Reg1'!$A:$H,F$1,0)</f>
        <v>0.63700000000000001</v>
      </c>
      <c r="G128" s="3">
        <f>VLOOKUP($A128,'Reg1'!$A:$H,G$1,0)</f>
        <v>0.72199999999999998</v>
      </c>
      <c r="H128" s="3">
        <f>VLOOKUP($A128,'Reg1'!$A:$H,H$1,0)</f>
        <v>0.79</v>
      </c>
      <c r="I128" s="3">
        <f>VLOOKUP($A128,'Reg1'!$A:$H,I$1,0)</f>
        <v>0.81399999999999995</v>
      </c>
      <c r="J128" s="3">
        <v>0.81399999999999995</v>
      </c>
    </row>
    <row r="129" spans="1:10" ht="18" thickBot="1" x14ac:dyDescent="0.3">
      <c r="A129">
        <v>125</v>
      </c>
      <c r="C129" s="14" t="s">
        <v>272</v>
      </c>
      <c r="D129" s="15">
        <f>VLOOKUP($A129,'Reg1'!$A:$H,D$1,0)</f>
        <v>4.0000000000000001E-3</v>
      </c>
      <c r="E129" s="15">
        <f>VLOOKUP($A129,'Reg1'!$A:$H,E$1,0)</f>
        <v>1.7999999999999999E-2</v>
      </c>
      <c r="F129" s="15">
        <f>VLOOKUP($A129,'Reg1'!$A:$H,F$1,0)</f>
        <v>0.63700000000000001</v>
      </c>
      <c r="G129" s="15">
        <f>VLOOKUP($A129,'Reg1'!$A:$H,G$1,0)</f>
        <v>0.72099999999999997</v>
      </c>
      <c r="H129" s="15">
        <f>VLOOKUP($A129,'Reg1'!$A:$H,H$1,0)</f>
        <v>0.79</v>
      </c>
      <c r="I129" s="15">
        <f>VLOOKUP($A129,'Reg1'!$A:$H,I$1,0)</f>
        <v>0.81399999999999995</v>
      </c>
      <c r="J129" s="15">
        <v>0.81399999999999995</v>
      </c>
    </row>
    <row r="130" spans="1:10" x14ac:dyDescent="0.25">
      <c r="B130" t="s">
        <v>263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49BAE-73BA-4104-BCF5-F9D920E93043}">
  <sheetPr codeName="Sheet14"/>
  <dimension ref="B2:H192"/>
  <sheetViews>
    <sheetView workbookViewId="0">
      <selection activeCell="B1" sqref="B1:H1048576"/>
    </sheetView>
  </sheetViews>
  <sheetFormatPr defaultRowHeight="15" x14ac:dyDescent="0.25"/>
  <cols>
    <col min="1" max="1" width="26.5703125" bestFit="1" customWidth="1"/>
  </cols>
  <sheetData>
    <row r="2" spans="2:8" x14ac:dyDescent="0.25">
      <c r="B2" t="s">
        <v>633</v>
      </c>
      <c r="C2" t="s">
        <v>633</v>
      </c>
      <c r="D2" t="s">
        <v>633</v>
      </c>
      <c r="E2" t="s">
        <v>578</v>
      </c>
      <c r="F2" t="s">
        <v>577</v>
      </c>
      <c r="G2" t="s">
        <v>193</v>
      </c>
      <c r="H2" t="s">
        <v>193</v>
      </c>
    </row>
    <row r="3" spans="2:8" x14ac:dyDescent="0.25">
      <c r="E3" t="s">
        <v>634</v>
      </c>
      <c r="F3" t="s">
        <v>635</v>
      </c>
    </row>
    <row r="4" spans="2:8" x14ac:dyDescent="0.25">
      <c r="C4" t="s">
        <v>581</v>
      </c>
      <c r="D4" t="s">
        <v>636</v>
      </c>
      <c r="E4" t="s">
        <v>579</v>
      </c>
      <c r="F4" t="s">
        <v>580</v>
      </c>
      <c r="G4" t="s">
        <v>194</v>
      </c>
      <c r="H4" t="s">
        <v>194</v>
      </c>
    </row>
    <row r="5" spans="2:8" x14ac:dyDescent="0.25">
      <c r="E5" t="s">
        <v>637</v>
      </c>
      <c r="F5" t="s">
        <v>638</v>
      </c>
    </row>
    <row r="6" spans="2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2:8" x14ac:dyDescent="0.25">
      <c r="B7" t="s">
        <v>636</v>
      </c>
      <c r="C7" t="s">
        <v>636</v>
      </c>
      <c r="D7" t="s">
        <v>636</v>
      </c>
      <c r="E7" t="s">
        <v>579</v>
      </c>
      <c r="F7" t="s">
        <v>580</v>
      </c>
      <c r="G7" t="s">
        <v>194</v>
      </c>
      <c r="H7" t="s">
        <v>194</v>
      </c>
    </row>
    <row r="8" spans="2:8" x14ac:dyDescent="0.25">
      <c r="B8" t="s">
        <v>11</v>
      </c>
      <c r="C8" t="s">
        <v>407</v>
      </c>
      <c r="D8">
        <v>-3.3000000000000002E-2</v>
      </c>
      <c r="E8">
        <v>-1.9E-2</v>
      </c>
      <c r="F8">
        <v>-1E-3</v>
      </c>
      <c r="G8">
        <v>5.0000000000000001E-3</v>
      </c>
      <c r="H8">
        <v>1.2999999999999999E-2</v>
      </c>
    </row>
    <row r="9" spans="2:8" x14ac:dyDescent="0.25">
      <c r="C9">
        <v>-6.0000000000000001E-3</v>
      </c>
      <c r="D9">
        <v>-2.5000000000000001E-2</v>
      </c>
      <c r="E9">
        <v>-1.4999999999999999E-2</v>
      </c>
      <c r="F9">
        <v>-1.2999999999999999E-2</v>
      </c>
      <c r="G9">
        <v>-1.2E-2</v>
      </c>
      <c r="H9">
        <v>-1.0999999999999999E-2</v>
      </c>
    </row>
    <row r="11" spans="2:8" x14ac:dyDescent="0.25">
      <c r="B11" t="s">
        <v>16</v>
      </c>
      <c r="D11" t="s">
        <v>306</v>
      </c>
      <c r="E11" t="s">
        <v>221</v>
      </c>
      <c r="F11">
        <v>2.0000000000000002E-5</v>
      </c>
      <c r="G11">
        <v>-2.0000000000000002E-5</v>
      </c>
      <c r="H11">
        <v>-2.0000000000000002E-5</v>
      </c>
    </row>
    <row r="12" spans="2:8" x14ac:dyDescent="0.25">
      <c r="D12">
        <v>-1E-4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2:8" x14ac:dyDescent="0.25">
      <c r="B14" t="s">
        <v>197</v>
      </c>
      <c r="D14" t="s">
        <v>228</v>
      </c>
      <c r="E14" t="s">
        <v>542</v>
      </c>
      <c r="F14" t="s">
        <v>503</v>
      </c>
      <c r="G14" t="s">
        <v>329</v>
      </c>
      <c r="H14" t="s">
        <v>503</v>
      </c>
    </row>
    <row r="15" spans="2:8" x14ac:dyDescent="0.25">
      <c r="D15">
        <v>-1.0999999999999999E-2</v>
      </c>
      <c r="E15">
        <v>-7.0000000000000001E-3</v>
      </c>
      <c r="F15">
        <v>-6.0000000000000001E-3</v>
      </c>
      <c r="G15">
        <v>-5.0000000000000001E-3</v>
      </c>
      <c r="H15">
        <v>-5.0000000000000001E-3</v>
      </c>
    </row>
    <row r="17" spans="2:8" x14ac:dyDescent="0.25">
      <c r="B17" t="s">
        <v>200</v>
      </c>
      <c r="D17" t="s">
        <v>228</v>
      </c>
      <c r="E17" t="s">
        <v>543</v>
      </c>
      <c r="F17" t="s">
        <v>422</v>
      </c>
      <c r="G17" t="s">
        <v>339</v>
      </c>
      <c r="H17" t="s">
        <v>396</v>
      </c>
    </row>
    <row r="18" spans="2:8" x14ac:dyDescent="0.25">
      <c r="D18">
        <v>-1.2E-2</v>
      </c>
      <c r="E18">
        <v>-7.0000000000000001E-3</v>
      </c>
      <c r="F18">
        <v>-6.0000000000000001E-3</v>
      </c>
      <c r="G18">
        <v>-5.0000000000000001E-3</v>
      </c>
      <c r="H18">
        <v>-5.0000000000000001E-3</v>
      </c>
    </row>
    <row r="20" spans="2:8" x14ac:dyDescent="0.25">
      <c r="B20" t="s">
        <v>204</v>
      </c>
      <c r="D20" t="s">
        <v>544</v>
      </c>
      <c r="E20" t="s">
        <v>542</v>
      </c>
      <c r="F20" t="s">
        <v>201</v>
      </c>
      <c r="G20" t="s">
        <v>542</v>
      </c>
      <c r="H20" t="s">
        <v>330</v>
      </c>
    </row>
    <row r="21" spans="2:8" x14ac:dyDescent="0.25">
      <c r="D21">
        <v>-1.2E-2</v>
      </c>
      <c r="E21">
        <v>-7.0000000000000001E-3</v>
      </c>
      <c r="F21">
        <v>-6.0000000000000001E-3</v>
      </c>
      <c r="G21">
        <v>-5.0000000000000001E-3</v>
      </c>
      <c r="H21">
        <v>-5.0000000000000001E-3</v>
      </c>
    </row>
    <row r="23" spans="2:8" x14ac:dyDescent="0.25">
      <c r="B23" t="s">
        <v>206</v>
      </c>
      <c r="D23" t="s">
        <v>227</v>
      </c>
      <c r="E23" t="s">
        <v>639</v>
      </c>
      <c r="F23">
        <v>2.1000000000000001E-2</v>
      </c>
      <c r="G23" t="s">
        <v>521</v>
      </c>
      <c r="H23" t="s">
        <v>545</v>
      </c>
    </row>
    <row r="24" spans="2:8" x14ac:dyDescent="0.25">
      <c r="D24">
        <v>-2.5000000000000001E-2</v>
      </c>
      <c r="E24">
        <v>-1.4999999999999999E-2</v>
      </c>
      <c r="F24">
        <v>-1.2999999999999999E-2</v>
      </c>
      <c r="G24">
        <v>-1.0999999999999999E-2</v>
      </c>
      <c r="H24">
        <v>-1.0999999999999999E-2</v>
      </c>
    </row>
    <row r="26" spans="2:8" x14ac:dyDescent="0.25">
      <c r="B26" t="s">
        <v>207</v>
      </c>
      <c r="D26" t="s">
        <v>546</v>
      </c>
      <c r="E26" t="s">
        <v>563</v>
      </c>
      <c r="F26" t="s">
        <v>244</v>
      </c>
      <c r="G26" t="s">
        <v>305</v>
      </c>
      <c r="H26" t="s">
        <v>422</v>
      </c>
    </row>
    <row r="27" spans="2:8" x14ac:dyDescent="0.25">
      <c r="D27">
        <v>-2.7E-2</v>
      </c>
      <c r="E27">
        <v>-1.6E-2</v>
      </c>
      <c r="F27">
        <v>-1.4E-2</v>
      </c>
      <c r="G27">
        <v>-1.2999999999999999E-2</v>
      </c>
      <c r="H27">
        <v>-1.2E-2</v>
      </c>
    </row>
    <row r="29" spans="2:8" x14ac:dyDescent="0.25">
      <c r="B29" t="s">
        <v>209</v>
      </c>
      <c r="D29" t="s">
        <v>398</v>
      </c>
      <c r="E29" t="s">
        <v>548</v>
      </c>
      <c r="F29" t="s">
        <v>196</v>
      </c>
      <c r="G29" t="s">
        <v>210</v>
      </c>
      <c r="H29" t="s">
        <v>196</v>
      </c>
    </row>
    <row r="30" spans="2:8" x14ac:dyDescent="0.25">
      <c r="D30">
        <v>-2.7E-2</v>
      </c>
      <c r="E30">
        <v>-1.7000000000000001E-2</v>
      </c>
      <c r="F30">
        <v>-1.4999999999999999E-2</v>
      </c>
      <c r="G30">
        <v>-1.2999999999999999E-2</v>
      </c>
      <c r="H30">
        <v>-1.2E-2</v>
      </c>
    </row>
    <row r="32" spans="2:8" x14ac:dyDescent="0.25">
      <c r="B32" t="s">
        <v>212</v>
      </c>
      <c r="D32" t="s">
        <v>419</v>
      </c>
      <c r="E32">
        <v>6.4000000000000001E-2</v>
      </c>
      <c r="F32">
        <v>3.3000000000000002E-2</v>
      </c>
      <c r="G32">
        <v>5.5E-2</v>
      </c>
      <c r="H32" t="s">
        <v>420</v>
      </c>
    </row>
    <row r="33" spans="2:8" x14ac:dyDescent="0.25">
      <c r="D33">
        <v>-7.4999999999999997E-2</v>
      </c>
      <c r="E33">
        <v>-4.4999999999999998E-2</v>
      </c>
      <c r="F33">
        <v>-0.04</v>
      </c>
      <c r="G33">
        <v>-3.5000000000000003E-2</v>
      </c>
      <c r="H33">
        <v>-3.3000000000000002E-2</v>
      </c>
    </row>
    <row r="35" spans="2:8" x14ac:dyDescent="0.25">
      <c r="B35" t="s">
        <v>15</v>
      </c>
      <c r="E35" t="s">
        <v>421</v>
      </c>
      <c r="F35" t="s">
        <v>535</v>
      </c>
      <c r="G35" t="s">
        <v>216</v>
      </c>
      <c r="H35" t="s">
        <v>217</v>
      </c>
    </row>
    <row r="36" spans="2:8" x14ac:dyDescent="0.25">
      <c r="E36">
        <v>-3.0000000000000001E-3</v>
      </c>
      <c r="F36">
        <v>-3.0000000000000001E-3</v>
      </c>
      <c r="G36">
        <v>-3.0000000000000001E-3</v>
      </c>
      <c r="H36">
        <v>-3.0000000000000001E-3</v>
      </c>
    </row>
    <row r="38" spans="2:8" x14ac:dyDescent="0.25">
      <c r="B38" t="s">
        <v>13</v>
      </c>
      <c r="E38" t="s">
        <v>640</v>
      </c>
      <c r="F38" t="s">
        <v>459</v>
      </c>
      <c r="G38" t="s">
        <v>227</v>
      </c>
      <c r="H38" t="s">
        <v>208</v>
      </c>
    </row>
    <row r="39" spans="2:8" x14ac:dyDescent="0.25">
      <c r="E39">
        <v>-5.0000000000000001E-3</v>
      </c>
      <c r="F39">
        <v>-5.0000000000000001E-3</v>
      </c>
      <c r="G39">
        <v>-4.0000000000000001E-3</v>
      </c>
      <c r="H39">
        <v>-4.0000000000000001E-3</v>
      </c>
    </row>
    <row r="41" spans="2:8" x14ac:dyDescent="0.25">
      <c r="B41" t="s">
        <v>14</v>
      </c>
      <c r="E41">
        <v>-3.0000000000000001E-3</v>
      </c>
      <c r="F41">
        <v>8.0000000000000002E-3</v>
      </c>
      <c r="G41" t="s">
        <v>424</v>
      </c>
      <c r="H41" t="s">
        <v>338</v>
      </c>
    </row>
    <row r="42" spans="2:8" x14ac:dyDescent="0.25">
      <c r="E42">
        <v>-6.0000000000000001E-3</v>
      </c>
      <c r="F42">
        <v>-5.0000000000000001E-3</v>
      </c>
      <c r="G42">
        <v>-5.0000000000000001E-3</v>
      </c>
      <c r="H42">
        <v>-4.0000000000000001E-3</v>
      </c>
    </row>
    <row r="44" spans="2:8" x14ac:dyDescent="0.25">
      <c r="B44" t="s">
        <v>59</v>
      </c>
      <c r="E44" t="s">
        <v>233</v>
      </c>
      <c r="F44" t="s">
        <v>342</v>
      </c>
      <c r="G44" t="s">
        <v>427</v>
      </c>
      <c r="H44" t="s">
        <v>474</v>
      </c>
    </row>
    <row r="45" spans="2:8" x14ac:dyDescent="0.25">
      <c r="E45">
        <v>-6.0000000000000001E-3</v>
      </c>
      <c r="F45">
        <v>-6.0000000000000001E-3</v>
      </c>
      <c r="G45">
        <v>-5.0000000000000001E-3</v>
      </c>
      <c r="H45">
        <v>-5.0000000000000001E-3</v>
      </c>
    </row>
    <row r="47" spans="2:8" x14ac:dyDescent="0.25">
      <c r="B47" t="s">
        <v>60</v>
      </c>
      <c r="E47" t="s">
        <v>641</v>
      </c>
      <c r="F47">
        <v>3.0000000000000001E-3</v>
      </c>
      <c r="G47" t="s">
        <v>428</v>
      </c>
      <c r="H47" t="s">
        <v>249</v>
      </c>
    </row>
    <row r="48" spans="2:8" x14ac:dyDescent="0.25">
      <c r="E48">
        <v>-4.0000000000000001E-3</v>
      </c>
      <c r="F48">
        <v>-4.0000000000000001E-3</v>
      </c>
      <c r="G48">
        <v>-4.0000000000000001E-3</v>
      </c>
      <c r="H48">
        <v>-4.0000000000000001E-3</v>
      </c>
    </row>
    <row r="50" spans="2:8" x14ac:dyDescent="0.25">
      <c r="B50" t="s">
        <v>18</v>
      </c>
      <c r="E50" t="s">
        <v>306</v>
      </c>
      <c r="F50" t="s">
        <v>306</v>
      </c>
      <c r="G50" t="s">
        <v>306</v>
      </c>
      <c r="H50" t="s">
        <v>306</v>
      </c>
    </row>
    <row r="51" spans="2:8" x14ac:dyDescent="0.25">
      <c r="E51">
        <v>-1.0000000000000001E-5</v>
      </c>
      <c r="F51">
        <v>-1.0000000000000001E-5</v>
      </c>
      <c r="G51">
        <v>-1.0000000000000001E-5</v>
      </c>
      <c r="H51">
        <v>-1.0000000000000001E-5</v>
      </c>
    </row>
    <row r="53" spans="2:8" x14ac:dyDescent="0.25">
      <c r="B53" t="s">
        <v>33</v>
      </c>
      <c r="E53" t="s">
        <v>429</v>
      </c>
      <c r="F53" t="s">
        <v>549</v>
      </c>
      <c r="G53" t="s">
        <v>431</v>
      </c>
      <c r="H53" t="s">
        <v>642</v>
      </c>
    </row>
    <row r="54" spans="2:8" x14ac:dyDescent="0.25">
      <c r="E54">
        <v>-5.0000000000000001E-4</v>
      </c>
      <c r="F54">
        <v>-4.0000000000000002E-4</v>
      </c>
      <c r="G54">
        <v>-4.0000000000000002E-4</v>
      </c>
      <c r="H54">
        <v>-4.0000000000000002E-4</v>
      </c>
    </row>
    <row r="56" spans="2:8" x14ac:dyDescent="0.25">
      <c r="B56" t="s">
        <v>34</v>
      </c>
      <c r="E56" t="s">
        <v>643</v>
      </c>
      <c r="F56" t="s">
        <v>644</v>
      </c>
      <c r="G56" t="s">
        <v>561</v>
      </c>
      <c r="H56" t="s">
        <v>645</v>
      </c>
    </row>
    <row r="57" spans="2:8" x14ac:dyDescent="0.25">
      <c r="E57">
        <v>-7.0000000000000001E-3</v>
      </c>
      <c r="F57">
        <v>-7.0000000000000001E-3</v>
      </c>
      <c r="G57">
        <v>-6.0000000000000001E-3</v>
      </c>
      <c r="H57">
        <v>-6.0000000000000001E-3</v>
      </c>
    </row>
    <row r="59" spans="2:8" x14ac:dyDescent="0.25">
      <c r="B59" t="s">
        <v>21</v>
      </c>
      <c r="E59">
        <v>-1.6E-2</v>
      </c>
      <c r="F59">
        <v>3.5999999999999997E-2</v>
      </c>
      <c r="G59">
        <v>-1.7000000000000001E-2</v>
      </c>
      <c r="H59">
        <v>-5.0000000000000001E-3</v>
      </c>
    </row>
    <row r="60" spans="2:8" x14ac:dyDescent="0.25">
      <c r="E60">
        <v>-4.8000000000000001E-2</v>
      </c>
      <c r="F60">
        <v>-4.2999999999999997E-2</v>
      </c>
      <c r="G60">
        <v>-3.6999999999999998E-2</v>
      </c>
      <c r="H60">
        <v>-3.5000000000000003E-2</v>
      </c>
    </row>
    <row r="62" spans="2:8" x14ac:dyDescent="0.25">
      <c r="B62" t="s">
        <v>224</v>
      </c>
      <c r="E62" t="s">
        <v>562</v>
      </c>
      <c r="F62" t="s">
        <v>334</v>
      </c>
      <c r="G62" t="s">
        <v>646</v>
      </c>
      <c r="H62" t="s">
        <v>550</v>
      </c>
    </row>
    <row r="63" spans="2:8" x14ac:dyDescent="0.25">
      <c r="E63">
        <v>-5.0000000000000001E-3</v>
      </c>
      <c r="F63">
        <v>-5.0000000000000001E-3</v>
      </c>
      <c r="G63">
        <v>-4.0000000000000001E-3</v>
      </c>
      <c r="H63">
        <v>-4.0000000000000001E-3</v>
      </c>
    </row>
    <row r="65" spans="2:8" x14ac:dyDescent="0.25">
      <c r="B65" t="s">
        <v>226</v>
      </c>
      <c r="E65" t="s">
        <v>551</v>
      </c>
      <c r="F65" t="s">
        <v>218</v>
      </c>
      <c r="G65" t="s">
        <v>244</v>
      </c>
      <c r="H65" t="s">
        <v>198</v>
      </c>
    </row>
    <row r="66" spans="2:8" x14ac:dyDescent="0.25">
      <c r="E66">
        <v>-5.0000000000000001E-3</v>
      </c>
      <c r="F66">
        <v>-5.0000000000000001E-3</v>
      </c>
      <c r="G66">
        <v>-4.0000000000000001E-3</v>
      </c>
      <c r="H66">
        <v>-4.0000000000000001E-3</v>
      </c>
    </row>
    <row r="68" spans="2:8" x14ac:dyDescent="0.25">
      <c r="B68" t="s">
        <v>230</v>
      </c>
      <c r="E68" t="s">
        <v>401</v>
      </c>
      <c r="F68" t="s">
        <v>647</v>
      </c>
      <c r="G68" t="s">
        <v>400</v>
      </c>
      <c r="H68" t="s">
        <v>237</v>
      </c>
    </row>
    <row r="69" spans="2:8" x14ac:dyDescent="0.25">
      <c r="E69">
        <v>-1.2E-2</v>
      </c>
      <c r="F69">
        <v>-1.0999999999999999E-2</v>
      </c>
      <c r="G69">
        <v>-8.9999999999999993E-3</v>
      </c>
      <c r="H69">
        <v>-8.9999999999999993E-3</v>
      </c>
    </row>
    <row r="71" spans="2:8" x14ac:dyDescent="0.25">
      <c r="B71" t="s">
        <v>22</v>
      </c>
      <c r="F71">
        <v>4.0000000000000001E-3</v>
      </c>
      <c r="G71" t="s">
        <v>433</v>
      </c>
      <c r="H71" t="s">
        <v>648</v>
      </c>
    </row>
    <row r="72" spans="2:8" x14ac:dyDescent="0.25">
      <c r="F72">
        <v>-0.01</v>
      </c>
      <c r="G72">
        <v>-8.9999999999999993E-3</v>
      </c>
      <c r="H72">
        <v>-8.0000000000000002E-3</v>
      </c>
    </row>
    <row r="74" spans="2:8" x14ac:dyDescent="0.25">
      <c r="B74" t="s">
        <v>23</v>
      </c>
      <c r="F74" t="s">
        <v>552</v>
      </c>
      <c r="G74">
        <v>1.9E-2</v>
      </c>
      <c r="H74">
        <v>1.2E-2</v>
      </c>
    </row>
    <row r="75" spans="2:8" x14ac:dyDescent="0.25">
      <c r="F75">
        <v>-2.1000000000000001E-2</v>
      </c>
      <c r="G75">
        <v>-1.7999999999999999E-2</v>
      </c>
      <c r="H75">
        <v>-1.7000000000000001E-2</v>
      </c>
    </row>
    <row r="77" spans="2:8" x14ac:dyDescent="0.25">
      <c r="B77" t="s">
        <v>24</v>
      </c>
      <c r="F77" t="s">
        <v>649</v>
      </c>
      <c r="G77" t="s">
        <v>650</v>
      </c>
      <c r="H77" t="s">
        <v>651</v>
      </c>
    </row>
    <row r="78" spans="2:8" x14ac:dyDescent="0.25">
      <c r="F78">
        <v>-6.0000000000000001E-3</v>
      </c>
      <c r="G78">
        <v>-6.0000000000000001E-3</v>
      </c>
      <c r="H78">
        <v>-5.0000000000000001E-3</v>
      </c>
    </row>
    <row r="80" spans="2:8" x14ac:dyDescent="0.25">
      <c r="B80" t="s">
        <v>25</v>
      </c>
      <c r="F80" t="s">
        <v>327</v>
      </c>
      <c r="G80" t="s">
        <v>423</v>
      </c>
      <c r="H80" t="s">
        <v>339</v>
      </c>
    </row>
    <row r="81" spans="2:8" x14ac:dyDescent="0.25">
      <c r="F81">
        <v>-7.0000000000000001E-3</v>
      </c>
      <c r="G81">
        <v>-7.0000000000000001E-3</v>
      </c>
      <c r="H81">
        <v>-6.0000000000000001E-3</v>
      </c>
    </row>
    <row r="83" spans="2:8" x14ac:dyDescent="0.25">
      <c r="B83" t="s">
        <v>26</v>
      </c>
      <c r="F83">
        <v>-7.0000000000000001E-3</v>
      </c>
      <c r="G83" t="s">
        <v>199</v>
      </c>
      <c r="H83" t="s">
        <v>247</v>
      </c>
    </row>
    <row r="84" spans="2:8" x14ac:dyDescent="0.25">
      <c r="F84">
        <v>-7.0000000000000001E-3</v>
      </c>
      <c r="G84">
        <v>-6.0000000000000001E-3</v>
      </c>
      <c r="H84">
        <v>-6.0000000000000001E-3</v>
      </c>
    </row>
    <row r="86" spans="2:8" x14ac:dyDescent="0.25">
      <c r="B86" t="s">
        <v>27</v>
      </c>
      <c r="F86" t="s">
        <v>416</v>
      </c>
      <c r="G86" t="s">
        <v>215</v>
      </c>
      <c r="H86">
        <v>6.0000000000000001E-3</v>
      </c>
    </row>
    <row r="87" spans="2:8" x14ac:dyDescent="0.25">
      <c r="F87">
        <v>-8.9999999999999993E-3</v>
      </c>
      <c r="G87">
        <v>-8.0000000000000002E-3</v>
      </c>
      <c r="H87">
        <v>-7.0000000000000001E-3</v>
      </c>
    </row>
    <row r="89" spans="2:8" x14ac:dyDescent="0.25">
      <c r="B89" t="s">
        <v>31</v>
      </c>
      <c r="F89" t="s">
        <v>344</v>
      </c>
      <c r="G89">
        <v>-2E-3</v>
      </c>
      <c r="H89">
        <v>3.0000000000000001E-3</v>
      </c>
    </row>
    <row r="90" spans="2:8" x14ac:dyDescent="0.25">
      <c r="F90">
        <v>-6.0000000000000001E-3</v>
      </c>
      <c r="G90">
        <v>-6.0000000000000001E-3</v>
      </c>
      <c r="H90">
        <v>-5.0000000000000001E-3</v>
      </c>
    </row>
    <row r="92" spans="2:8" x14ac:dyDescent="0.25">
      <c r="B92" t="s">
        <v>28</v>
      </c>
      <c r="F92">
        <v>-1.2999999999999999E-2</v>
      </c>
      <c r="G92">
        <v>-2.3E-2</v>
      </c>
      <c r="H92">
        <v>-3.2000000000000001E-2</v>
      </c>
    </row>
    <row r="93" spans="2:8" x14ac:dyDescent="0.25">
      <c r="F93">
        <v>-2.8000000000000001E-2</v>
      </c>
      <c r="G93">
        <v>-2.5000000000000001E-2</v>
      </c>
      <c r="H93">
        <v>-2.3E-2</v>
      </c>
    </row>
    <row r="95" spans="2:8" x14ac:dyDescent="0.25">
      <c r="B95" t="s">
        <v>235</v>
      </c>
      <c r="F95">
        <v>3.5999999999999997E-2</v>
      </c>
      <c r="G95" t="s">
        <v>652</v>
      </c>
      <c r="H95" t="s">
        <v>653</v>
      </c>
    </row>
    <row r="96" spans="2:8" x14ac:dyDescent="0.25">
      <c r="F96">
        <v>-6.8000000000000005E-2</v>
      </c>
      <c r="G96">
        <v>-0.06</v>
      </c>
      <c r="H96">
        <v>-5.6000000000000001E-2</v>
      </c>
    </row>
    <row r="98" spans="2:8" x14ac:dyDescent="0.25">
      <c r="B98" t="s">
        <v>236</v>
      </c>
      <c r="F98" t="s">
        <v>646</v>
      </c>
      <c r="G98" t="s">
        <v>544</v>
      </c>
      <c r="H98" t="s">
        <v>417</v>
      </c>
    </row>
    <row r="99" spans="2:8" x14ac:dyDescent="0.25">
      <c r="F99">
        <v>-0.01</v>
      </c>
      <c r="G99">
        <v>-8.9999999999999993E-3</v>
      </c>
      <c r="H99">
        <v>-8.9999999999999993E-3</v>
      </c>
    </row>
    <row r="101" spans="2:8" x14ac:dyDescent="0.25">
      <c r="B101" t="s">
        <v>238</v>
      </c>
      <c r="F101" t="s">
        <v>203</v>
      </c>
      <c r="G101" t="s">
        <v>654</v>
      </c>
      <c r="H101" t="s">
        <v>205</v>
      </c>
    </row>
    <row r="102" spans="2:8" x14ac:dyDescent="0.25">
      <c r="F102">
        <v>-6.0000000000000001E-3</v>
      </c>
      <c r="G102">
        <v>-5.0000000000000001E-3</v>
      </c>
      <c r="H102">
        <v>-5.0000000000000001E-3</v>
      </c>
    </row>
    <row r="104" spans="2:8" x14ac:dyDescent="0.25">
      <c r="B104" t="s">
        <v>240</v>
      </c>
      <c r="F104" t="s">
        <v>456</v>
      </c>
      <c r="G104" t="s">
        <v>215</v>
      </c>
      <c r="H104" t="s">
        <v>202</v>
      </c>
    </row>
    <row r="105" spans="2:8" x14ac:dyDescent="0.25">
      <c r="F105">
        <v>-7.0000000000000001E-3</v>
      </c>
      <c r="G105">
        <v>-6.0000000000000001E-3</v>
      </c>
      <c r="H105">
        <v>-6.0000000000000001E-3</v>
      </c>
    </row>
    <row r="107" spans="2:8" x14ac:dyDescent="0.25">
      <c r="B107" t="s">
        <v>241</v>
      </c>
      <c r="F107" t="s">
        <v>467</v>
      </c>
      <c r="G107" t="s">
        <v>208</v>
      </c>
      <c r="H107" t="s">
        <v>543</v>
      </c>
    </row>
    <row r="108" spans="2:8" x14ac:dyDescent="0.25">
      <c r="F108">
        <v>-0.01</v>
      </c>
      <c r="G108">
        <v>-8.9999999999999993E-3</v>
      </c>
      <c r="H108">
        <v>-8.0000000000000002E-3</v>
      </c>
    </row>
    <row r="110" spans="2:8" x14ac:dyDescent="0.25">
      <c r="B110" t="s">
        <v>243</v>
      </c>
      <c r="F110" t="s">
        <v>655</v>
      </c>
      <c r="G110" t="s">
        <v>464</v>
      </c>
      <c r="H110" t="s">
        <v>656</v>
      </c>
    </row>
    <row r="111" spans="2:8" x14ac:dyDescent="0.25">
      <c r="F111">
        <v>-8.0000000000000002E-3</v>
      </c>
      <c r="G111">
        <v>-8.0000000000000002E-3</v>
      </c>
      <c r="H111">
        <v>-8.0000000000000002E-3</v>
      </c>
    </row>
    <row r="113" spans="2:8" x14ac:dyDescent="0.25">
      <c r="B113" t="s">
        <v>245</v>
      </c>
      <c r="F113" t="s">
        <v>657</v>
      </c>
      <c r="G113" t="s">
        <v>437</v>
      </c>
      <c r="H113" t="s">
        <v>554</v>
      </c>
    </row>
    <row r="114" spans="2:8" x14ac:dyDescent="0.25">
      <c r="F114">
        <v>-1.0999999999999999E-2</v>
      </c>
      <c r="G114">
        <v>-0.01</v>
      </c>
      <c r="H114">
        <v>-1.0999999999999999E-2</v>
      </c>
    </row>
    <row r="116" spans="2:8" x14ac:dyDescent="0.25">
      <c r="B116" t="s">
        <v>166</v>
      </c>
      <c r="F116" t="s">
        <v>658</v>
      </c>
      <c r="G116" t="s">
        <v>659</v>
      </c>
      <c r="H116" t="s">
        <v>660</v>
      </c>
    </row>
    <row r="117" spans="2:8" x14ac:dyDescent="0.25">
      <c r="F117">
        <v>-8.0000000000000002E-3</v>
      </c>
      <c r="G117">
        <v>-7.0000000000000001E-3</v>
      </c>
      <c r="H117">
        <v>-6.0000000000000001E-3</v>
      </c>
    </row>
    <row r="119" spans="2:8" x14ac:dyDescent="0.25">
      <c r="B119" t="s">
        <v>167</v>
      </c>
      <c r="F119" t="s">
        <v>661</v>
      </c>
      <c r="G119" t="s">
        <v>660</v>
      </c>
      <c r="H119" t="s">
        <v>662</v>
      </c>
    </row>
    <row r="120" spans="2:8" x14ac:dyDescent="0.25">
      <c r="F120">
        <v>-8.9999999999999993E-3</v>
      </c>
      <c r="G120">
        <v>-8.0000000000000002E-3</v>
      </c>
      <c r="H120">
        <v>-8.0000000000000002E-3</v>
      </c>
    </row>
    <row r="122" spans="2:8" x14ac:dyDescent="0.25">
      <c r="B122" t="s">
        <v>168</v>
      </c>
      <c r="F122" t="s">
        <v>663</v>
      </c>
      <c r="G122" t="s">
        <v>664</v>
      </c>
      <c r="H122" t="s">
        <v>665</v>
      </c>
    </row>
    <row r="123" spans="2:8" x14ac:dyDescent="0.25">
      <c r="F123">
        <v>-0.02</v>
      </c>
      <c r="G123">
        <v>-1.7000000000000001E-2</v>
      </c>
      <c r="H123">
        <v>-1.6E-2</v>
      </c>
    </row>
    <row r="125" spans="2:8" x14ac:dyDescent="0.25">
      <c r="B125" t="s">
        <v>169</v>
      </c>
      <c r="F125" t="s">
        <v>522</v>
      </c>
      <c r="G125" t="s">
        <v>666</v>
      </c>
      <c r="H125" t="s">
        <v>667</v>
      </c>
    </row>
    <row r="126" spans="2:8" x14ac:dyDescent="0.25">
      <c r="F126">
        <v>-0.02</v>
      </c>
      <c r="G126">
        <v>-1.7000000000000001E-2</v>
      </c>
      <c r="H126">
        <v>-1.6E-2</v>
      </c>
    </row>
    <row r="128" spans="2:8" x14ac:dyDescent="0.25">
      <c r="B128" t="s">
        <v>170</v>
      </c>
      <c r="F128" t="s">
        <v>668</v>
      </c>
      <c r="G128">
        <v>-6.4000000000000001E-2</v>
      </c>
      <c r="H128">
        <v>4.5999999999999999E-2</v>
      </c>
    </row>
    <row r="129" spans="2:8" x14ac:dyDescent="0.25">
      <c r="F129">
        <v>-4.9000000000000002E-2</v>
      </c>
      <c r="G129">
        <v>-4.2999999999999997E-2</v>
      </c>
      <c r="H129">
        <v>-0.04</v>
      </c>
    </row>
    <row r="131" spans="2:8" x14ac:dyDescent="0.25">
      <c r="B131" t="s">
        <v>50</v>
      </c>
      <c r="F131">
        <v>3.0000000000000001E-5</v>
      </c>
      <c r="G131" t="s">
        <v>221</v>
      </c>
      <c r="H131" t="s">
        <v>246</v>
      </c>
    </row>
    <row r="132" spans="2:8" x14ac:dyDescent="0.25">
      <c r="F132">
        <v>-4.0000000000000003E-5</v>
      </c>
      <c r="G132">
        <v>-4.0000000000000003E-5</v>
      </c>
      <c r="H132">
        <v>-3.0000000000000001E-5</v>
      </c>
    </row>
    <row r="134" spans="2:8" x14ac:dyDescent="0.25">
      <c r="B134" t="s">
        <v>52</v>
      </c>
      <c r="F134">
        <v>-6.0000000000000001E-3</v>
      </c>
      <c r="G134">
        <v>4.0000000000000001E-3</v>
      </c>
      <c r="H134" t="s">
        <v>346</v>
      </c>
    </row>
    <row r="135" spans="2:8" x14ac:dyDescent="0.25">
      <c r="F135">
        <v>-4.0000000000000001E-3</v>
      </c>
      <c r="G135">
        <v>-3.0000000000000001E-3</v>
      </c>
      <c r="H135">
        <v>-3.0000000000000001E-3</v>
      </c>
    </row>
    <row r="137" spans="2:8" x14ac:dyDescent="0.25">
      <c r="B137" t="s">
        <v>51</v>
      </c>
      <c r="F137" t="s">
        <v>348</v>
      </c>
      <c r="G137" t="s">
        <v>556</v>
      </c>
      <c r="H137" t="s">
        <v>557</v>
      </c>
    </row>
    <row r="138" spans="2:8" x14ac:dyDescent="0.25">
      <c r="F138">
        <v>-1E-3</v>
      </c>
      <c r="G138">
        <v>-1E-3</v>
      </c>
      <c r="H138">
        <v>-1E-3</v>
      </c>
    </row>
    <row r="140" spans="2:8" x14ac:dyDescent="0.25">
      <c r="B140" t="s">
        <v>164</v>
      </c>
      <c r="G140" t="s">
        <v>249</v>
      </c>
      <c r="H140" t="s">
        <v>252</v>
      </c>
    </row>
    <row r="141" spans="2:8" x14ac:dyDescent="0.25">
      <c r="G141">
        <v>-1E-3</v>
      </c>
      <c r="H141">
        <v>-1E-3</v>
      </c>
    </row>
    <row r="143" spans="2:8" x14ac:dyDescent="0.25">
      <c r="B143" t="s">
        <v>39</v>
      </c>
      <c r="G143" t="s">
        <v>650</v>
      </c>
      <c r="H143" t="s">
        <v>525</v>
      </c>
    </row>
    <row r="144" spans="2:8" x14ac:dyDescent="0.25">
      <c r="G144">
        <v>-6.0000000000000001E-3</v>
      </c>
      <c r="H144">
        <v>-6.0000000000000001E-3</v>
      </c>
    </row>
    <row r="146" spans="2:8" x14ac:dyDescent="0.25">
      <c r="B146" t="s">
        <v>40</v>
      </c>
      <c r="G146" t="s">
        <v>430</v>
      </c>
      <c r="H146" t="s">
        <v>651</v>
      </c>
    </row>
    <row r="147" spans="2:8" x14ac:dyDescent="0.25">
      <c r="G147">
        <v>-1E-3</v>
      </c>
      <c r="H147">
        <v>-1E-3</v>
      </c>
    </row>
    <row r="149" spans="2:8" x14ac:dyDescent="0.25">
      <c r="B149" t="s">
        <v>41</v>
      </c>
      <c r="G149" t="s">
        <v>669</v>
      </c>
      <c r="H149" t="s">
        <v>438</v>
      </c>
    </row>
    <row r="150" spans="2:8" x14ac:dyDescent="0.25">
      <c r="G150">
        <v>-1E-3</v>
      </c>
      <c r="H150">
        <v>-1E-3</v>
      </c>
    </row>
    <row r="152" spans="2:8" x14ac:dyDescent="0.25">
      <c r="B152" t="s">
        <v>173</v>
      </c>
      <c r="G152" t="s">
        <v>439</v>
      </c>
      <c r="H152" t="s">
        <v>439</v>
      </c>
    </row>
    <row r="153" spans="2:8" x14ac:dyDescent="0.25">
      <c r="G153">
        <v>-2.0000000000000001E-4</v>
      </c>
      <c r="H153">
        <v>-2.0000000000000001E-4</v>
      </c>
    </row>
    <row r="155" spans="2:8" x14ac:dyDescent="0.25">
      <c r="B155" t="s">
        <v>174</v>
      </c>
      <c r="G155" t="s">
        <v>654</v>
      </c>
      <c r="H155" t="s">
        <v>452</v>
      </c>
    </row>
    <row r="156" spans="2:8" x14ac:dyDescent="0.25">
      <c r="G156">
        <v>-2E-3</v>
      </c>
      <c r="H156">
        <v>-2E-3</v>
      </c>
    </row>
    <row r="158" spans="2:8" x14ac:dyDescent="0.25">
      <c r="B158" t="s">
        <v>175</v>
      </c>
      <c r="G158" t="s">
        <v>509</v>
      </c>
      <c r="H158" t="s">
        <v>202</v>
      </c>
    </row>
    <row r="159" spans="2:8" x14ac:dyDescent="0.25">
      <c r="G159">
        <v>-2E-3</v>
      </c>
      <c r="H159">
        <v>-2E-3</v>
      </c>
    </row>
    <row r="161" spans="2:8" x14ac:dyDescent="0.25">
      <c r="B161" t="s">
        <v>53</v>
      </c>
      <c r="G161" t="s">
        <v>257</v>
      </c>
      <c r="H161" t="s">
        <v>257</v>
      </c>
    </row>
    <row r="162" spans="2:8" x14ac:dyDescent="0.25">
      <c r="G162">
        <v>0</v>
      </c>
      <c r="H162">
        <v>0</v>
      </c>
    </row>
    <row r="164" spans="2:8" x14ac:dyDescent="0.25">
      <c r="B164" t="s">
        <v>54</v>
      </c>
      <c r="G164" t="s">
        <v>256</v>
      </c>
      <c r="H164" t="s">
        <v>256</v>
      </c>
    </row>
    <row r="165" spans="2:8" x14ac:dyDescent="0.25">
      <c r="G165">
        <v>0</v>
      </c>
      <c r="H165">
        <v>0</v>
      </c>
    </row>
    <row r="167" spans="2:8" x14ac:dyDescent="0.25">
      <c r="B167" t="s">
        <v>43</v>
      </c>
      <c r="H167" t="s">
        <v>670</v>
      </c>
    </row>
    <row r="168" spans="2:8" x14ac:dyDescent="0.25">
      <c r="H168">
        <v>-4.1000000000000002E-2</v>
      </c>
    </row>
    <row r="170" spans="2:8" x14ac:dyDescent="0.25">
      <c r="B170" t="s">
        <v>44</v>
      </c>
      <c r="H170" t="s">
        <v>526</v>
      </c>
    </row>
    <row r="171" spans="2:8" x14ac:dyDescent="0.25">
      <c r="H171">
        <v>-0.01</v>
      </c>
    </row>
    <row r="173" spans="2:8" x14ac:dyDescent="0.25">
      <c r="B173" t="s">
        <v>45</v>
      </c>
      <c r="H173" t="s">
        <v>671</v>
      </c>
    </row>
    <row r="174" spans="2:8" x14ac:dyDescent="0.25">
      <c r="H174">
        <v>-2.1000000000000001E-2</v>
      </c>
    </row>
    <row r="176" spans="2:8" x14ac:dyDescent="0.25">
      <c r="B176" t="s">
        <v>48</v>
      </c>
      <c r="H176" t="s">
        <v>555</v>
      </c>
    </row>
    <row r="177" spans="2:8" x14ac:dyDescent="0.25">
      <c r="H177">
        <v>-8.9999999999999993E-3</v>
      </c>
    </row>
    <row r="179" spans="2:8" x14ac:dyDescent="0.25">
      <c r="B179" t="s">
        <v>46</v>
      </c>
      <c r="H179" t="s">
        <v>672</v>
      </c>
    </row>
    <row r="180" spans="2:8" x14ac:dyDescent="0.25">
      <c r="H180">
        <v>-1.2E-2</v>
      </c>
    </row>
    <row r="182" spans="2:8" x14ac:dyDescent="0.25">
      <c r="B182" t="s">
        <v>258</v>
      </c>
      <c r="C182" t="s">
        <v>558</v>
      </c>
      <c r="D182" t="s">
        <v>673</v>
      </c>
      <c r="E182" t="s">
        <v>674</v>
      </c>
      <c r="F182" t="s">
        <v>559</v>
      </c>
      <c r="G182">
        <v>1.5780000000000001</v>
      </c>
      <c r="H182" t="s">
        <v>675</v>
      </c>
    </row>
    <row r="183" spans="2:8" x14ac:dyDescent="0.25">
      <c r="C183">
        <v>-4.0000000000000001E-3</v>
      </c>
      <c r="D183">
        <v>-8.9999999999999993E-3</v>
      </c>
      <c r="E183">
        <v>-1.2E-2</v>
      </c>
      <c r="F183">
        <v>-1.6E-2</v>
      </c>
      <c r="G183">
        <v>-1.3049999999999999</v>
      </c>
      <c r="H183">
        <v>-1.2330000000000001</v>
      </c>
    </row>
    <row r="185" spans="2:8" x14ac:dyDescent="0.25">
      <c r="B185" t="s">
        <v>636</v>
      </c>
      <c r="C185" t="s">
        <v>636</v>
      </c>
      <c r="D185" t="s">
        <v>636</v>
      </c>
      <c r="E185" t="s">
        <v>579</v>
      </c>
      <c r="F185" t="s">
        <v>580</v>
      </c>
      <c r="G185" t="s">
        <v>194</v>
      </c>
      <c r="H185" t="s">
        <v>194</v>
      </c>
    </row>
    <row r="186" spans="2:8" x14ac:dyDescent="0.25">
      <c r="B186" t="s">
        <v>187</v>
      </c>
      <c r="C186" s="1">
        <v>27429</v>
      </c>
      <c r="D186" s="1">
        <v>27429</v>
      </c>
      <c r="E186" s="1">
        <v>27429</v>
      </c>
      <c r="F186" s="1">
        <v>27429</v>
      </c>
      <c r="G186" s="1">
        <v>27429</v>
      </c>
      <c r="H186" s="1">
        <v>27429</v>
      </c>
    </row>
    <row r="187" spans="2:8" x14ac:dyDescent="0.25">
      <c r="B187" t="s">
        <v>259</v>
      </c>
      <c r="C187">
        <v>2.0000000000000001E-4</v>
      </c>
      <c r="D187">
        <v>1.2999999999999999E-2</v>
      </c>
      <c r="E187">
        <v>0.64500000000000002</v>
      </c>
      <c r="F187">
        <v>0.72099999999999997</v>
      </c>
      <c r="G187">
        <v>0.78600000000000003</v>
      </c>
      <c r="H187">
        <v>0.81100000000000005</v>
      </c>
    </row>
    <row r="188" spans="2:8" x14ac:dyDescent="0.25">
      <c r="B188" t="s">
        <v>260</v>
      </c>
      <c r="C188">
        <v>1E-4</v>
      </c>
      <c r="D188">
        <v>1.2999999999999999E-2</v>
      </c>
      <c r="E188">
        <v>0.64500000000000002</v>
      </c>
      <c r="F188">
        <v>0.72</v>
      </c>
      <c r="G188">
        <v>0.78600000000000003</v>
      </c>
      <c r="H188">
        <v>0.81100000000000005</v>
      </c>
    </row>
    <row r="189" spans="2:8" x14ac:dyDescent="0.25">
      <c r="B189" t="s">
        <v>261</v>
      </c>
      <c r="C189" t="s">
        <v>676</v>
      </c>
      <c r="D189" t="s">
        <v>677</v>
      </c>
      <c r="E189" t="s">
        <v>678</v>
      </c>
      <c r="F189" t="s">
        <v>679</v>
      </c>
      <c r="G189" t="s">
        <v>680</v>
      </c>
      <c r="H189" t="s">
        <v>681</v>
      </c>
    </row>
    <row r="190" spans="2:8" x14ac:dyDescent="0.25">
      <c r="B190" t="s">
        <v>262</v>
      </c>
      <c r="C190" t="s">
        <v>682</v>
      </c>
      <c r="D190" t="s">
        <v>683</v>
      </c>
      <c r="E190" t="s">
        <v>684</v>
      </c>
      <c r="F190" t="s">
        <v>685</v>
      </c>
      <c r="G190" t="s">
        <v>686</v>
      </c>
      <c r="H190" t="s">
        <v>687</v>
      </c>
    </row>
    <row r="191" spans="2:8" x14ac:dyDescent="0.25">
      <c r="B191" t="s">
        <v>633</v>
      </c>
      <c r="C191" t="s">
        <v>633</v>
      </c>
      <c r="D191" t="s">
        <v>633</v>
      </c>
      <c r="E191" t="s">
        <v>578</v>
      </c>
      <c r="F191" t="s">
        <v>577</v>
      </c>
      <c r="G191" t="s">
        <v>193</v>
      </c>
      <c r="H191" t="s">
        <v>193</v>
      </c>
    </row>
    <row r="192" spans="2:8" x14ac:dyDescent="0.25">
      <c r="B192" t="s">
        <v>263</v>
      </c>
      <c r="H192" t="s">
        <v>264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7456-748C-4C9D-907C-A45F99445CB2}">
  <sheetPr codeName="Sheet15"/>
  <dimension ref="A1:AG62"/>
  <sheetViews>
    <sheetView topLeftCell="K16" workbookViewId="0">
      <selection activeCell="AD30" sqref="AD30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2.8072761706064502</v>
      </c>
      <c r="D2">
        <v>14.114627063229401</v>
      </c>
      <c r="E2">
        <v>0.19889127484776301</v>
      </c>
      <c r="F2">
        <v>0.84598279455604797</v>
      </c>
      <c r="G2">
        <v>1.5784920317876301</v>
      </c>
      <c r="H2">
        <v>19.3049344504857</v>
      </c>
      <c r="I2">
        <v>8.1766246647261495E-2</v>
      </c>
      <c r="J2">
        <v>0.93629190948861096</v>
      </c>
      <c r="K2">
        <v>12.3234191441374</v>
      </c>
      <c r="L2">
        <v>0.118461506493082</v>
      </c>
      <c r="M2">
        <v>104.028890978666</v>
      </c>
      <c r="N2">
        <v>9.9752501541551802E-15</v>
      </c>
      <c r="O2">
        <v>12.7311431092556</v>
      </c>
      <c r="P2">
        <v>0.14031297574530499</v>
      </c>
      <c r="Q2">
        <v>90.733897144089198</v>
      </c>
      <c r="R2">
        <v>1.99058040997775E-16</v>
      </c>
      <c r="S2">
        <v>13.140707908727</v>
      </c>
      <c r="T2">
        <v>4.2820866715220597E-2</v>
      </c>
      <c r="U2">
        <v>306.87627123754999</v>
      </c>
      <c r="V2">
        <v>3.2517263973352401E-22</v>
      </c>
      <c r="W2">
        <v>13.2380797353175</v>
      </c>
      <c r="X2">
        <v>4.9987529288901003E-2</v>
      </c>
      <c r="Y2">
        <v>264.82764648775799</v>
      </c>
      <c r="Z2">
        <v>2.57777207510069E-22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1.25949224933133E-2</v>
      </c>
      <c r="D3">
        <v>8.5029358958563402E-3</v>
      </c>
      <c r="E3">
        <v>1.4812439665046899</v>
      </c>
      <c r="F3">
        <v>0.16988884441193999</v>
      </c>
      <c r="G3">
        <v>4.9507839608493301E-3</v>
      </c>
      <c r="H3">
        <v>8.5484116011731292E-3</v>
      </c>
      <c r="I3">
        <v>0.57914665224705797</v>
      </c>
      <c r="J3">
        <v>0.57552986104303805</v>
      </c>
      <c r="K3">
        <v>-1.4947150466326001E-3</v>
      </c>
      <c r="L3">
        <v>1.44966090551746E-2</v>
      </c>
      <c r="M3">
        <v>-0.103107908956064</v>
      </c>
      <c r="N3">
        <v>0.91995041688776302</v>
      </c>
      <c r="O3">
        <v>-1.8787653733059101E-2</v>
      </c>
      <c r="P3">
        <v>1.7551739588740001E-2</v>
      </c>
      <c r="Q3">
        <v>-1.07041547865216</v>
      </c>
      <c r="R3">
        <v>0.310041150125895</v>
      </c>
      <c r="S3">
        <v>-3.3244786155776897E-2</v>
      </c>
      <c r="T3">
        <v>3.2497442333222798E-2</v>
      </c>
      <c r="U3">
        <v>-1.0229970043454799</v>
      </c>
      <c r="V3">
        <v>0.33086322276464297</v>
      </c>
      <c r="W3">
        <v>1.34665302184768E-2</v>
      </c>
      <c r="X3">
        <v>2.8144179308105598E-2</v>
      </c>
      <c r="Y3">
        <v>0.478483670497309</v>
      </c>
      <c r="Z3">
        <v>0.64155955888637295</v>
      </c>
      <c r="AB3" t="str">
        <f t="shared" ref="AB3:AB29" si="0">IF(F3&lt;0.01,"***",IF(F3&lt;0.05,"**",IF(F3&lt;0.1,"*","")))</f>
        <v/>
      </c>
      <c r="AC3" t="str">
        <f t="shared" ref="AC3:AC29" si="1">IF(J3&lt;0.01,"***",IF(J3&lt;0.05,"**",IF(J3&lt;0.1,"*","")))</f>
        <v/>
      </c>
      <c r="AD3" t="str">
        <f t="shared" ref="AD3:AD29" si="2">IF(N3&lt;0.01,"***",IF(N3&lt;0.05,"**",IF(N3&lt;0.1,"*","")))</f>
        <v/>
      </c>
      <c r="AE3" t="str">
        <f t="shared" ref="AE3:AE29" si="3">IF(R3&lt;0.01,"***",IF(R3&lt;0.05,"**",IF(R3&lt;0.1,"*","")))</f>
        <v/>
      </c>
      <c r="AF3" t="str">
        <f t="shared" ref="AF3:AF29" si="4">IF(V3&lt;0.01,"***",IF(V3&lt;0.05,"**",IF(V3&lt;0.1,"*","")))</f>
        <v/>
      </c>
      <c r="AG3" t="str">
        <f t="shared" ref="AG3:AG29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-1.87877369766348E-5</v>
      </c>
      <c r="D4">
        <v>5.4899175752954898E-5</v>
      </c>
      <c r="E4">
        <v>-0.342222569263684</v>
      </c>
      <c r="F4">
        <v>0.74638881430400195</v>
      </c>
      <c r="G4">
        <v>-2.0141797203461E-5</v>
      </c>
      <c r="H4">
        <v>4.5543564149351198E-5</v>
      </c>
      <c r="I4">
        <v>-0.44225342437868798</v>
      </c>
      <c r="J4">
        <v>0.67707849662114095</v>
      </c>
      <c r="K4">
        <v>1.78511579955134E-5</v>
      </c>
      <c r="L4">
        <v>9.2000427764285501E-5</v>
      </c>
      <c r="M4">
        <v>0.194033423858092</v>
      </c>
      <c r="N4">
        <v>0.853907248243579</v>
      </c>
      <c r="O4">
        <v>2.42291889947799E-4</v>
      </c>
      <c r="P4">
        <v>1.2506333739046601E-4</v>
      </c>
      <c r="Q4">
        <v>1.9373534642796999</v>
      </c>
      <c r="R4">
        <v>0.11071016966363301</v>
      </c>
      <c r="S4">
        <v>8.9905322188093704E-4</v>
      </c>
      <c r="T4">
        <v>3.2323123589053399E-4</v>
      </c>
      <c r="U4">
        <v>2.7814552619085702</v>
      </c>
      <c r="V4">
        <v>4.0487606136631001E-2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4.1195228132493003E-2</v>
      </c>
      <c r="D5">
        <v>1.42248348449781E-2</v>
      </c>
      <c r="E5">
        <v>2.89600748138291</v>
      </c>
      <c r="F5">
        <v>1.45773102234749E-2</v>
      </c>
      <c r="G5">
        <v>4.5803119275163097E-2</v>
      </c>
      <c r="H5">
        <v>1.2903569460426E-2</v>
      </c>
      <c r="I5">
        <v>3.5496472054214898</v>
      </c>
      <c r="J5">
        <v>4.5701605566249304E-3</v>
      </c>
      <c r="K5">
        <v>4.0520290579729397E-2</v>
      </c>
      <c r="L5">
        <v>1.41257318894505E-2</v>
      </c>
      <c r="M5">
        <v>2.8685445042314002</v>
      </c>
      <c r="N5">
        <v>1.5302185053127601E-2</v>
      </c>
      <c r="O5">
        <v>5.3128819514841497E-2</v>
      </c>
      <c r="P5">
        <v>1.45250075619337E-2</v>
      </c>
      <c r="Q5">
        <v>3.6577481483781402</v>
      </c>
      <c r="R5">
        <v>3.7744334985192599E-3</v>
      </c>
      <c r="S5">
        <v>6.8057395561955503E-2</v>
      </c>
      <c r="T5">
        <v>3.00343360800828E-2</v>
      </c>
      <c r="U5">
        <v>2.2659863491068699</v>
      </c>
      <c r="V5">
        <v>4.4651860400387801E-2</v>
      </c>
      <c r="AB5" t="str">
        <f t="shared" si="0"/>
        <v>**</v>
      </c>
      <c r="AC5" t="str">
        <f t="shared" si="1"/>
        <v>***</v>
      </c>
      <c r="AD5" t="str">
        <f t="shared" si="2"/>
        <v>**</v>
      </c>
      <c r="AE5" t="str">
        <f t="shared" si="3"/>
        <v>***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5.3868383043185697E-2</v>
      </c>
      <c r="D6">
        <v>2.1289294690658701E-2</v>
      </c>
      <c r="E6">
        <v>2.5303037900462702</v>
      </c>
      <c r="F6">
        <v>2.8342858057056899E-2</v>
      </c>
      <c r="G6">
        <v>6.2756934207061799E-2</v>
      </c>
      <c r="H6">
        <v>1.5639062932732099E-2</v>
      </c>
      <c r="I6">
        <v>4.0128321292008602</v>
      </c>
      <c r="J6">
        <v>2.1340186436142401E-3</v>
      </c>
      <c r="K6">
        <v>4.9582524842669798E-2</v>
      </c>
      <c r="L6">
        <v>1.6853426979807899E-2</v>
      </c>
      <c r="M6">
        <v>2.9419847311810701</v>
      </c>
      <c r="N6">
        <v>1.36815995948118E-2</v>
      </c>
      <c r="O6">
        <v>6.1617265919461102E-2</v>
      </c>
      <c r="P6">
        <v>1.62029897365485E-2</v>
      </c>
      <c r="Q6">
        <v>3.8028331142167602</v>
      </c>
      <c r="R6">
        <v>3.0405749484024801E-3</v>
      </c>
      <c r="S6">
        <v>6.8318756351185506E-2</v>
      </c>
      <c r="T6">
        <v>3.04011304630947E-2</v>
      </c>
      <c r="U6">
        <v>2.2472439448960801</v>
      </c>
      <c r="V6">
        <v>4.6655461463193597E-2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5.0817859877177803E-2</v>
      </c>
      <c r="D7">
        <v>2.0889549780268302E-2</v>
      </c>
      <c r="E7">
        <v>2.4326929211839201</v>
      </c>
      <c r="F7">
        <v>3.3008784453308099E-2</v>
      </c>
      <c r="G7">
        <v>5.27955805186325E-2</v>
      </c>
      <c r="H7">
        <v>1.6333220127317999E-2</v>
      </c>
      <c r="I7">
        <v>3.2324048844679298</v>
      </c>
      <c r="J7">
        <v>7.8551316880794905E-3</v>
      </c>
      <c r="K7">
        <v>4.3990964291435897E-2</v>
      </c>
      <c r="L7">
        <v>1.6112130028733199E-2</v>
      </c>
      <c r="M7">
        <v>2.7303009728065502</v>
      </c>
      <c r="N7">
        <v>1.9356954231677801E-2</v>
      </c>
      <c r="O7">
        <v>5.2978640234207203E-2</v>
      </c>
      <c r="P7">
        <v>2.0264133047668598E-2</v>
      </c>
      <c r="Q7">
        <v>2.61440448054611</v>
      </c>
      <c r="R7">
        <v>2.38177954872133E-2</v>
      </c>
      <c r="S7">
        <v>6.7176052468437095E-2</v>
      </c>
      <c r="T7">
        <v>3.15145592662711E-2</v>
      </c>
      <c r="U7">
        <v>2.1315878766019498</v>
      </c>
      <c r="V7">
        <v>5.6141021896743297E-2</v>
      </c>
      <c r="AB7" t="str">
        <f t="shared" si="0"/>
        <v>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1.79438183177602E-2</v>
      </c>
      <c r="D8">
        <v>3.0764641555443901E-2</v>
      </c>
      <c r="E8">
        <v>0.58326108839662205</v>
      </c>
      <c r="F8">
        <v>0.57334017742740595</v>
      </c>
      <c r="G8">
        <v>2.7638049158402501E-2</v>
      </c>
      <c r="H8">
        <v>2.5659992561375598E-2</v>
      </c>
      <c r="I8">
        <v>1.0770871851305299</v>
      </c>
      <c r="J8">
        <v>0.30817421470947298</v>
      </c>
      <c r="K8">
        <v>2.06922917759245E-2</v>
      </c>
      <c r="L8">
        <v>2.6007194445918199E-2</v>
      </c>
      <c r="M8">
        <v>0.79563721565407597</v>
      </c>
      <c r="N8">
        <v>0.44575910869754398</v>
      </c>
      <c r="O8">
        <v>3.6544424554825698E-2</v>
      </c>
      <c r="P8">
        <v>3.3646316621610897E-2</v>
      </c>
      <c r="Q8">
        <v>1.0861344784276701</v>
      </c>
      <c r="R8">
        <v>0.30432835860145402</v>
      </c>
      <c r="S8">
        <v>6.5300789109302995E-2</v>
      </c>
      <c r="T8">
        <v>5.1197076973059003E-2</v>
      </c>
      <c r="U8">
        <v>1.2754788548507501</v>
      </c>
      <c r="V8">
        <v>0.23254901292692001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5.0483835831013901E-2</v>
      </c>
      <c r="D9">
        <v>4.0252357641974601E-2</v>
      </c>
      <c r="E9">
        <v>1.2541833270995799</v>
      </c>
      <c r="F9">
        <v>0.23829775017169499</v>
      </c>
      <c r="G9">
        <v>6.3789549973893495E-2</v>
      </c>
      <c r="H9">
        <v>3.6789097515872997E-2</v>
      </c>
      <c r="I9">
        <v>1.7339253822785701</v>
      </c>
      <c r="J9">
        <v>0.113687123256559</v>
      </c>
      <c r="K9">
        <v>5.5542824698359701E-2</v>
      </c>
      <c r="L9">
        <v>3.5451272278667401E-2</v>
      </c>
      <c r="M9">
        <v>1.56673713320529</v>
      </c>
      <c r="N9">
        <v>0.14832797205600801</v>
      </c>
      <c r="O9">
        <v>8.8530852134980895E-2</v>
      </c>
      <c r="P9">
        <v>4.0970977010185199E-2</v>
      </c>
      <c r="Q9">
        <v>2.1608186720314899</v>
      </c>
      <c r="R9">
        <v>5.6115201911435798E-2</v>
      </c>
      <c r="S9">
        <v>0.112294442868602</v>
      </c>
      <c r="T9">
        <v>6.2612468798037002E-2</v>
      </c>
      <c r="U9">
        <v>1.7934837105819801</v>
      </c>
      <c r="V9">
        <v>0.10321622707089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9.4754037239790603E-2</v>
      </c>
      <c r="D10">
        <v>4.1550831069699E-2</v>
      </c>
      <c r="E10">
        <v>2.28043663148028</v>
      </c>
      <c r="F10">
        <v>4.5884090597383603E-2</v>
      </c>
      <c r="G10">
        <v>0.107178141271845</v>
      </c>
      <c r="H10">
        <v>3.8735947340834097E-2</v>
      </c>
      <c r="I10">
        <v>2.7668909276645302</v>
      </c>
      <c r="J10">
        <v>2.00348015877123E-2</v>
      </c>
      <c r="K10">
        <v>9.5218619057620496E-2</v>
      </c>
      <c r="L10">
        <v>3.5996339727488599E-2</v>
      </c>
      <c r="M10">
        <v>2.6452305922900998</v>
      </c>
      <c r="N10">
        <v>2.4650881107827101E-2</v>
      </c>
      <c r="O10">
        <v>0.13136769453960101</v>
      </c>
      <c r="P10">
        <v>4.3657702052339702E-2</v>
      </c>
      <c r="Q10">
        <v>3.0090382306908698</v>
      </c>
      <c r="R10">
        <v>1.3231538805011701E-2</v>
      </c>
      <c r="S10">
        <v>0.13549435529981901</v>
      </c>
      <c r="T10">
        <v>7.0607453960186306E-2</v>
      </c>
      <c r="U10">
        <v>1.91898089649601</v>
      </c>
      <c r="V10">
        <v>8.4097054061479395E-2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>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5.6703296423479002E-2</v>
      </c>
      <c r="D11">
        <v>8.5189793310873202E-2</v>
      </c>
      <c r="E11">
        <v>0.66561138629082295</v>
      </c>
      <c r="F11">
        <v>0.52381289749200299</v>
      </c>
      <c r="G11">
        <v>5.52093058329109E-2</v>
      </c>
      <c r="H11">
        <v>9.4111261470943106E-2</v>
      </c>
      <c r="I11">
        <v>0.58663867607339204</v>
      </c>
      <c r="J11">
        <v>0.57313561743119301</v>
      </c>
      <c r="K11">
        <v>3.3439016462427598E-2</v>
      </c>
      <c r="L11">
        <v>8.8101443107955202E-2</v>
      </c>
      <c r="M11">
        <v>0.37955129090738099</v>
      </c>
      <c r="N11">
        <v>0.71385901946699504</v>
      </c>
      <c r="O11">
        <v>6.4221071231596996E-2</v>
      </c>
      <c r="P11">
        <v>7.9187426964544894E-2</v>
      </c>
      <c r="Q11">
        <v>0.81100085825936896</v>
      </c>
      <c r="R11">
        <v>0.44018301388420999</v>
      </c>
      <c r="S11">
        <v>0.179972763421688</v>
      </c>
      <c r="T11">
        <v>0.120748665343656</v>
      </c>
      <c r="U11">
        <v>1.49047414238061</v>
      </c>
      <c r="V11">
        <v>0.17335164320889601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5.9369865286281201E-2</v>
      </c>
      <c r="D12">
        <v>2.9707328317199799E-2</v>
      </c>
      <c r="E12">
        <v>1.9984922458310601</v>
      </c>
      <c r="F12">
        <v>6.7941585872492993E-2</v>
      </c>
      <c r="G12">
        <v>4.8814134006889297E-2</v>
      </c>
      <c r="H12">
        <v>3.0272701455865698E-2</v>
      </c>
      <c r="I12">
        <v>1.61248027626656</v>
      </c>
      <c r="J12">
        <v>0.13174786235767</v>
      </c>
      <c r="K12">
        <v>1.208508365321E-2</v>
      </c>
      <c r="L12">
        <v>2.5858592520365702E-2</v>
      </c>
      <c r="M12">
        <v>0.46735272400042799</v>
      </c>
      <c r="N12">
        <v>0.64818991563496797</v>
      </c>
      <c r="O12">
        <v>-3.5312802119870597E-2</v>
      </c>
      <c r="P12">
        <v>2.18082884677692E-2</v>
      </c>
      <c r="Q12">
        <v>-1.6192376660855301</v>
      </c>
      <c r="R12">
        <v>0.13423075421109101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6.1038681629467101E-2</v>
      </c>
      <c r="D13">
        <v>2.9750958796487301E-2</v>
      </c>
      <c r="E13">
        <v>2.0516542692625399</v>
      </c>
      <c r="F13">
        <v>6.0492780121820799E-2</v>
      </c>
      <c r="G13">
        <v>6.4600968020002397E-2</v>
      </c>
      <c r="H13">
        <v>3.63215619320175E-2</v>
      </c>
      <c r="I13">
        <v>1.77858452620829</v>
      </c>
      <c r="J13">
        <v>9.8164817559478201E-2</v>
      </c>
      <c r="K13">
        <v>8.4983723897465793E-2</v>
      </c>
      <c r="L13">
        <v>4.21854628349577E-2</v>
      </c>
      <c r="M13">
        <v>2.0145262890666298</v>
      </c>
      <c r="N13">
        <v>6.4531028957343597E-2</v>
      </c>
      <c r="O13">
        <v>0.10463409009217001</v>
      </c>
      <c r="P13">
        <v>4.4005867916434203E-2</v>
      </c>
      <c r="Q13">
        <v>2.3777304038376599</v>
      </c>
      <c r="R13">
        <v>3.2903765043475697E-2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2.9309844612590601E-2</v>
      </c>
      <c r="D14">
        <v>2.3809364135277001E-2</v>
      </c>
      <c r="E14">
        <v>1.2310217293524399</v>
      </c>
      <c r="F14">
        <v>0.24317316745092599</v>
      </c>
      <c r="G14">
        <v>2.2898464789524099E-2</v>
      </c>
      <c r="H14">
        <v>2.6053544309875401E-2</v>
      </c>
      <c r="I14">
        <v>0.87890018022786298</v>
      </c>
      <c r="J14">
        <v>0.397798345268771</v>
      </c>
      <c r="K14">
        <v>8.0444445746953499E-3</v>
      </c>
      <c r="L14">
        <v>3.1986610905323003E-2</v>
      </c>
      <c r="M14">
        <v>0.25149412041513403</v>
      </c>
      <c r="N14">
        <v>0.80601135115385503</v>
      </c>
      <c r="O14">
        <v>-3.1478505445195798E-3</v>
      </c>
      <c r="P14">
        <v>3.3672795032839202E-2</v>
      </c>
      <c r="Q14">
        <v>-9.3483494359457298E-2</v>
      </c>
      <c r="R14">
        <v>0.92715117840097905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-3.2835960022944997E-2</v>
      </c>
      <c r="D15">
        <v>2.1910192807347101E-2</v>
      </c>
      <c r="E15">
        <v>-1.4986613906900099</v>
      </c>
      <c r="F15">
        <v>0.16645119983636</v>
      </c>
      <c r="G15">
        <v>-3.2132303249272097E-2</v>
      </c>
      <c r="H15">
        <v>2.2167356369469898E-2</v>
      </c>
      <c r="I15">
        <v>-1.4495324888414101</v>
      </c>
      <c r="J15">
        <v>0.17936354528399401</v>
      </c>
      <c r="K15">
        <v>-3.6991005645698898E-2</v>
      </c>
      <c r="L15">
        <v>2.6023433965749999E-2</v>
      </c>
      <c r="M15">
        <v>-1.4214498245843901</v>
      </c>
      <c r="N15">
        <v>0.18731193898454099</v>
      </c>
      <c r="O15">
        <v>-0.101131864399805</v>
      </c>
      <c r="P15">
        <v>5.2744729906344497E-2</v>
      </c>
      <c r="Q15">
        <v>-1.9173833021683599</v>
      </c>
      <c r="R15">
        <v>8.1622922356796607E-2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-9.8471710494133502E-3</v>
      </c>
      <c r="D16">
        <v>1.0310413355651801E-2</v>
      </c>
      <c r="E16">
        <v>-0.95507044283685005</v>
      </c>
      <c r="F16">
        <v>0.36246087947155903</v>
      </c>
      <c r="G16">
        <v>-7.7847162417437497E-3</v>
      </c>
      <c r="H16">
        <v>1.16576589378209E-2</v>
      </c>
      <c r="I16">
        <v>-0.66777697677256698</v>
      </c>
      <c r="J16">
        <v>0.51958230780813097</v>
      </c>
      <c r="K16">
        <v>3.1407662033798799E-3</v>
      </c>
      <c r="L16">
        <v>7.2453737151980304E-3</v>
      </c>
      <c r="M16">
        <v>0.43348574232848103</v>
      </c>
      <c r="N16">
        <v>0.67393126943475501</v>
      </c>
      <c r="O16">
        <v>8.2216898587092496E-2</v>
      </c>
      <c r="P16">
        <v>1.8981292008951298E-2</v>
      </c>
      <c r="Q16">
        <v>4.33147008898659</v>
      </c>
      <c r="R16">
        <v>1.1720712448454399E-3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5.1446001716130298E-4</v>
      </c>
      <c r="D17">
        <v>6.8388034311490901E-5</v>
      </c>
      <c r="E17">
        <v>7.5226612716789401</v>
      </c>
      <c r="F17">
        <v>4.0429753751723399E-5</v>
      </c>
      <c r="G17">
        <v>5.6248979502371201E-4</v>
      </c>
      <c r="H17">
        <v>7.6463595198289895E-5</v>
      </c>
      <c r="I17">
        <v>7.35630849641624</v>
      </c>
      <c r="J17">
        <v>5.2158004459801897E-5</v>
      </c>
      <c r="K17">
        <v>6.5424637830502395E-4</v>
      </c>
      <c r="L17">
        <v>6.5850049333724498E-5</v>
      </c>
      <c r="M17">
        <v>9.9353969347743298</v>
      </c>
      <c r="N17">
        <v>3.3783076414160101E-6</v>
      </c>
      <c r="O17">
        <v>7.1695472683371605E-4</v>
      </c>
      <c r="P17">
        <v>5.9725095708569598E-5</v>
      </c>
      <c r="Q17">
        <v>12.0042457584684</v>
      </c>
      <c r="R17">
        <v>9.7635320030419403E-7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-2.15610008010448E-2</v>
      </c>
      <c r="D18">
        <v>6.7077053164217304E-3</v>
      </c>
      <c r="E18">
        <v>-3.2143631516219799</v>
      </c>
      <c r="F18">
        <v>1.2787528851122301E-2</v>
      </c>
      <c r="G18">
        <v>-2.3394933913457799E-2</v>
      </c>
      <c r="H18">
        <v>6.6376591502474002E-3</v>
      </c>
      <c r="I18">
        <v>-3.5245759663006901</v>
      </c>
      <c r="J18">
        <v>8.21560834410953E-3</v>
      </c>
      <c r="K18">
        <v>-2.0592050335437401E-2</v>
      </c>
      <c r="L18">
        <v>8.08827167773323E-3</v>
      </c>
      <c r="M18">
        <v>-2.5459147709054699</v>
      </c>
      <c r="N18">
        <v>3.4427696437709598E-2</v>
      </c>
      <c r="O18">
        <v>-2.3623434327507301E-2</v>
      </c>
      <c r="P18">
        <v>7.9167782950946598E-3</v>
      </c>
      <c r="Q18">
        <v>-2.9839706818801202</v>
      </c>
      <c r="R18">
        <v>1.8080361365137E-2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0.209371013606615</v>
      </c>
      <c r="D19">
        <v>9.0775567551632894E-2</v>
      </c>
      <c r="E19">
        <v>2.3064687916990998</v>
      </c>
      <c r="F19">
        <v>5.2380917003220902E-2</v>
      </c>
      <c r="G19">
        <v>0.243410298101878</v>
      </c>
      <c r="H19">
        <v>9.6469765668281901E-2</v>
      </c>
      <c r="I19">
        <v>2.5231770432496101</v>
      </c>
      <c r="J19">
        <v>3.7900914552995497E-2</v>
      </c>
      <c r="K19">
        <v>0.24216651148947299</v>
      </c>
      <c r="L19">
        <v>0.113039744440845</v>
      </c>
      <c r="M19">
        <v>2.1423129775050298</v>
      </c>
      <c r="N19">
        <v>6.6705417808523099E-2</v>
      </c>
      <c r="O19">
        <v>0.26125655358500999</v>
      </c>
      <c r="P19">
        <v>0.120467711429057</v>
      </c>
      <c r="Q19">
        <v>2.1686852890773398</v>
      </c>
      <c r="R19">
        <v>6.5433642917411994E-2</v>
      </c>
      <c r="AB19" t="str">
        <f t="shared" si="0"/>
        <v>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-5.3778222411712297E-3</v>
      </c>
      <c r="D20">
        <v>9.6855883128441705E-2</v>
      </c>
      <c r="E20">
        <v>-5.5523960625495902E-2</v>
      </c>
      <c r="F20">
        <v>0.95753676773571805</v>
      </c>
      <c r="G20">
        <v>-1.6947282540935301E-2</v>
      </c>
      <c r="H20">
        <v>0.10852411261940099</v>
      </c>
      <c r="I20">
        <v>-0.15616144773623</v>
      </c>
      <c r="J20">
        <v>0.88106395251980396</v>
      </c>
      <c r="K20">
        <v>3.56201892941247E-2</v>
      </c>
      <c r="L20">
        <v>8.7564223502985095E-2</v>
      </c>
      <c r="M20">
        <v>0.406789301259668</v>
      </c>
      <c r="N20">
        <v>0.69838027314958995</v>
      </c>
      <c r="O20">
        <v>-1.6108527359613999E-2</v>
      </c>
      <c r="P20">
        <v>0.114185145523842</v>
      </c>
      <c r="Q20">
        <v>-0.14107375601015101</v>
      </c>
      <c r="R20">
        <v>0.89247323189730698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9.8206368663593099E-2</v>
      </c>
      <c r="D21">
        <v>1.21563097817746E-2</v>
      </c>
      <c r="E21">
        <v>8.0786332716553204</v>
      </c>
      <c r="F21">
        <v>6.3304123692965596E-6</v>
      </c>
      <c r="G21">
        <v>0.103342044538174</v>
      </c>
      <c r="H21">
        <v>1.5956515457875398E-2</v>
      </c>
      <c r="I21">
        <v>6.4764794551162099</v>
      </c>
      <c r="J21">
        <v>4.8303763943839803E-5</v>
      </c>
      <c r="K21">
        <v>0.131869910527602</v>
      </c>
      <c r="L21">
        <v>1.7363228259421101E-2</v>
      </c>
      <c r="M21">
        <v>7.59478068002998</v>
      </c>
      <c r="N21">
        <v>1.1021691244080699E-5</v>
      </c>
      <c r="O21">
        <v>0.153494734473829</v>
      </c>
      <c r="P21">
        <v>2.69987851220896E-2</v>
      </c>
      <c r="Q21">
        <v>5.6852459760585301</v>
      </c>
      <c r="R21">
        <v>1.5059768970307201E-4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5.4711599348340599E-2</v>
      </c>
      <c r="D22">
        <v>5.54251084820305E-3</v>
      </c>
      <c r="E22">
        <v>9.87126608260564</v>
      </c>
      <c r="F22">
        <v>6.8412581027198796E-7</v>
      </c>
      <c r="G22">
        <v>5.6211725534076599E-2</v>
      </c>
      <c r="H22">
        <v>6.9041083755657E-3</v>
      </c>
      <c r="I22">
        <v>8.1417791373344102</v>
      </c>
      <c r="J22">
        <v>4.68279910554441E-6</v>
      </c>
      <c r="K22">
        <v>6.90156301056188E-2</v>
      </c>
      <c r="L22">
        <v>1.1734830022180899E-2</v>
      </c>
      <c r="M22">
        <v>5.8812637230506999</v>
      </c>
      <c r="N22">
        <v>9.5259500264194494E-5</v>
      </c>
      <c r="O22">
        <v>7.2949773224235195E-2</v>
      </c>
      <c r="P22">
        <v>1.3075015332507401E-2</v>
      </c>
      <c r="Q22">
        <v>5.5793260175279604</v>
      </c>
      <c r="R22">
        <v>1.5414210556499001E-4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-9.4952389157790598E-2</v>
      </c>
      <c r="D23">
        <v>1.15352458204829E-2</v>
      </c>
      <c r="E23">
        <v>-8.2315011431473106</v>
      </c>
      <c r="F23">
        <v>3.5578079979325601E-6</v>
      </c>
      <c r="G23">
        <v>-9.87974842904462E-2</v>
      </c>
      <c r="H23">
        <v>1.18131876520898E-2</v>
      </c>
      <c r="I23">
        <v>-8.3633213320680806</v>
      </c>
      <c r="J23">
        <v>3.0404852909705898E-6</v>
      </c>
      <c r="K23">
        <v>-0.111300018839554</v>
      </c>
      <c r="L23">
        <v>1.8442115731410899E-2</v>
      </c>
      <c r="M23">
        <v>-6.0351003355859998</v>
      </c>
      <c r="N23">
        <v>6.8687286502131903E-5</v>
      </c>
      <c r="O23">
        <v>-9.7226787589936095E-2</v>
      </c>
      <c r="P23">
        <v>1.80384862231233E-2</v>
      </c>
      <c r="Q23">
        <v>-5.3899637911579603</v>
      </c>
      <c r="R23">
        <v>1.8547254464783099E-4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-1.9401586756728598E-2</v>
      </c>
      <c r="D24">
        <v>2.0050380246048501E-2</v>
      </c>
      <c r="E24">
        <v>-0.96764183614683197</v>
      </c>
      <c r="F24">
        <v>0.35578199225086699</v>
      </c>
      <c r="G24">
        <v>-2.03998162921466E-2</v>
      </c>
      <c r="H24">
        <v>2.06702176630288E-2</v>
      </c>
      <c r="I24">
        <v>-0.98691831042660805</v>
      </c>
      <c r="J24">
        <v>0.34673786375607302</v>
      </c>
      <c r="K24">
        <v>3.7413949511567101E-3</v>
      </c>
      <c r="L24">
        <v>2.57030739793318E-2</v>
      </c>
      <c r="M24">
        <v>0.145562159380828</v>
      </c>
      <c r="N24">
        <v>0.88712211579878097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1.15532744823912E-2</v>
      </c>
      <c r="D25">
        <v>5.0492267330724698E-2</v>
      </c>
      <c r="E25">
        <v>0.22881274882581901</v>
      </c>
      <c r="F25">
        <v>0.82616374983879204</v>
      </c>
      <c r="G25">
        <v>1.8646228412209899E-2</v>
      </c>
      <c r="H25">
        <v>6.2229477125375299E-2</v>
      </c>
      <c r="I25">
        <v>0.299636591428252</v>
      </c>
      <c r="J25">
        <v>0.77398636611029903</v>
      </c>
      <c r="K25">
        <v>3.86630061688489E-2</v>
      </c>
      <c r="L25">
        <v>8.6567004211916002E-2</v>
      </c>
      <c r="M25">
        <v>0.44662520692297297</v>
      </c>
      <c r="N25">
        <v>0.66999827055501104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-2.5423637548807901E-2</v>
      </c>
      <c r="D26">
        <v>8.7228096760266494E-3</v>
      </c>
      <c r="E26">
        <v>-2.9146156448513301</v>
      </c>
      <c r="F26">
        <v>1.41536286370914E-2</v>
      </c>
      <c r="G26">
        <v>-2.8460766591295799E-2</v>
      </c>
      <c r="H26">
        <v>1.12832915442621E-2</v>
      </c>
      <c r="I26">
        <v>-2.5223815656672302</v>
      </c>
      <c r="J26">
        <v>2.8484943408930301E-2</v>
      </c>
      <c r="K26">
        <v>-1.10796514869223E-2</v>
      </c>
      <c r="L26">
        <v>1.19566199574035E-2</v>
      </c>
      <c r="M26">
        <v>-0.92665414861344797</v>
      </c>
      <c r="N26">
        <v>0.374191860098466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6.2546717920746606E-2</v>
      </c>
      <c r="D27">
        <v>2.31913580052301E-2</v>
      </c>
      <c r="E27">
        <v>2.6969838465967002</v>
      </c>
      <c r="F27">
        <v>2.8407261204832002E-2</v>
      </c>
      <c r="G27">
        <v>8.4068357483388895E-2</v>
      </c>
      <c r="H27">
        <v>2.40736271440328E-2</v>
      </c>
      <c r="I27">
        <v>3.49213506466669</v>
      </c>
      <c r="J27">
        <v>8.6777544383732901E-3</v>
      </c>
      <c r="K27">
        <v>8.0302480331697804E-2</v>
      </c>
      <c r="L27">
        <v>2.84847770796357E-2</v>
      </c>
      <c r="M27">
        <v>2.81913669561794</v>
      </c>
      <c r="N27">
        <v>2.3063202316318102E-2</v>
      </c>
      <c r="AB27" t="str">
        <f t="shared" si="0"/>
        <v>**</v>
      </c>
      <c r="AC27" t="str">
        <f t="shared" si="1"/>
        <v>***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1.7393928606608301E-2</v>
      </c>
      <c r="D28">
        <v>2.5088369650244101E-2</v>
      </c>
      <c r="E28">
        <v>0.69330645430916404</v>
      </c>
      <c r="F28">
        <v>0.50187274916082303</v>
      </c>
      <c r="G28">
        <v>2.49782726855588E-2</v>
      </c>
      <c r="H28">
        <v>2.2638213333056101E-2</v>
      </c>
      <c r="I28">
        <v>1.1033676694390799</v>
      </c>
      <c r="J28">
        <v>0.29245393662116698</v>
      </c>
      <c r="K28">
        <v>-7.0508271658485597E-3</v>
      </c>
      <c r="L28">
        <v>3.6459920956147397E-2</v>
      </c>
      <c r="M28">
        <v>-0.19338569533184199</v>
      </c>
      <c r="N28">
        <v>0.84996015876966102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5.82915953226596E-3</v>
      </c>
      <c r="D29">
        <v>0.117860770632845</v>
      </c>
      <c r="E29">
        <v>4.9458013051897697E-2</v>
      </c>
      <c r="F29">
        <v>0.96610327424092202</v>
      </c>
      <c r="G29">
        <v>3.1377325387566303E-2</v>
      </c>
      <c r="H29">
        <v>0.13016999421154399</v>
      </c>
      <c r="I29">
        <v>0.24104883446928399</v>
      </c>
      <c r="J29">
        <v>0.83737190585535304</v>
      </c>
      <c r="K29">
        <v>3.8535802998414199E-2</v>
      </c>
      <c r="L29">
        <v>0.12677456626546599</v>
      </c>
      <c r="M29">
        <v>0.303971089261864</v>
      </c>
      <c r="N29">
        <v>0.79686434796980299</v>
      </c>
      <c r="AB29" t="str">
        <f t="shared" ref="AB29:AB62" si="6">IF(F29&lt;0.01,"***",IF(F29&lt;0.05,"**",IF(F29&lt;0.1,"*","")))</f>
        <v/>
      </c>
      <c r="AC29" t="str">
        <f t="shared" ref="AC29:AC62" si="7">IF(J29&lt;0.01,"***",IF(J29&lt;0.05,"**",IF(J29&lt;0.1,"*","")))</f>
        <v/>
      </c>
      <c r="AD29" t="str">
        <f t="shared" ref="AD29:AD62" si="8">IF(N29&lt;0.01,"***",IF(N29&lt;0.05,"**",IF(N29&lt;0.1,"*","")))</f>
        <v/>
      </c>
      <c r="AE29" t="str">
        <f t="shared" ref="AE29:AE62" si="9">IF(R29&lt;0.01,"***",IF(R29&lt;0.05,"**",IF(R29&lt;0.1,"*","")))</f>
        <v>***</v>
      </c>
      <c r="AF29" t="str">
        <f t="shared" ref="AF29:AF62" si="10">IF(V29&lt;0.01,"***",IF(V29&lt;0.05,"**",IF(V29&lt;0.1,"*","")))</f>
        <v>***</v>
      </c>
      <c r="AG29" t="str">
        <f t="shared" ref="AG29:AG62" si="11">IF(Z29&lt;0.01,"***",IF(Z29&lt;0.05,"**",IF(Z29&lt;0.1,"*","")))</f>
        <v>***</v>
      </c>
    </row>
    <row r="30" spans="1:33" x14ac:dyDescent="0.25">
      <c r="A30">
        <v>55</v>
      </c>
      <c r="AB30" t="str">
        <f t="shared" si="6"/>
        <v>***</v>
      </c>
      <c r="AC30" t="str">
        <f t="shared" si="7"/>
        <v>***</v>
      </c>
      <c r="AD30" t="str">
        <f t="shared" si="8"/>
        <v>***</v>
      </c>
      <c r="AE30" t="str">
        <f t="shared" si="9"/>
        <v>***</v>
      </c>
      <c r="AF30" t="str">
        <f t="shared" si="10"/>
        <v>***</v>
      </c>
      <c r="AG30" t="str">
        <f t="shared" si="11"/>
        <v>***</v>
      </c>
    </row>
    <row r="31" spans="1:33" x14ac:dyDescent="0.25">
      <c r="A31">
        <v>57</v>
      </c>
      <c r="B31" t="s">
        <v>31</v>
      </c>
      <c r="C31">
        <v>3.2515621922340199E-3</v>
      </c>
      <c r="D31">
        <v>1.3597210115038999E-2</v>
      </c>
      <c r="E31">
        <v>0.23913451103014699</v>
      </c>
      <c r="F31">
        <v>0.81500412456154703</v>
      </c>
      <c r="G31">
        <v>-2.41720913145147E-3</v>
      </c>
      <c r="H31">
        <v>1.4609861051993E-2</v>
      </c>
      <c r="I31">
        <v>-0.165450521592861</v>
      </c>
      <c r="J31">
        <v>0.87131744992675997</v>
      </c>
      <c r="K31">
        <v>-2.9136802763964301E-2</v>
      </c>
      <c r="L31">
        <v>2.8264124700634101E-2</v>
      </c>
      <c r="M31">
        <v>-1.03087582129549</v>
      </c>
      <c r="N31">
        <v>0.32265324679414598</v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>***</v>
      </c>
      <c r="AF31" t="str">
        <f t="shared" si="10"/>
        <v>***</v>
      </c>
      <c r="AG31" t="str">
        <f t="shared" si="11"/>
        <v>***</v>
      </c>
    </row>
    <row r="32" spans="1:33" x14ac:dyDescent="0.25">
      <c r="A32">
        <v>59</v>
      </c>
      <c r="B32" t="s">
        <v>28</v>
      </c>
      <c r="C32">
        <v>-3.1835084808902202E-2</v>
      </c>
      <c r="D32">
        <v>6.5103063528494903E-2</v>
      </c>
      <c r="E32">
        <v>-0.48899518829814098</v>
      </c>
      <c r="F32">
        <v>0.64939707771487998</v>
      </c>
      <c r="G32">
        <v>-2.27332877538362E-2</v>
      </c>
      <c r="H32">
        <v>6.3809743514601405E-2</v>
      </c>
      <c r="I32">
        <v>-0.35626671573494501</v>
      </c>
      <c r="J32">
        <v>0.738974842510151</v>
      </c>
      <c r="K32">
        <v>-1.27280053040578E-2</v>
      </c>
      <c r="L32">
        <v>6.8523802600166703E-2</v>
      </c>
      <c r="M32">
        <v>-0.18574575287838499</v>
      </c>
      <c r="N32">
        <v>0.86134507586661402</v>
      </c>
      <c r="AB32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>***</v>
      </c>
      <c r="AF32" t="str">
        <f t="shared" si="10"/>
        <v>***</v>
      </c>
      <c r="AG32" t="str">
        <f t="shared" si="11"/>
        <v>***</v>
      </c>
    </row>
    <row r="33" spans="1:33" x14ac:dyDescent="0.25">
      <c r="A33">
        <v>61</v>
      </c>
      <c r="B33" t="s">
        <v>235</v>
      </c>
      <c r="C33">
        <v>-0.118648459259017</v>
      </c>
      <c r="D33">
        <v>0.11905995277804</v>
      </c>
      <c r="E33">
        <v>-0.99654381251275803</v>
      </c>
      <c r="F33">
        <v>0.43141946625104099</v>
      </c>
      <c r="G33">
        <v>-0.141966368414532</v>
      </c>
      <c r="H33">
        <v>0.11411137332014901</v>
      </c>
      <c r="I33">
        <v>-1.2441035830515601</v>
      </c>
      <c r="J33">
        <v>0.34863168809779699</v>
      </c>
      <c r="K33">
        <v>3.6177315517893299E-2</v>
      </c>
      <c r="L33">
        <v>5.5757779727355697E-2</v>
      </c>
      <c r="M33">
        <v>0.64882991566007597</v>
      </c>
      <c r="N33">
        <v>0.58894240923064001</v>
      </c>
      <c r="AB33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>***</v>
      </c>
      <c r="AF33" t="str">
        <f t="shared" si="10"/>
        <v>***</v>
      </c>
      <c r="AG33" t="str">
        <f t="shared" si="11"/>
        <v>***</v>
      </c>
    </row>
    <row r="34" spans="1:33" x14ac:dyDescent="0.25">
      <c r="A34">
        <v>63</v>
      </c>
      <c r="B34" t="s">
        <v>236</v>
      </c>
      <c r="C34">
        <v>6.6326472986914006E-2</v>
      </c>
      <c r="D34">
        <v>5.4692557315436999E-2</v>
      </c>
      <c r="E34">
        <v>1.21271478684712</v>
      </c>
      <c r="F34">
        <v>0.25130784082622698</v>
      </c>
      <c r="G34">
        <v>6.6668469556683804E-2</v>
      </c>
      <c r="H34">
        <v>5.8613544047303297E-2</v>
      </c>
      <c r="I34">
        <v>1.1374243042338501</v>
      </c>
      <c r="J34">
        <v>0.280034855174708</v>
      </c>
      <c r="K34">
        <v>0.102653997196786</v>
      </c>
      <c r="L34">
        <v>6.6952462649041797E-2</v>
      </c>
      <c r="M34">
        <v>1.53323706306201</v>
      </c>
      <c r="N34">
        <v>0.156605599834925</v>
      </c>
      <c r="AB3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>***</v>
      </c>
      <c r="AF34" t="str">
        <f t="shared" si="10"/>
        <v>***</v>
      </c>
      <c r="AG34" t="str">
        <f t="shared" si="11"/>
        <v>***</v>
      </c>
    </row>
    <row r="35" spans="1:33" x14ac:dyDescent="0.25">
      <c r="A35">
        <v>65</v>
      </c>
      <c r="B35" t="s">
        <v>238</v>
      </c>
      <c r="C35">
        <v>1.5779335113802299E-2</v>
      </c>
      <c r="D35">
        <v>2.7285775314150901E-2</v>
      </c>
      <c r="E35">
        <v>0.57829894632383305</v>
      </c>
      <c r="F35">
        <v>0.57883921511147696</v>
      </c>
      <c r="G35">
        <v>4.21612026832043E-2</v>
      </c>
      <c r="H35">
        <v>3.3982216668635302E-2</v>
      </c>
      <c r="I35">
        <v>1.2406842995065099</v>
      </c>
      <c r="J35">
        <v>0.24986049959311901</v>
      </c>
      <c r="K35">
        <v>3.7014595841620403E-2</v>
      </c>
      <c r="L35">
        <v>4.4861451227537201E-2</v>
      </c>
      <c r="M35">
        <v>0.82508690264794304</v>
      </c>
      <c r="N35">
        <v>0.435557962983605</v>
      </c>
      <c r="AB35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>***</v>
      </c>
      <c r="AF35" t="str">
        <f t="shared" si="10"/>
        <v>***</v>
      </c>
      <c r="AG35" t="str">
        <f t="shared" si="11"/>
        <v>***</v>
      </c>
    </row>
    <row r="36" spans="1:33" x14ac:dyDescent="0.25">
      <c r="A36">
        <v>67</v>
      </c>
      <c r="B36" t="s">
        <v>240</v>
      </c>
      <c r="C36">
        <v>2.6222163124155502E-2</v>
      </c>
      <c r="D36">
        <v>5.6607258171616097E-2</v>
      </c>
      <c r="E36">
        <v>0.46322969829518701</v>
      </c>
      <c r="F36">
        <v>0.65113919313790003</v>
      </c>
      <c r="G36">
        <v>3.1280964114419801E-2</v>
      </c>
      <c r="H36">
        <v>5.8160638445719101E-2</v>
      </c>
      <c r="I36">
        <v>0.537837357882756</v>
      </c>
      <c r="J36">
        <v>0.60010677020689696</v>
      </c>
      <c r="K36">
        <v>2.84029222229303E-2</v>
      </c>
      <c r="L36">
        <v>5.0995930730576899E-2</v>
      </c>
      <c r="M36">
        <v>0.55696448355829398</v>
      </c>
      <c r="N36">
        <v>0.58935568710698505</v>
      </c>
      <c r="AB36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>***</v>
      </c>
      <c r="AF36" t="str">
        <f t="shared" si="10"/>
        <v>***</v>
      </c>
      <c r="AG36" t="str">
        <f t="shared" si="11"/>
        <v>***</v>
      </c>
    </row>
    <row r="37" spans="1:33" x14ac:dyDescent="0.25">
      <c r="A37">
        <v>69</v>
      </c>
      <c r="B37" t="s">
        <v>241</v>
      </c>
      <c r="C37">
        <v>6.2386475929040702E-2</v>
      </c>
      <c r="D37">
        <v>6.1341877928963402E-2</v>
      </c>
      <c r="E37">
        <v>1.0170291167363199</v>
      </c>
      <c r="F37">
        <v>0.33352453913406999</v>
      </c>
      <c r="G37">
        <v>6.08504513298374E-2</v>
      </c>
      <c r="H37">
        <v>7.8358026695378002E-2</v>
      </c>
      <c r="I37">
        <v>0.77656947087753403</v>
      </c>
      <c r="J37">
        <v>0.455730353749353</v>
      </c>
      <c r="K37">
        <v>0.13874234909836</v>
      </c>
      <c r="L37">
        <v>8.1142766614381495E-2</v>
      </c>
      <c r="M37">
        <v>1.7098548014478201</v>
      </c>
      <c r="N37">
        <v>0.122128710915552</v>
      </c>
      <c r="AB37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>***</v>
      </c>
      <c r="AF37" t="str">
        <f t="shared" si="10"/>
        <v>***</v>
      </c>
      <c r="AG37" t="str">
        <f t="shared" si="11"/>
        <v>***</v>
      </c>
    </row>
    <row r="38" spans="1:33" x14ac:dyDescent="0.25">
      <c r="A38">
        <v>71</v>
      </c>
      <c r="B38" t="s">
        <v>243</v>
      </c>
      <c r="C38">
        <v>4.7864703563460197E-2</v>
      </c>
      <c r="D38">
        <v>0.104686939281195</v>
      </c>
      <c r="E38">
        <v>0.45721752772705498</v>
      </c>
      <c r="F38">
        <v>0.65638749218548698</v>
      </c>
      <c r="G38">
        <v>0.137941068688648</v>
      </c>
      <c r="H38">
        <v>0.101916435381999</v>
      </c>
      <c r="I38">
        <v>1.3534722655047999</v>
      </c>
      <c r="J38">
        <v>0.20226898247542899</v>
      </c>
      <c r="K38">
        <v>0.237029766720987</v>
      </c>
      <c r="L38">
        <v>0.11266495744496199</v>
      </c>
      <c r="M38">
        <v>2.1038464141503699</v>
      </c>
      <c r="N38">
        <v>6.2817664138763496E-2</v>
      </c>
      <c r="AB38" t="str">
        <f t="shared" si="6"/>
        <v/>
      </c>
      <c r="AC38" t="str">
        <f t="shared" si="7"/>
        <v/>
      </c>
      <c r="AD38" t="str">
        <f t="shared" si="8"/>
        <v>*</v>
      </c>
      <c r="AE38" t="str">
        <f t="shared" si="9"/>
        <v>***</v>
      </c>
      <c r="AF38" t="str">
        <f t="shared" si="10"/>
        <v>***</v>
      </c>
      <c r="AG38" t="str">
        <f t="shared" si="11"/>
        <v>***</v>
      </c>
    </row>
    <row r="39" spans="1:33" x14ac:dyDescent="0.25">
      <c r="A39">
        <v>73</v>
      </c>
      <c r="B39" t="s">
        <v>245</v>
      </c>
      <c r="C39">
        <v>0.25947347075712901</v>
      </c>
      <c r="D39">
        <v>0.138393878434553</v>
      </c>
      <c r="E39">
        <v>1.87489124296661</v>
      </c>
      <c r="F39">
        <v>0.14432974744806801</v>
      </c>
      <c r="G39">
        <v>0.50019071903430401</v>
      </c>
      <c r="H39">
        <v>0.13784854445764499</v>
      </c>
      <c r="I39">
        <v>3.6285527787200702</v>
      </c>
      <c r="J39">
        <v>2.5221796382189299E-2</v>
      </c>
      <c r="K39">
        <v>0.59063280792405404</v>
      </c>
      <c r="L39">
        <v>9.4777626951193905E-2</v>
      </c>
      <c r="M39">
        <v>6.2317745962156597</v>
      </c>
      <c r="N39">
        <v>5.6255199676469103E-3</v>
      </c>
      <c r="AB39" t="str">
        <f t="shared" si="6"/>
        <v/>
      </c>
      <c r="AC39" t="str">
        <f t="shared" si="7"/>
        <v>**</v>
      </c>
      <c r="AD39" t="str">
        <f t="shared" si="8"/>
        <v>***</v>
      </c>
      <c r="AE39" t="str">
        <f t="shared" si="9"/>
        <v>***</v>
      </c>
      <c r="AF39" t="str">
        <f t="shared" si="10"/>
        <v>***</v>
      </c>
      <c r="AG39" t="str">
        <f t="shared" si="11"/>
        <v>***</v>
      </c>
    </row>
    <row r="40" spans="1:33" x14ac:dyDescent="0.25">
      <c r="A40">
        <v>75</v>
      </c>
      <c r="B40" t="s">
        <v>166</v>
      </c>
      <c r="C40">
        <v>0.27394731495380897</v>
      </c>
      <c r="D40">
        <v>2.2832683521606899E-2</v>
      </c>
      <c r="E40">
        <v>11.9980340766589</v>
      </c>
      <c r="F40">
        <v>5.8763700371605998E-3</v>
      </c>
      <c r="G40">
        <v>0.226969499204835</v>
      </c>
      <c r="H40">
        <v>4.1321225793383702E-2</v>
      </c>
      <c r="I40">
        <v>5.4928065382120703</v>
      </c>
      <c r="J40">
        <v>3.2078632906315602E-2</v>
      </c>
      <c r="K40">
        <v>0.22383890335919701</v>
      </c>
      <c r="L40">
        <v>4.46177101027352E-2</v>
      </c>
      <c r="M40">
        <v>5.0168173768620798</v>
      </c>
      <c r="N40">
        <v>3.7284806475716602E-2</v>
      </c>
      <c r="AB40" t="str">
        <f t="shared" si="6"/>
        <v>***</v>
      </c>
      <c r="AC40" t="str">
        <f t="shared" si="7"/>
        <v>**</v>
      </c>
      <c r="AD40" t="str">
        <f t="shared" si="8"/>
        <v>**</v>
      </c>
      <c r="AE40" t="str">
        <f t="shared" si="9"/>
        <v>***</v>
      </c>
      <c r="AF40" t="str">
        <f t="shared" si="10"/>
        <v>***</v>
      </c>
      <c r="AG40" t="str">
        <f t="shared" si="11"/>
        <v>***</v>
      </c>
    </row>
    <row r="41" spans="1:33" x14ac:dyDescent="0.25">
      <c r="A41">
        <v>77</v>
      </c>
      <c r="B41" t="s">
        <v>167</v>
      </c>
      <c r="C41">
        <v>0.31963005253821702</v>
      </c>
      <c r="D41">
        <v>3.85403246518796E-2</v>
      </c>
      <c r="E41">
        <v>8.2933928404941106</v>
      </c>
      <c r="F41">
        <v>2.6484005135988999E-3</v>
      </c>
      <c r="G41">
        <v>0.27426493827326798</v>
      </c>
      <c r="H41">
        <v>5.8995378641238098E-2</v>
      </c>
      <c r="I41">
        <v>4.6489224171459904</v>
      </c>
      <c r="J41">
        <v>1.69984832275859E-2</v>
      </c>
      <c r="K41">
        <v>0.27892154557394699</v>
      </c>
      <c r="L41">
        <v>6.4430087130407099E-2</v>
      </c>
      <c r="M41">
        <v>4.3290574015429604</v>
      </c>
      <c r="N41">
        <v>2.07494844408656E-2</v>
      </c>
      <c r="AB41" t="str">
        <f t="shared" si="6"/>
        <v>***</v>
      </c>
      <c r="AC41" t="str">
        <f t="shared" si="7"/>
        <v>**</v>
      </c>
      <c r="AD41" t="str">
        <f t="shared" si="8"/>
        <v>**</v>
      </c>
      <c r="AE41" t="str">
        <f t="shared" si="9"/>
        <v>***</v>
      </c>
      <c r="AF41" t="str">
        <f t="shared" si="10"/>
        <v>***</v>
      </c>
      <c r="AG41" t="str">
        <f t="shared" si="11"/>
        <v>***</v>
      </c>
    </row>
    <row r="42" spans="1:33" x14ac:dyDescent="0.25">
      <c r="A42">
        <v>79</v>
      </c>
      <c r="B42" t="s">
        <v>168</v>
      </c>
      <c r="C42">
        <v>0.37927731843999202</v>
      </c>
      <c r="D42">
        <v>0.11455081627666799</v>
      </c>
      <c r="E42">
        <v>3.31099620908808</v>
      </c>
      <c r="F42">
        <v>1.09856060780329E-2</v>
      </c>
      <c r="G42">
        <v>0.31628635786713799</v>
      </c>
      <c r="H42">
        <v>0.139649261996278</v>
      </c>
      <c r="I42">
        <v>2.2648623655137299</v>
      </c>
      <c r="J42">
        <v>5.3805593741119102E-2</v>
      </c>
      <c r="K42">
        <v>0.24926702830500899</v>
      </c>
      <c r="L42">
        <v>0.14709161190312101</v>
      </c>
      <c r="M42">
        <v>1.69463795440072</v>
      </c>
      <c r="N42">
        <v>0.12916966702928501</v>
      </c>
      <c r="AB42" t="str">
        <f t="shared" si="6"/>
        <v>**</v>
      </c>
      <c r="AC42" t="str">
        <f t="shared" si="7"/>
        <v>*</v>
      </c>
      <c r="AD42" t="str">
        <f t="shared" si="8"/>
        <v/>
      </c>
      <c r="AE42" t="str">
        <f t="shared" si="9"/>
        <v>***</v>
      </c>
      <c r="AF42" t="str">
        <f t="shared" si="10"/>
        <v>***</v>
      </c>
      <c r="AG42" t="str">
        <f t="shared" si="11"/>
        <v>***</v>
      </c>
    </row>
    <row r="43" spans="1:33" x14ac:dyDescent="0.25">
      <c r="A43">
        <v>81</v>
      </c>
      <c r="B43" t="s">
        <v>169</v>
      </c>
      <c r="C43">
        <v>0.28223692488660002</v>
      </c>
      <c r="D43">
        <v>6.9885499390852202E-2</v>
      </c>
      <c r="E43">
        <v>4.0385620385728203</v>
      </c>
      <c r="F43">
        <v>6.5107406533388501E-3</v>
      </c>
      <c r="G43">
        <v>0.22036035216881</v>
      </c>
      <c r="H43">
        <v>8.3549055077097506E-2</v>
      </c>
      <c r="I43">
        <v>2.6374966415295198</v>
      </c>
      <c r="J43">
        <v>3.8540453859510999E-2</v>
      </c>
      <c r="K43">
        <v>0.17774995715814201</v>
      </c>
      <c r="L43">
        <v>8.9374636963250598E-2</v>
      </c>
      <c r="M43">
        <v>1.9888187879435</v>
      </c>
      <c r="N43">
        <v>9.3917683681868605E-2</v>
      </c>
      <c r="AB43" t="str">
        <f t="shared" si="6"/>
        <v>***</v>
      </c>
      <c r="AC43" t="str">
        <f t="shared" si="7"/>
        <v>**</v>
      </c>
      <c r="AD43" t="str">
        <f t="shared" si="8"/>
        <v>*</v>
      </c>
      <c r="AE43" t="str">
        <f t="shared" si="9"/>
        <v>***</v>
      </c>
      <c r="AF43" t="str">
        <f t="shared" si="10"/>
        <v>***</v>
      </c>
      <c r="AG43" t="str">
        <f t="shared" si="11"/>
        <v>***</v>
      </c>
    </row>
    <row r="44" spans="1:33" x14ac:dyDescent="0.25">
      <c r="A44">
        <v>83</v>
      </c>
      <c r="B44" t="s">
        <v>170</v>
      </c>
      <c r="C44">
        <v>4.6029430823091001E-2</v>
      </c>
      <c r="D44">
        <v>0.21190844069339701</v>
      </c>
      <c r="E44">
        <v>0.21721376775967799</v>
      </c>
      <c r="F44">
        <v>0.83363878844041595</v>
      </c>
      <c r="G44">
        <v>-6.4106914635844101E-2</v>
      </c>
      <c r="H44">
        <v>0.26752545146475698</v>
      </c>
      <c r="I44">
        <v>-0.239629217649556</v>
      </c>
      <c r="J44">
        <v>0.81683513715098399</v>
      </c>
      <c r="K44">
        <v>-0.16403204752575501</v>
      </c>
      <c r="L44">
        <v>0.29164391792247402</v>
      </c>
      <c r="M44">
        <v>-0.56243945937305095</v>
      </c>
      <c r="N44">
        <v>0.58973969129286397</v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>***</v>
      </c>
      <c r="AF44" t="str">
        <f t="shared" si="10"/>
        <v>***</v>
      </c>
      <c r="AG44" t="str">
        <f t="shared" si="11"/>
        <v>***</v>
      </c>
    </row>
    <row r="45" spans="1:33" x14ac:dyDescent="0.25">
      <c r="A45">
        <v>85</v>
      </c>
      <c r="B45" t="s">
        <v>50</v>
      </c>
      <c r="C45">
        <v>1.2809934656728001E-4</v>
      </c>
      <c r="D45">
        <v>1.2752452005309101E-4</v>
      </c>
      <c r="E45">
        <v>1.0045075763778599</v>
      </c>
      <c r="F45">
        <v>0.348485260520917</v>
      </c>
      <c r="G45">
        <v>2.4847401913318098E-4</v>
      </c>
      <c r="H45">
        <v>1.48945890288762E-4</v>
      </c>
      <c r="I45">
        <v>1.66821668359875</v>
      </c>
      <c r="J45">
        <v>0.139167735275781</v>
      </c>
      <c r="K45">
        <v>3.3249410490773398E-5</v>
      </c>
      <c r="L45">
        <v>1.8494561926026999E-4</v>
      </c>
      <c r="M45">
        <v>0.17977938933488399</v>
      </c>
      <c r="N45">
        <v>0.86240155505169602</v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>***</v>
      </c>
      <c r="AF45" t="str">
        <f t="shared" si="10"/>
        <v>***</v>
      </c>
      <c r="AG45" t="str">
        <f t="shared" si="11"/>
        <v>***</v>
      </c>
    </row>
    <row r="46" spans="1:33" x14ac:dyDescent="0.25">
      <c r="A46">
        <v>87</v>
      </c>
      <c r="B46" t="s">
        <v>52</v>
      </c>
      <c r="C46">
        <v>9.7641754839976093E-3</v>
      </c>
      <c r="D46">
        <v>3.4739224018455698E-3</v>
      </c>
      <c r="E46">
        <v>2.81070627219832</v>
      </c>
      <c r="F46">
        <v>1.65425532447241E-2</v>
      </c>
      <c r="G46">
        <v>4.4481198713180303E-3</v>
      </c>
      <c r="H46">
        <v>4.5536261745833598E-3</v>
      </c>
      <c r="I46">
        <v>0.97683026686419205</v>
      </c>
      <c r="J46">
        <v>0.34914968023512299</v>
      </c>
      <c r="K46">
        <v>-5.6493090982972097E-3</v>
      </c>
      <c r="L46">
        <v>5.0544524036886503E-3</v>
      </c>
      <c r="M46">
        <v>-1.1176896421409499</v>
      </c>
      <c r="N46">
        <v>0.28689215807892599</v>
      </c>
      <c r="AB46" t="str">
        <f t="shared" si="6"/>
        <v>**</v>
      </c>
      <c r="AC46" t="str">
        <f t="shared" si="7"/>
        <v/>
      </c>
      <c r="AD46" t="str">
        <f t="shared" si="8"/>
        <v/>
      </c>
      <c r="AE46" t="str">
        <f t="shared" si="9"/>
        <v>***</v>
      </c>
      <c r="AF46" t="str">
        <f t="shared" si="10"/>
        <v>***</v>
      </c>
      <c r="AG46" t="str">
        <f t="shared" si="11"/>
        <v>***</v>
      </c>
    </row>
    <row r="47" spans="1:33" x14ac:dyDescent="0.25">
      <c r="A47">
        <v>89</v>
      </c>
      <c r="B47" t="s">
        <v>51</v>
      </c>
      <c r="C47">
        <v>5.7877549474986004E-3</v>
      </c>
      <c r="D47">
        <v>2.9085257041286199E-3</v>
      </c>
      <c r="E47">
        <v>1.9899273846137699</v>
      </c>
      <c r="F47">
        <v>0.13096858416364801</v>
      </c>
      <c r="G47">
        <v>1.1132039517247901E-2</v>
      </c>
      <c r="H47">
        <v>5.3101563822243103E-3</v>
      </c>
      <c r="I47">
        <v>2.0963675485174602</v>
      </c>
      <c r="J47">
        <v>0.118753550473064</v>
      </c>
      <c r="K47">
        <v>1.38977329749259E-2</v>
      </c>
      <c r="L47">
        <v>4.6561621720077797E-3</v>
      </c>
      <c r="M47">
        <v>2.9848043219965898</v>
      </c>
      <c r="N47">
        <v>5.1356482692455102E-2</v>
      </c>
      <c r="AB47" t="str">
        <f t="shared" si="6"/>
        <v/>
      </c>
      <c r="AC47" t="str">
        <f t="shared" si="7"/>
        <v/>
      </c>
      <c r="AD47" t="str">
        <f t="shared" si="8"/>
        <v>*</v>
      </c>
      <c r="AE47" t="str">
        <f t="shared" si="9"/>
        <v>***</v>
      </c>
      <c r="AF47" t="str">
        <f t="shared" si="10"/>
        <v>***</v>
      </c>
      <c r="AG47" t="str">
        <f t="shared" si="11"/>
        <v>***</v>
      </c>
    </row>
    <row r="48" spans="1:33" x14ac:dyDescent="0.25">
      <c r="A48">
        <v>91</v>
      </c>
      <c r="B48" t="s">
        <v>164</v>
      </c>
      <c r="C48">
        <v>-5.5606853714495396E-3</v>
      </c>
      <c r="D48">
        <v>1.1109100560476501E-2</v>
      </c>
      <c r="E48">
        <v>-0.50055225813988102</v>
      </c>
      <c r="F48">
        <v>0.63151670072321797</v>
      </c>
      <c r="G48">
        <v>-9.9971095514624405E-3</v>
      </c>
      <c r="H48">
        <v>1.36535882421089E-2</v>
      </c>
      <c r="I48">
        <v>-0.73219650206166897</v>
      </c>
      <c r="J48">
        <v>0.48638707535179299</v>
      </c>
      <c r="AB48" t="str">
        <f t="shared" si="6"/>
        <v/>
      </c>
      <c r="AC48" t="str">
        <f t="shared" si="7"/>
        <v/>
      </c>
      <c r="AD48" t="str">
        <f t="shared" si="8"/>
        <v>***</v>
      </c>
      <c r="AE48" t="str">
        <f t="shared" si="9"/>
        <v>***</v>
      </c>
      <c r="AF48" t="str">
        <f t="shared" si="10"/>
        <v>***</v>
      </c>
      <c r="AG48" t="str">
        <f t="shared" si="11"/>
        <v>***</v>
      </c>
    </row>
    <row r="49" spans="1:33" x14ac:dyDescent="0.25">
      <c r="A49">
        <v>93</v>
      </c>
      <c r="B49" t="s">
        <v>39</v>
      </c>
      <c r="C49">
        <v>-6.1759477620652398E-2</v>
      </c>
      <c r="D49">
        <v>6.3734304466884703E-2</v>
      </c>
      <c r="E49">
        <v>-0.96901469526103601</v>
      </c>
      <c r="F49">
        <v>0.35307331509756601</v>
      </c>
      <c r="G49">
        <v>-2.7744749508411201E-2</v>
      </c>
      <c r="H49">
        <v>7.1771753166490607E-2</v>
      </c>
      <c r="I49">
        <v>-0.38656920423904201</v>
      </c>
      <c r="J49">
        <v>0.70660345401020896</v>
      </c>
      <c r="AB49" t="str">
        <f t="shared" si="6"/>
        <v/>
      </c>
      <c r="AC49" t="str">
        <f t="shared" si="7"/>
        <v/>
      </c>
      <c r="AD49" t="str">
        <f t="shared" si="8"/>
        <v>***</v>
      </c>
      <c r="AE49" t="str">
        <f t="shared" si="9"/>
        <v>***</v>
      </c>
      <c r="AF49" t="str">
        <f t="shared" si="10"/>
        <v>***</v>
      </c>
      <c r="AG49" t="str">
        <f t="shared" si="11"/>
        <v>***</v>
      </c>
    </row>
    <row r="50" spans="1:33" x14ac:dyDescent="0.25">
      <c r="A50">
        <v>95</v>
      </c>
      <c r="B50" t="s">
        <v>40</v>
      </c>
      <c r="C50">
        <v>-2.46509923369275E-2</v>
      </c>
      <c r="D50">
        <v>1.04205095434528E-2</v>
      </c>
      <c r="E50">
        <v>-2.3656225479315101</v>
      </c>
      <c r="F50">
        <v>4.5221294206995499E-2</v>
      </c>
      <c r="G50">
        <v>-1.9882510530317199E-2</v>
      </c>
      <c r="H50">
        <v>1.1148726218904999E-2</v>
      </c>
      <c r="I50">
        <v>-1.7833885360466</v>
      </c>
      <c r="J50">
        <v>0.114670321620004</v>
      </c>
      <c r="AB50" t="str">
        <f t="shared" si="6"/>
        <v>**</v>
      </c>
      <c r="AC50" t="str">
        <f t="shared" si="7"/>
        <v/>
      </c>
      <c r="AD50" t="str">
        <f t="shared" si="8"/>
        <v>***</v>
      </c>
      <c r="AE50" t="str">
        <f t="shared" si="9"/>
        <v>***</v>
      </c>
      <c r="AF50" t="str">
        <f t="shared" si="10"/>
        <v>***</v>
      </c>
      <c r="AG50" t="str">
        <f t="shared" si="11"/>
        <v>***</v>
      </c>
    </row>
    <row r="51" spans="1:33" x14ac:dyDescent="0.25">
      <c r="A51">
        <v>97</v>
      </c>
      <c r="B51" t="s">
        <v>41</v>
      </c>
      <c r="C51">
        <v>-2.9771464463986801E-3</v>
      </c>
      <c r="D51">
        <v>6.6395352610478598E-3</v>
      </c>
      <c r="E51">
        <v>-0.448396812328823</v>
      </c>
      <c r="F51">
        <v>0.66173857160907301</v>
      </c>
      <c r="G51">
        <v>-1.3936687910875399E-3</v>
      </c>
      <c r="H51">
        <v>8.5372959286162207E-3</v>
      </c>
      <c r="I51">
        <v>-0.16324475603757599</v>
      </c>
      <c r="J51">
        <v>0.87294816257442898</v>
      </c>
      <c r="AB51" t="str">
        <f t="shared" si="6"/>
        <v/>
      </c>
      <c r="AC51" t="str">
        <f t="shared" si="7"/>
        <v/>
      </c>
      <c r="AD51" t="str">
        <f t="shared" si="8"/>
        <v>***</v>
      </c>
      <c r="AE51" t="str">
        <f t="shared" si="9"/>
        <v>***</v>
      </c>
      <c r="AF51" t="str">
        <f t="shared" si="10"/>
        <v>***</v>
      </c>
      <c r="AG51" t="str">
        <f t="shared" si="11"/>
        <v>***</v>
      </c>
    </row>
    <row r="52" spans="1:33" x14ac:dyDescent="0.25">
      <c r="A52">
        <v>99</v>
      </c>
      <c r="B52" t="s">
        <v>173</v>
      </c>
      <c r="C52">
        <v>-2.1717832707258398E-3</v>
      </c>
      <c r="D52">
        <v>8.8954438202555304E-4</v>
      </c>
      <c r="E52">
        <v>-2.44145577737285</v>
      </c>
      <c r="F52">
        <v>0.222457851284901</v>
      </c>
      <c r="G52">
        <v>-2.29177794153457E-3</v>
      </c>
      <c r="H52">
        <v>2.1928485383140798E-3</v>
      </c>
      <c r="I52">
        <v>-1.0451145628582901</v>
      </c>
      <c r="J52">
        <v>0.46966974756195201</v>
      </c>
      <c r="AB52" t="str">
        <f t="shared" si="6"/>
        <v/>
      </c>
      <c r="AC52" t="str">
        <f t="shared" si="7"/>
        <v/>
      </c>
      <c r="AD52" t="str">
        <f t="shared" si="8"/>
        <v>***</v>
      </c>
      <c r="AE52" t="str">
        <f t="shared" si="9"/>
        <v>***</v>
      </c>
      <c r="AF52" t="str">
        <f t="shared" si="10"/>
        <v>***</v>
      </c>
      <c r="AG52" t="str">
        <f t="shared" si="11"/>
        <v>***</v>
      </c>
    </row>
    <row r="53" spans="1:33" x14ac:dyDescent="0.25">
      <c r="A53">
        <v>101</v>
      </c>
      <c r="B53" t="s">
        <v>174</v>
      </c>
      <c r="C53">
        <v>3.5524879882551902E-2</v>
      </c>
      <c r="D53">
        <v>1.5441861956961201E-2</v>
      </c>
      <c r="E53">
        <v>2.3005567580881801</v>
      </c>
      <c r="F53">
        <v>4.7474771880889603E-2</v>
      </c>
      <c r="G53">
        <v>4.2489733484254E-2</v>
      </c>
      <c r="H53">
        <v>1.55409389934071E-2</v>
      </c>
      <c r="I53">
        <v>2.7340518807955698</v>
      </c>
      <c r="J53">
        <v>2.26227947769005E-2</v>
      </c>
      <c r="AB53" t="str">
        <f t="shared" si="6"/>
        <v>**</v>
      </c>
      <c r="AC53" t="str">
        <f t="shared" si="7"/>
        <v>**</v>
      </c>
      <c r="AD53" t="str">
        <f t="shared" si="8"/>
        <v>***</v>
      </c>
      <c r="AE53" t="str">
        <f t="shared" si="9"/>
        <v>***</v>
      </c>
      <c r="AF53" t="str">
        <f t="shared" si="10"/>
        <v>***</v>
      </c>
      <c r="AG53" t="str">
        <f t="shared" si="11"/>
        <v>***</v>
      </c>
    </row>
    <row r="54" spans="1:33" x14ac:dyDescent="0.25">
      <c r="A54">
        <v>103</v>
      </c>
      <c r="B54" t="s">
        <v>175</v>
      </c>
      <c r="C54">
        <v>2.6207716479795799E-2</v>
      </c>
      <c r="D54">
        <v>2.38638986637245E-2</v>
      </c>
      <c r="E54">
        <v>1.0982160479768599</v>
      </c>
      <c r="F54">
        <v>0.294600156401989</v>
      </c>
      <c r="G54">
        <v>4.6579108158318297E-2</v>
      </c>
      <c r="H54">
        <v>3.4094945418991399E-2</v>
      </c>
      <c r="I54">
        <v>1.3661587542056299</v>
      </c>
      <c r="J54">
        <v>0.19968824235424501</v>
      </c>
      <c r="AB54" t="str">
        <f t="shared" si="6"/>
        <v/>
      </c>
      <c r="AC54" t="str">
        <f t="shared" si="7"/>
        <v/>
      </c>
      <c r="AD54" t="str">
        <f t="shared" si="8"/>
        <v>***</v>
      </c>
      <c r="AE54" t="str">
        <f t="shared" si="9"/>
        <v>***</v>
      </c>
      <c r="AF54" t="str">
        <f t="shared" si="10"/>
        <v>***</v>
      </c>
      <c r="AG54" t="str">
        <f t="shared" si="11"/>
        <v>***</v>
      </c>
    </row>
    <row r="55" spans="1:33" x14ac:dyDescent="0.25">
      <c r="A55">
        <v>105</v>
      </c>
      <c r="B55" t="s">
        <v>53</v>
      </c>
      <c r="C55">
        <v>1.54993882512597E-6</v>
      </c>
      <c r="D55">
        <v>5.3888168412210904E-6</v>
      </c>
      <c r="E55">
        <v>0.28762135934365202</v>
      </c>
      <c r="F55">
        <v>0.77908845657234305</v>
      </c>
      <c r="G55">
        <v>1.61227935311133E-6</v>
      </c>
      <c r="H55">
        <v>7.3984713090902001E-6</v>
      </c>
      <c r="I55">
        <v>0.21792060626502499</v>
      </c>
      <c r="J55">
        <v>0.83152323590096</v>
      </c>
      <c r="AB55" t="str">
        <f t="shared" si="6"/>
        <v/>
      </c>
      <c r="AC55" t="str">
        <f t="shared" si="7"/>
        <v/>
      </c>
      <c r="AD55" t="str">
        <f t="shared" si="8"/>
        <v>***</v>
      </c>
      <c r="AE55" t="str">
        <f t="shared" si="9"/>
        <v>***</v>
      </c>
      <c r="AF55" t="str">
        <f t="shared" si="10"/>
        <v>***</v>
      </c>
      <c r="AG55" t="str">
        <f t="shared" si="11"/>
        <v>***</v>
      </c>
    </row>
    <row r="56" spans="1:33" x14ac:dyDescent="0.25">
      <c r="A56">
        <v>107</v>
      </c>
      <c r="B56" t="s">
        <v>54</v>
      </c>
      <c r="C56">
        <v>1.05066156889179E-5</v>
      </c>
      <c r="D56">
        <v>3.1794810415533899E-6</v>
      </c>
      <c r="E56">
        <v>3.3045064749889899</v>
      </c>
      <c r="F56">
        <v>6.8566713136582001E-3</v>
      </c>
      <c r="G56">
        <v>1.14790043258797E-5</v>
      </c>
      <c r="H56">
        <v>3.9225391656831802E-6</v>
      </c>
      <c r="I56">
        <v>2.9264218510053999</v>
      </c>
      <c r="J56">
        <v>1.40860846381319E-2</v>
      </c>
      <c r="AB56" t="str">
        <f t="shared" si="6"/>
        <v>***</v>
      </c>
      <c r="AC56" t="str">
        <f t="shared" si="7"/>
        <v>**</v>
      </c>
      <c r="AD56" t="str">
        <f t="shared" si="8"/>
        <v>***</v>
      </c>
      <c r="AE56" t="str">
        <f t="shared" si="9"/>
        <v>***</v>
      </c>
      <c r="AF56" t="str">
        <f t="shared" si="10"/>
        <v>***</v>
      </c>
      <c r="AG56" t="str">
        <f t="shared" si="11"/>
        <v>***</v>
      </c>
    </row>
    <row r="57" spans="1:33" x14ac:dyDescent="0.25">
      <c r="A57">
        <v>109</v>
      </c>
      <c r="B57" t="s">
        <v>43</v>
      </c>
      <c r="C57">
        <v>-0.36310556176749298</v>
      </c>
      <c r="D57">
        <v>0.14862349109066</v>
      </c>
      <c r="E57">
        <v>-2.4431236213257801</v>
      </c>
      <c r="F57">
        <v>5.8781313993936303E-2</v>
      </c>
      <c r="AB57" t="str">
        <f t="shared" si="6"/>
        <v>*</v>
      </c>
      <c r="AC57" t="str">
        <f t="shared" si="7"/>
        <v>***</v>
      </c>
      <c r="AD57" t="str">
        <f t="shared" si="8"/>
        <v>***</v>
      </c>
      <c r="AE57" t="str">
        <f t="shared" si="9"/>
        <v>***</v>
      </c>
      <c r="AF57" t="str">
        <f t="shared" si="10"/>
        <v>***</v>
      </c>
      <c r="AG57" t="str">
        <f t="shared" si="11"/>
        <v>***</v>
      </c>
    </row>
    <row r="58" spans="1:33" x14ac:dyDescent="0.25">
      <c r="A58">
        <v>111</v>
      </c>
      <c r="B58" t="s">
        <v>44</v>
      </c>
      <c r="C58">
        <v>-9.4092616308447202E-2</v>
      </c>
      <c r="D58">
        <v>4.3546051580204699E-2</v>
      </c>
      <c r="E58">
        <v>-2.1607611458215499</v>
      </c>
      <c r="F58">
        <v>5.7086407833259099E-2</v>
      </c>
      <c r="AB58" t="str">
        <f t="shared" si="6"/>
        <v>*</v>
      </c>
      <c r="AC58" t="str">
        <f t="shared" si="7"/>
        <v>***</v>
      </c>
      <c r="AD58" t="str">
        <f t="shared" si="8"/>
        <v>***</v>
      </c>
      <c r="AE58" t="str">
        <f t="shared" si="9"/>
        <v>***</v>
      </c>
      <c r="AF58" t="str">
        <f t="shared" si="10"/>
        <v>***</v>
      </c>
      <c r="AG58" t="str">
        <f t="shared" si="11"/>
        <v>***</v>
      </c>
    </row>
    <row r="59" spans="1:33" x14ac:dyDescent="0.25">
      <c r="A59">
        <v>113</v>
      </c>
      <c r="B59" t="s">
        <v>45</v>
      </c>
      <c r="C59">
        <v>-0.171254775194636</v>
      </c>
      <c r="D59">
        <v>0.106568892732838</v>
      </c>
      <c r="E59">
        <v>-1.6069865305250199</v>
      </c>
      <c r="F59">
        <v>0.132850221559455</v>
      </c>
      <c r="AB59" t="str">
        <f t="shared" si="6"/>
        <v/>
      </c>
      <c r="AC59" t="str">
        <f t="shared" si="7"/>
        <v>***</v>
      </c>
      <c r="AD59" t="str">
        <f t="shared" si="8"/>
        <v>***</v>
      </c>
      <c r="AE59" t="str">
        <f t="shared" si="9"/>
        <v>***</v>
      </c>
      <c r="AF59" t="str">
        <f t="shared" si="10"/>
        <v>***</v>
      </c>
      <c r="AG59" t="str">
        <f t="shared" si="11"/>
        <v>***</v>
      </c>
    </row>
    <row r="60" spans="1:33" x14ac:dyDescent="0.25">
      <c r="A60">
        <v>115</v>
      </c>
      <c r="B60" t="s">
        <v>48</v>
      </c>
      <c r="C60">
        <v>0.27278616452792498</v>
      </c>
      <c r="D60">
        <v>9.7572586910063694E-2</v>
      </c>
      <c r="E60">
        <v>2.7957254508314202</v>
      </c>
      <c r="F60">
        <v>2.10212326235906E-2</v>
      </c>
      <c r="AB60" t="str">
        <f t="shared" si="6"/>
        <v>**</v>
      </c>
      <c r="AC60" t="str">
        <f t="shared" si="7"/>
        <v>***</v>
      </c>
      <c r="AD60" t="str">
        <f t="shared" si="8"/>
        <v>***</v>
      </c>
      <c r="AE60" t="str">
        <f t="shared" si="9"/>
        <v>***</v>
      </c>
      <c r="AF60" t="str">
        <f t="shared" si="10"/>
        <v>***</v>
      </c>
      <c r="AG60" t="str">
        <f t="shared" si="11"/>
        <v>***</v>
      </c>
    </row>
    <row r="61" spans="1:33" x14ac:dyDescent="0.25">
      <c r="A61">
        <v>117</v>
      </c>
      <c r="B61" t="s">
        <v>46</v>
      </c>
      <c r="C61">
        <v>-0.54695606431528399</v>
      </c>
      <c r="D61">
        <v>9.9277741936865505E-2</v>
      </c>
      <c r="E61">
        <v>-5.5093523849798496</v>
      </c>
      <c r="F61">
        <v>3.3514669923248399E-3</v>
      </c>
      <c r="AB61" t="str">
        <f t="shared" si="6"/>
        <v>***</v>
      </c>
      <c r="AC61" t="str">
        <f t="shared" si="7"/>
        <v>***</v>
      </c>
      <c r="AD61" t="str">
        <f t="shared" si="8"/>
        <v>***</v>
      </c>
      <c r="AE61" t="str">
        <f t="shared" si="9"/>
        <v>***</v>
      </c>
      <c r="AF61" t="str">
        <f t="shared" si="10"/>
        <v>***</v>
      </c>
      <c r="AG61" t="str">
        <f t="shared" si="11"/>
        <v>***</v>
      </c>
    </row>
    <row r="62" spans="1:33" x14ac:dyDescent="0.25">
      <c r="AB62" t="str">
        <f t="shared" si="6"/>
        <v>***</v>
      </c>
      <c r="AC62" t="str">
        <f t="shared" si="7"/>
        <v>***</v>
      </c>
      <c r="AD62" t="str">
        <f t="shared" si="8"/>
        <v>***</v>
      </c>
      <c r="AE62" t="str">
        <f t="shared" si="9"/>
        <v>***</v>
      </c>
      <c r="AF62" t="str">
        <f t="shared" si="10"/>
        <v>***</v>
      </c>
      <c r="AG62" t="str">
        <f t="shared" si="11"/>
        <v>***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E2CC-92DB-44FD-837C-039326600D67}">
  <sheetPr codeName="Sheet16"/>
  <dimension ref="A1:AG61"/>
  <sheetViews>
    <sheetView topLeftCell="H1" workbookViewId="0">
      <selection activeCell="AB2" sqref="AB2:AG61"/>
    </sheetView>
  </sheetViews>
  <sheetFormatPr defaultRowHeight="15" x14ac:dyDescent="0.25"/>
  <cols>
    <col min="2" max="2" width="11.42578125"/>
  </cols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4.3287567814792496</v>
      </c>
      <c r="D2">
        <v>14.2087551759062</v>
      </c>
      <c r="E2">
        <v>0.30465418876521499</v>
      </c>
      <c r="F2">
        <v>0.76628137519296702</v>
      </c>
      <c r="G2">
        <v>3.2825998257824001</v>
      </c>
      <c r="H2">
        <v>19.824573688312299</v>
      </c>
      <c r="I2">
        <v>0.16558236648073199</v>
      </c>
      <c r="J2">
        <v>0.87144422779292996</v>
      </c>
      <c r="K2">
        <v>12.3680027116957</v>
      </c>
      <c r="L2">
        <v>0.119245440577254</v>
      </c>
      <c r="M2">
        <v>103.718873038865</v>
      </c>
      <c r="N2">
        <v>1.1128954071605399E-14</v>
      </c>
      <c r="O2">
        <v>12.766851796044801</v>
      </c>
      <c r="P2">
        <v>0.13701599485141799</v>
      </c>
      <c r="Q2">
        <v>93.177820661663006</v>
      </c>
      <c r="R2">
        <v>5.1482265072371901E-16</v>
      </c>
      <c r="S2">
        <v>13.150205528080299</v>
      </c>
      <c r="T2">
        <v>4.5564088279500502E-2</v>
      </c>
      <c r="U2">
        <v>288.608990646623</v>
      </c>
      <c r="V2">
        <v>4.4607737497854699E-21</v>
      </c>
      <c r="W2">
        <v>13.2479757144012</v>
      </c>
      <c r="X2">
        <v>5.2508579086413799E-2</v>
      </c>
      <c r="Y2">
        <v>252.30116573139199</v>
      </c>
      <c r="Z2">
        <v>2.32927602705178E-21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4.2859048965906404E-3</v>
      </c>
      <c r="D3">
        <v>8.5466142667864706E-3</v>
      </c>
      <c r="E3">
        <v>0.50147400629116501</v>
      </c>
      <c r="F3">
        <v>0.62753699204872104</v>
      </c>
      <c r="G3">
        <v>-4.8046494171382903E-3</v>
      </c>
      <c r="H3">
        <v>1.0134137325848599E-2</v>
      </c>
      <c r="I3">
        <v>-0.47410541841418902</v>
      </c>
      <c r="J3">
        <v>0.64621681541239095</v>
      </c>
      <c r="K3">
        <v>-1.1460326014661E-2</v>
      </c>
      <c r="L3">
        <v>1.59207557802955E-2</v>
      </c>
      <c r="M3">
        <v>-0.71983555132759702</v>
      </c>
      <c r="N3">
        <v>0.48908271717133001</v>
      </c>
      <c r="O3">
        <v>-2.69866741235931E-2</v>
      </c>
      <c r="P3">
        <v>1.7479323658317E-2</v>
      </c>
      <c r="Q3">
        <v>-1.54391981355368</v>
      </c>
      <c r="R3">
        <v>0.15552188720308099</v>
      </c>
      <c r="S3">
        <v>-3.3249803109060498E-2</v>
      </c>
      <c r="T3">
        <v>3.2693788244289902E-2</v>
      </c>
      <c r="U3">
        <v>-1.0170067433182099</v>
      </c>
      <c r="V3">
        <v>0.334589742227759</v>
      </c>
      <c r="W3">
        <v>6.34082214285033E-3</v>
      </c>
      <c r="X3">
        <v>3.0778122888657999E-2</v>
      </c>
      <c r="Y3">
        <v>0.20601718193759599</v>
      </c>
      <c r="Z3">
        <v>0.84057213398003705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-1.16461867396409E-5</v>
      </c>
      <c r="D4">
        <v>5.9923218544828199E-5</v>
      </c>
      <c r="E4">
        <v>-0.19435182258991099</v>
      </c>
      <c r="F4">
        <v>0.85416531549051</v>
      </c>
      <c r="G4">
        <v>-1.5599549292066101E-5</v>
      </c>
      <c r="H4">
        <v>4.9070597645960698E-5</v>
      </c>
      <c r="I4">
        <v>-0.31790012839491499</v>
      </c>
      <c r="J4">
        <v>0.76438197825926901</v>
      </c>
      <c r="K4">
        <v>2.20584934981263E-5</v>
      </c>
      <c r="L4">
        <v>8.8558870673857395E-5</v>
      </c>
      <c r="M4">
        <v>0.24908282287567499</v>
      </c>
      <c r="N4">
        <v>0.81396114021609201</v>
      </c>
      <c r="O4">
        <v>2.47391081611521E-4</v>
      </c>
      <c r="P4">
        <v>1.21368957635758E-4</v>
      </c>
      <c r="Q4">
        <v>2.038339015434</v>
      </c>
      <c r="R4">
        <v>0.10091597339405101</v>
      </c>
      <c r="S4">
        <v>9.3239175112443205E-4</v>
      </c>
      <c r="T4">
        <v>3.3428329291418802E-4</v>
      </c>
      <c r="U4">
        <v>2.78922629664229</v>
      </c>
      <c r="V4">
        <v>4.28969884977526E-2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3.9650645375950699E-2</v>
      </c>
      <c r="D5">
        <v>1.7233414294558099E-2</v>
      </c>
      <c r="E5">
        <v>2.3008003346424299</v>
      </c>
      <c r="F5">
        <v>4.3160676530350703E-2</v>
      </c>
      <c r="G5">
        <v>4.55619934136424E-2</v>
      </c>
      <c r="H5">
        <v>1.5886575923204801E-2</v>
      </c>
      <c r="I5">
        <v>2.8679555389334799</v>
      </c>
      <c r="J5">
        <v>1.6059114761951002E-2</v>
      </c>
      <c r="K5">
        <v>4.0059769047127297E-2</v>
      </c>
      <c r="L5">
        <v>1.6614392997224899E-2</v>
      </c>
      <c r="M5">
        <v>2.41114851766288</v>
      </c>
      <c r="N5">
        <v>3.5644120152019697E-2</v>
      </c>
      <c r="O5">
        <v>5.0716191640917799E-2</v>
      </c>
      <c r="P5">
        <v>1.6767259791811501E-2</v>
      </c>
      <c r="Q5">
        <v>3.02471556298577</v>
      </c>
      <c r="R5">
        <v>1.21915129416177E-2</v>
      </c>
      <c r="S5">
        <v>6.9996651916362104E-2</v>
      </c>
      <c r="T5">
        <v>3.3624671825652798E-2</v>
      </c>
      <c r="U5">
        <v>2.08170513244862</v>
      </c>
      <c r="V5">
        <v>6.2833374677757306E-2</v>
      </c>
      <c r="AB5" t="str">
        <f t="shared" si="0"/>
        <v>**</v>
      </c>
      <c r="AC5" t="str">
        <f t="shared" si="1"/>
        <v>**</v>
      </c>
      <c r="AD5" t="str">
        <f t="shared" si="2"/>
        <v>**</v>
      </c>
      <c r="AE5" t="str">
        <f t="shared" si="3"/>
        <v>**</v>
      </c>
      <c r="AF5" t="str">
        <f t="shared" si="4"/>
        <v>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4.85654978286593E-2</v>
      </c>
      <c r="D6">
        <v>2.4891469433634999E-2</v>
      </c>
      <c r="E6">
        <v>1.95109002938309</v>
      </c>
      <c r="F6">
        <v>7.8733169957055205E-2</v>
      </c>
      <c r="G6">
        <v>5.7217404546362899E-2</v>
      </c>
      <c r="H6">
        <v>1.8680002867540499E-2</v>
      </c>
      <c r="I6">
        <v>3.0630297517666598</v>
      </c>
      <c r="J6">
        <v>1.16012572194738E-2</v>
      </c>
      <c r="K6">
        <v>4.4821434900033798E-2</v>
      </c>
      <c r="L6">
        <v>2.03455531830397E-2</v>
      </c>
      <c r="M6">
        <v>2.2030089079808102</v>
      </c>
      <c r="N6">
        <v>5.13968259722212E-2</v>
      </c>
      <c r="O6">
        <v>5.5511518220081602E-2</v>
      </c>
      <c r="P6">
        <v>1.8003876926692901E-2</v>
      </c>
      <c r="Q6">
        <v>3.0833091364771001</v>
      </c>
      <c r="R6">
        <v>1.1179616789974599E-2</v>
      </c>
      <c r="S6">
        <v>6.5126686615029197E-2</v>
      </c>
      <c r="T6">
        <v>3.2171811123857599E-2</v>
      </c>
      <c r="U6">
        <v>2.0243400772278299</v>
      </c>
      <c r="V6">
        <v>6.9679585652570306E-2</v>
      </c>
      <c r="AB6" t="str">
        <f t="shared" si="0"/>
        <v>*</v>
      </c>
      <c r="AC6" t="str">
        <f t="shared" si="1"/>
        <v>**</v>
      </c>
      <c r="AD6" t="str">
        <f t="shared" si="2"/>
        <v>*</v>
      </c>
      <c r="AE6" t="str">
        <f t="shared" si="3"/>
        <v>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4.1783254807555403E-2</v>
      </c>
      <c r="D7">
        <v>2.4557097075228702E-2</v>
      </c>
      <c r="E7">
        <v>1.70147369941797</v>
      </c>
      <c r="F7">
        <v>0.11786337230802001</v>
      </c>
      <c r="G7">
        <v>4.2370026856050597E-2</v>
      </c>
      <c r="H7">
        <v>1.90806402032709E-2</v>
      </c>
      <c r="I7">
        <v>2.2205767943146602</v>
      </c>
      <c r="J7">
        <v>4.9090759222369801E-2</v>
      </c>
      <c r="K7">
        <v>3.4056885766423801E-2</v>
      </c>
      <c r="L7">
        <v>1.8419219971232501E-2</v>
      </c>
      <c r="M7">
        <v>1.84898632078962</v>
      </c>
      <c r="N7">
        <v>9.2386799163768296E-2</v>
      </c>
      <c r="O7">
        <v>3.9295467196369803E-2</v>
      </c>
      <c r="P7">
        <v>2.3682064019082901E-2</v>
      </c>
      <c r="Q7">
        <v>1.6592923304618099</v>
      </c>
      <c r="R7">
        <v>0.12613699442963799</v>
      </c>
      <c r="S7">
        <v>5.7029247434789099E-2</v>
      </c>
      <c r="T7">
        <v>3.5021428969661803E-2</v>
      </c>
      <c r="U7">
        <v>1.6284100652829501</v>
      </c>
      <c r="V7">
        <v>0.13269364970620701</v>
      </c>
      <c r="AB7" t="str">
        <f t="shared" si="0"/>
        <v/>
      </c>
      <c r="AC7" t="str">
        <f t="shared" si="1"/>
        <v>**</v>
      </c>
      <c r="AD7" t="str">
        <f t="shared" si="2"/>
        <v>*</v>
      </c>
      <c r="AE7" t="str">
        <f t="shared" si="3"/>
        <v/>
      </c>
      <c r="AF7" t="str">
        <f t="shared" si="4"/>
        <v/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1.3449695048495599E-2</v>
      </c>
      <c r="D8">
        <v>3.3290451216224697E-2</v>
      </c>
      <c r="E8">
        <v>0.40401059634603897</v>
      </c>
      <c r="F8">
        <v>0.69556167625626497</v>
      </c>
      <c r="G8">
        <v>2.35190326529085E-2</v>
      </c>
      <c r="H8">
        <v>2.8212804282720699E-2</v>
      </c>
      <c r="I8">
        <v>0.83362973837071097</v>
      </c>
      <c r="J8">
        <v>0.42594615970324001</v>
      </c>
      <c r="K8">
        <v>1.5696736265336401E-2</v>
      </c>
      <c r="L8">
        <v>2.77737735841758E-2</v>
      </c>
      <c r="M8">
        <v>0.56516397448705702</v>
      </c>
      <c r="N8">
        <v>0.58569030220074103</v>
      </c>
      <c r="O8">
        <v>2.6589248633437701E-2</v>
      </c>
      <c r="P8">
        <v>3.71984558813266E-2</v>
      </c>
      <c r="Q8">
        <v>0.71479441830233004</v>
      </c>
      <c r="R8">
        <v>0.49275688014427599</v>
      </c>
      <c r="S8">
        <v>5.8719113700786599E-2</v>
      </c>
      <c r="T8">
        <v>5.8793280154187298E-2</v>
      </c>
      <c r="U8">
        <v>0.99873852159283805</v>
      </c>
      <c r="V8">
        <v>0.34383959503653699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4.5611535526396803E-2</v>
      </c>
      <c r="D9">
        <v>4.2657894178003801E-2</v>
      </c>
      <c r="E9">
        <v>1.0692402052494201</v>
      </c>
      <c r="F9">
        <v>0.31104171883927301</v>
      </c>
      <c r="G9">
        <v>5.9557245235903201E-2</v>
      </c>
      <c r="H9">
        <v>3.8622269108392497E-2</v>
      </c>
      <c r="I9">
        <v>1.5420441784183401</v>
      </c>
      <c r="J9">
        <v>0.15538763592160501</v>
      </c>
      <c r="K9">
        <v>4.8446806368843402E-2</v>
      </c>
      <c r="L9">
        <v>3.6540593278370698E-2</v>
      </c>
      <c r="M9">
        <v>1.3258352430068601</v>
      </c>
      <c r="N9">
        <v>0.21559482961156101</v>
      </c>
      <c r="O9">
        <v>7.4817995007872798E-2</v>
      </c>
      <c r="P9">
        <v>4.3204135668893799E-2</v>
      </c>
      <c r="Q9">
        <v>1.7317322485342601</v>
      </c>
      <c r="R9">
        <v>0.115307525676881</v>
      </c>
      <c r="S9">
        <v>0.103384750057333</v>
      </c>
      <c r="T9">
        <v>7.0288270950847401E-2</v>
      </c>
      <c r="U9">
        <v>1.4708677373729999</v>
      </c>
      <c r="V9">
        <v>0.17335893044235101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/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8.9127555260190394E-2</v>
      </c>
      <c r="D10">
        <v>4.3251217114258098E-2</v>
      </c>
      <c r="E10">
        <v>2.06069473200579</v>
      </c>
      <c r="F10">
        <v>6.7527308996756297E-2</v>
      </c>
      <c r="G10">
        <v>0.102333535788658</v>
      </c>
      <c r="H10">
        <v>3.9797041392849501E-2</v>
      </c>
      <c r="I10">
        <v>2.5713855152821599</v>
      </c>
      <c r="J10">
        <v>2.8798501749079799E-2</v>
      </c>
      <c r="K10">
        <v>8.7873664546071706E-2</v>
      </c>
      <c r="L10">
        <v>3.6616438608521297E-2</v>
      </c>
      <c r="M10">
        <v>2.3998419257961898</v>
      </c>
      <c r="N10">
        <v>3.8398693594141803E-2</v>
      </c>
      <c r="O10">
        <v>0.11724921912191601</v>
      </c>
      <c r="P10">
        <v>4.4999907902252299E-2</v>
      </c>
      <c r="Q10">
        <v>2.6055435352579299</v>
      </c>
      <c r="R10">
        <v>2.71656883206138E-2</v>
      </c>
      <c r="S10">
        <v>0.12569142942988201</v>
      </c>
      <c r="T10">
        <v>7.7622418125692802E-2</v>
      </c>
      <c r="U10">
        <v>1.61926711979459</v>
      </c>
      <c r="V10">
        <v>0.13782870151600801</v>
      </c>
      <c r="AB10" t="str">
        <f t="shared" si="0"/>
        <v>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4.0709707487776199E-2</v>
      </c>
      <c r="D11">
        <v>8.6834039336523297E-2</v>
      </c>
      <c r="E11">
        <v>0.46882199421826598</v>
      </c>
      <c r="F11">
        <v>0.65110841666647601</v>
      </c>
      <c r="G11">
        <v>4.0955323024101098E-2</v>
      </c>
      <c r="H11">
        <v>9.5486865048747704E-2</v>
      </c>
      <c r="I11">
        <v>0.428910541813187</v>
      </c>
      <c r="J11">
        <v>0.678769254661302</v>
      </c>
      <c r="K11">
        <v>1.50393570997992E-2</v>
      </c>
      <c r="L11">
        <v>8.8916706030070805E-2</v>
      </c>
      <c r="M11">
        <v>0.169139836272309</v>
      </c>
      <c r="N11">
        <v>0.86968766694326405</v>
      </c>
      <c r="O11">
        <v>4.0998590968955598E-2</v>
      </c>
      <c r="P11">
        <v>8.2305471420740101E-2</v>
      </c>
      <c r="Q11">
        <v>0.49812716288779302</v>
      </c>
      <c r="R11">
        <v>0.631205269567919</v>
      </c>
      <c r="S11">
        <v>0.16879010170264999</v>
      </c>
      <c r="T11">
        <v>0.12934272260047799</v>
      </c>
      <c r="U11">
        <v>1.30498336751438</v>
      </c>
      <c r="V11">
        <v>0.226562730898968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5.9501045712561401E-2</v>
      </c>
      <c r="D12">
        <v>3.0177660488678901E-2</v>
      </c>
      <c r="E12">
        <v>1.97169179946481</v>
      </c>
      <c r="F12">
        <v>7.1411163993270396E-2</v>
      </c>
      <c r="G12">
        <v>4.8663423769883203E-2</v>
      </c>
      <c r="H12">
        <v>3.0958199840806999E-2</v>
      </c>
      <c r="I12">
        <v>1.57190741128747</v>
      </c>
      <c r="J12">
        <v>0.14101097277882599</v>
      </c>
      <c r="K12">
        <v>1.49839785798879E-2</v>
      </c>
      <c r="L12">
        <v>2.54998291934956E-2</v>
      </c>
      <c r="M12">
        <v>0.58761093912385598</v>
      </c>
      <c r="N12">
        <v>0.56717861627351596</v>
      </c>
      <c r="O12">
        <v>-3.02736897610409E-2</v>
      </c>
      <c r="P12">
        <v>2.2242956714021898E-2</v>
      </c>
      <c r="Q12">
        <v>-1.3610461122714199</v>
      </c>
      <c r="R12">
        <v>0.20141559023966399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6.38603672811483E-2</v>
      </c>
      <c r="D13">
        <v>2.9769604323781899E-2</v>
      </c>
      <c r="E13">
        <v>2.1451533781432399</v>
      </c>
      <c r="F13">
        <v>5.0968167434642601E-2</v>
      </c>
      <c r="G13">
        <v>6.8841816326658201E-2</v>
      </c>
      <c r="H13">
        <v>3.6026261538833301E-2</v>
      </c>
      <c r="I13">
        <v>1.9108787141972099</v>
      </c>
      <c r="J13">
        <v>7.7769720315265495E-2</v>
      </c>
      <c r="K13">
        <v>8.9813977973375606E-2</v>
      </c>
      <c r="L13">
        <v>4.1054498410114403E-2</v>
      </c>
      <c r="M13">
        <v>2.1876769039089901</v>
      </c>
      <c r="N13">
        <v>4.6965493958949202E-2</v>
      </c>
      <c r="O13">
        <v>0.111511623339327</v>
      </c>
      <c r="P13">
        <v>4.1584916090356902E-2</v>
      </c>
      <c r="Q13">
        <v>2.6815401790647302</v>
      </c>
      <c r="R13">
        <v>1.84834615940738E-2</v>
      </c>
      <c r="AB13" t="str">
        <f t="shared" si="0"/>
        <v>*</v>
      </c>
      <c r="AC13" t="str">
        <f t="shared" si="1"/>
        <v>*</v>
      </c>
      <c r="AD13" t="str">
        <f t="shared" si="2"/>
        <v>**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2.75089670498029E-2</v>
      </c>
      <c r="D14">
        <v>2.5414483295710898E-2</v>
      </c>
      <c r="E14">
        <v>1.08241299772738</v>
      </c>
      <c r="F14">
        <v>0.30059634028193999</v>
      </c>
      <c r="G14">
        <v>2.2410488471257199E-2</v>
      </c>
      <c r="H14">
        <v>2.7200457709880499E-2</v>
      </c>
      <c r="I14">
        <v>0.82390115307201695</v>
      </c>
      <c r="J14">
        <v>0.42635850282200499</v>
      </c>
      <c r="K14">
        <v>9.1072811929440705E-3</v>
      </c>
      <c r="L14">
        <v>3.35093028358215E-2</v>
      </c>
      <c r="M14">
        <v>0.27178366668996701</v>
      </c>
      <c r="N14">
        <v>0.79053032026638603</v>
      </c>
      <c r="O14">
        <v>4.4216747493578502E-4</v>
      </c>
      <c r="P14">
        <v>3.2886987383151503E-2</v>
      </c>
      <c r="Q14">
        <v>1.34450586727295E-2</v>
      </c>
      <c r="R14">
        <v>0.98949575097255005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-3.0884490571552001E-2</v>
      </c>
      <c r="D15">
        <v>2.2628857983603801E-2</v>
      </c>
      <c r="E15">
        <v>-1.3648276282404499</v>
      </c>
      <c r="F15">
        <v>0.20267825080797799</v>
      </c>
      <c r="G15">
        <v>-3.0862652691659501E-2</v>
      </c>
      <c r="H15">
        <v>2.3065548592833801E-2</v>
      </c>
      <c r="I15">
        <v>-1.3380411294985699</v>
      </c>
      <c r="J15">
        <v>0.21092294998521799</v>
      </c>
      <c r="K15">
        <v>-3.4560482945226102E-2</v>
      </c>
      <c r="L15">
        <v>2.67714396390723E-2</v>
      </c>
      <c r="M15">
        <v>-1.2909460010804199</v>
      </c>
      <c r="N15">
        <v>0.22625627861948899</v>
      </c>
      <c r="O15">
        <v>-9.7014406513422399E-2</v>
      </c>
      <c r="P15">
        <v>5.3735088360182703E-2</v>
      </c>
      <c r="Q15">
        <v>-1.80542006115522</v>
      </c>
      <c r="R15">
        <v>9.7332706868514196E-2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-6.4837685627329002E-3</v>
      </c>
      <c r="D16">
        <v>1.10138035461849E-2</v>
      </c>
      <c r="E16">
        <v>-0.58869477156952299</v>
      </c>
      <c r="F16">
        <v>0.56967004757000195</v>
      </c>
      <c r="G16">
        <v>-5.6320807618226798E-3</v>
      </c>
      <c r="H16">
        <v>1.2397715775043901E-2</v>
      </c>
      <c r="I16">
        <v>-0.45428374581387398</v>
      </c>
      <c r="J16">
        <v>0.65968027906587301</v>
      </c>
      <c r="K16">
        <v>2.7215776777772898E-3</v>
      </c>
      <c r="L16">
        <v>7.4823122352217202E-3</v>
      </c>
      <c r="M16">
        <v>0.363734844553255</v>
      </c>
      <c r="N16">
        <v>0.72385859480699299</v>
      </c>
      <c r="O16">
        <v>7.6647582679192999E-2</v>
      </c>
      <c r="P16">
        <v>1.7632979602506399E-2</v>
      </c>
      <c r="Q16">
        <v>4.3468310181846901</v>
      </c>
      <c r="R16">
        <v>1.1800988172872601E-3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5.2110209542796497E-4</v>
      </c>
      <c r="D17">
        <v>6.5401264594385294E-5</v>
      </c>
      <c r="E17">
        <v>7.9677678812452397</v>
      </c>
      <c r="F17">
        <v>3.3155362890129198E-5</v>
      </c>
      <c r="G17">
        <v>5.6903250239444595E-4</v>
      </c>
      <c r="H17">
        <v>7.3586598558972796E-5</v>
      </c>
      <c r="I17">
        <v>7.7328278998847697</v>
      </c>
      <c r="J17">
        <v>4.56740828472719E-5</v>
      </c>
      <c r="K17">
        <v>6.5123926829620596E-4</v>
      </c>
      <c r="L17">
        <v>6.5317625538872394E-5</v>
      </c>
      <c r="M17">
        <v>9.9703451085899495</v>
      </c>
      <c r="N17">
        <v>4.5419849858225697E-6</v>
      </c>
      <c r="O17">
        <v>7.11108099859344E-4</v>
      </c>
      <c r="P17">
        <v>5.8897493716069603E-5</v>
      </c>
      <c r="Q17">
        <v>12.0736563645207</v>
      </c>
      <c r="R17">
        <v>1.4439047345332501E-6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-2.2517292041584001E-2</v>
      </c>
      <c r="D18">
        <v>6.9673605552413699E-3</v>
      </c>
      <c r="E18">
        <v>-3.2318252892258901</v>
      </c>
      <c r="F18">
        <v>1.32022150115658E-2</v>
      </c>
      <c r="G18">
        <v>-2.4244404631914001E-2</v>
      </c>
      <c r="H18">
        <v>6.7729016637841002E-3</v>
      </c>
      <c r="I18">
        <v>-3.57961857936799</v>
      </c>
      <c r="J18">
        <v>8.1591295843949207E-3</v>
      </c>
      <c r="K18">
        <v>-2.19880509149495E-2</v>
      </c>
      <c r="L18">
        <v>8.1727268644084805E-3</v>
      </c>
      <c r="M18">
        <v>-2.6904179326860298</v>
      </c>
      <c r="N18">
        <v>2.8724818390828501E-2</v>
      </c>
      <c r="O18">
        <v>-2.50214060027894E-2</v>
      </c>
      <c r="P18">
        <v>7.8006444932953297E-3</v>
      </c>
      <c r="Q18">
        <v>-3.2076075283645298</v>
      </c>
      <c r="R18">
        <v>1.3769655008261199E-2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0.22205324695134299</v>
      </c>
      <c r="D19">
        <v>9.35066774029258E-2</v>
      </c>
      <c r="E19">
        <v>2.3747314429161301</v>
      </c>
      <c r="F19">
        <v>4.82210515873297E-2</v>
      </c>
      <c r="G19">
        <v>0.25492014524998002</v>
      </c>
      <c r="H19">
        <v>9.7657356068076198E-2</v>
      </c>
      <c r="I19">
        <v>2.6103527221469802</v>
      </c>
      <c r="J19">
        <v>3.4066292095271199E-2</v>
      </c>
      <c r="K19">
        <v>0.259226623051381</v>
      </c>
      <c r="L19">
        <v>0.114860192366668</v>
      </c>
      <c r="M19">
        <v>2.25688828923299</v>
      </c>
      <c r="N19">
        <v>5.7116073744672403E-2</v>
      </c>
      <c r="O19">
        <v>0.27785882992802602</v>
      </c>
      <c r="P19">
        <v>0.11984841445418699</v>
      </c>
      <c r="Q19">
        <v>2.3184189060276701</v>
      </c>
      <c r="R19">
        <v>5.3310348396918603E-2</v>
      </c>
      <c r="AB19" t="str">
        <f t="shared" si="0"/>
        <v>**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-1.15132430013499E-2</v>
      </c>
      <c r="D20">
        <v>0.115419305421899</v>
      </c>
      <c r="E20">
        <v>-9.9751449372051895E-2</v>
      </c>
      <c r="F20">
        <v>0.92368192826468998</v>
      </c>
      <c r="G20">
        <v>-2.1794557988503101E-2</v>
      </c>
      <c r="H20">
        <v>0.128439557234894</v>
      </c>
      <c r="I20">
        <v>-0.16968727125588401</v>
      </c>
      <c r="J20">
        <v>0.87064500237391595</v>
      </c>
      <c r="K20">
        <v>2.77726829713477E-2</v>
      </c>
      <c r="L20">
        <v>0.10958858320656201</v>
      </c>
      <c r="M20">
        <v>0.25342679099153298</v>
      </c>
      <c r="N20">
        <v>0.80811708564656204</v>
      </c>
      <c r="O20">
        <v>-3.1966619958325802E-2</v>
      </c>
      <c r="P20">
        <v>0.14120586511166899</v>
      </c>
      <c r="Q20">
        <v>-0.22638308920840999</v>
      </c>
      <c r="R20">
        <v>0.82819950104015205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9.7020975647692007E-2</v>
      </c>
      <c r="D21">
        <v>1.26645852321723E-2</v>
      </c>
      <c r="E21">
        <v>7.6608095621818197</v>
      </c>
      <c r="F21">
        <v>1.1760292632443099E-5</v>
      </c>
      <c r="G21">
        <v>0.10139855675351001</v>
      </c>
      <c r="H21">
        <v>1.64123357714628E-2</v>
      </c>
      <c r="I21">
        <v>6.1781917068634602</v>
      </c>
      <c r="J21">
        <v>7.9586350171818401E-5</v>
      </c>
      <c r="K21">
        <v>0.12867706963206099</v>
      </c>
      <c r="L21">
        <v>1.78521207209951E-2</v>
      </c>
      <c r="M21">
        <v>7.2079430585929698</v>
      </c>
      <c r="N21">
        <v>1.99119852944674E-5</v>
      </c>
      <c r="O21">
        <v>0.15192714919677899</v>
      </c>
      <c r="P21">
        <v>2.91109989942844E-2</v>
      </c>
      <c r="Q21">
        <v>5.2188916370272196</v>
      </c>
      <c r="R21">
        <v>3.2161780215548798E-4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5.3453833922220098E-2</v>
      </c>
      <c r="D22">
        <v>5.6904585758815402E-3</v>
      </c>
      <c r="E22">
        <v>9.3935898503468707</v>
      </c>
      <c r="F22">
        <v>1.21338327127301E-6</v>
      </c>
      <c r="G22">
        <v>5.4604872663823301E-2</v>
      </c>
      <c r="H22">
        <v>7.4404589816735797E-3</v>
      </c>
      <c r="I22">
        <v>7.3389118599160801</v>
      </c>
      <c r="J22">
        <v>1.3361336469853599E-5</v>
      </c>
      <c r="K22">
        <v>6.6242878769294494E-2</v>
      </c>
      <c r="L22">
        <v>1.1463813545469201E-2</v>
      </c>
      <c r="M22">
        <v>5.7784330237537196</v>
      </c>
      <c r="N22">
        <v>1.14890993812201E-4</v>
      </c>
      <c r="O22">
        <v>7.2137885277218802E-2</v>
      </c>
      <c r="P22">
        <v>1.28894638551407E-2</v>
      </c>
      <c r="Q22">
        <v>5.5966552284832503</v>
      </c>
      <c r="R22">
        <v>1.55865376773988E-4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-7.5630726251481498E-2</v>
      </c>
      <c r="D23">
        <v>1.22995628913669E-2</v>
      </c>
      <c r="E23">
        <v>-6.1490580534831096</v>
      </c>
      <c r="F23">
        <v>6.4708693409954501E-5</v>
      </c>
      <c r="G23">
        <v>-8.1125933803085998E-2</v>
      </c>
      <c r="H23">
        <v>1.2809373003133E-2</v>
      </c>
      <c r="I23">
        <v>-6.3333258999674502</v>
      </c>
      <c r="J23">
        <v>4.9756470539602503E-5</v>
      </c>
      <c r="K23">
        <v>-8.9520437783632806E-2</v>
      </c>
      <c r="L23">
        <v>1.8424269104081799E-2</v>
      </c>
      <c r="M23">
        <v>-4.8588325147617404</v>
      </c>
      <c r="N23">
        <v>4.6814639374845199E-4</v>
      </c>
      <c r="O23">
        <v>-7.4065919301356295E-2</v>
      </c>
      <c r="P23">
        <v>1.73828649731552E-2</v>
      </c>
      <c r="Q23">
        <v>-4.2608580010106696</v>
      </c>
      <c r="R23">
        <v>1.2725833988843399E-3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-2.4963285232354401E-2</v>
      </c>
      <c r="D24">
        <v>2.0524885981361499E-2</v>
      </c>
      <c r="E24">
        <v>-1.21624477013043</v>
      </c>
      <c r="F24">
        <v>0.250946091908199</v>
      </c>
      <c r="G24">
        <v>-2.6421652283188199E-2</v>
      </c>
      <c r="H24">
        <v>2.1777034975608098E-2</v>
      </c>
      <c r="I24">
        <v>-1.2132805183433999</v>
      </c>
      <c r="J24">
        <v>0.25206613470949302</v>
      </c>
      <c r="K24">
        <v>-1.51010890242723E-3</v>
      </c>
      <c r="L24">
        <v>2.68777033768848E-2</v>
      </c>
      <c r="M24">
        <v>-5.6184447058298399E-2</v>
      </c>
      <c r="N24">
        <v>0.95626453003366796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1.5424869194108499E-2</v>
      </c>
      <c r="D25">
        <v>5.4605877336457602E-2</v>
      </c>
      <c r="E25">
        <v>0.28247635504631002</v>
      </c>
      <c r="F25">
        <v>0.78678503010157397</v>
      </c>
      <c r="G25">
        <v>1.90165253621929E-2</v>
      </c>
      <c r="H25">
        <v>6.6803721985163197E-2</v>
      </c>
      <c r="I25">
        <v>0.28466266245489202</v>
      </c>
      <c r="J25">
        <v>0.78520245655463505</v>
      </c>
      <c r="K25">
        <v>3.9797692528674697E-2</v>
      </c>
      <c r="L25">
        <v>8.7209721890527794E-2</v>
      </c>
      <c r="M25">
        <v>0.45634467884935798</v>
      </c>
      <c r="N25">
        <v>0.66383422223396105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-2.76635509719203E-2</v>
      </c>
      <c r="D26">
        <v>9.3419015957697995E-3</v>
      </c>
      <c r="E26">
        <v>-2.96123339432808</v>
      </c>
      <c r="F26">
        <v>1.2523072822802199E-2</v>
      </c>
      <c r="G26">
        <v>-2.9361485747885701E-2</v>
      </c>
      <c r="H26">
        <v>1.2092528555447599E-2</v>
      </c>
      <c r="I26">
        <v>-2.4280683409805701</v>
      </c>
      <c r="J26">
        <v>3.2861310042824998E-2</v>
      </c>
      <c r="K26">
        <v>-1.3609009431475199E-2</v>
      </c>
      <c r="L26">
        <v>1.2153221167984399E-2</v>
      </c>
      <c r="M26">
        <v>-1.1197862067486899</v>
      </c>
      <c r="N26">
        <v>0.28598862214666498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5.9202906639523802E-2</v>
      </c>
      <c r="D27">
        <v>2.2488485328457999E-2</v>
      </c>
      <c r="E27">
        <v>2.6325875564685299</v>
      </c>
      <c r="F27">
        <v>3.2126765740411199E-2</v>
      </c>
      <c r="G27">
        <v>8.1246335753240403E-2</v>
      </c>
      <c r="H27">
        <v>2.4979752046103101E-2</v>
      </c>
      <c r="I27">
        <v>3.2524876789525599</v>
      </c>
      <c r="J27">
        <v>1.27813581792929E-2</v>
      </c>
      <c r="K27">
        <v>7.58370751232781E-2</v>
      </c>
      <c r="L27">
        <v>2.8300940346071699E-2</v>
      </c>
      <c r="M27">
        <v>2.6796662653580201</v>
      </c>
      <c r="N27">
        <v>2.9333707639611298E-2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1.7262350494339902E-2</v>
      </c>
      <c r="D28">
        <v>2.4396380662601701E-2</v>
      </c>
      <c r="E28">
        <v>0.70757833848699103</v>
      </c>
      <c r="F28">
        <v>0.49270517068507402</v>
      </c>
      <c r="G28">
        <v>2.5870316236774799E-2</v>
      </c>
      <c r="H28">
        <v>2.1457208423542599E-2</v>
      </c>
      <c r="I28">
        <v>1.2056701750815899</v>
      </c>
      <c r="J28">
        <v>0.25122336381559701</v>
      </c>
      <c r="K28">
        <v>-3.1006742616972601E-3</v>
      </c>
      <c r="L28">
        <v>3.5787384536448502E-2</v>
      </c>
      <c r="M28">
        <v>-8.6641544272096804E-2</v>
      </c>
      <c r="N28">
        <v>0.93236046955941998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1.00046074836956E-2</v>
      </c>
      <c r="D29">
        <v>0.115443874831718</v>
      </c>
      <c r="E29">
        <v>8.66620901133065E-2</v>
      </c>
      <c r="F29">
        <v>0.94067890721467096</v>
      </c>
      <c r="G29">
        <v>3.2903222239727602E-2</v>
      </c>
      <c r="H29">
        <v>0.12687939236367299</v>
      </c>
      <c r="I29">
        <v>0.25932676399818799</v>
      </c>
      <c r="J29">
        <v>0.82543989817754104</v>
      </c>
      <c r="K29">
        <v>4.1228375806121403E-2</v>
      </c>
      <c r="L29">
        <v>0.122955959773899</v>
      </c>
      <c r="M29">
        <v>0.33531010519486198</v>
      </c>
      <c r="N29">
        <v>0.77705252007361003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AB30" t="str">
        <f t="shared" si="0"/>
        <v>***</v>
      </c>
      <c r="AC30" t="str">
        <f t="shared" si="1"/>
        <v>***</v>
      </c>
      <c r="AD30" t="str">
        <f t="shared" si="2"/>
        <v>***</v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3.0595624409591798E-3</v>
      </c>
      <c r="D31">
        <v>1.30037071353478E-2</v>
      </c>
      <c r="E31">
        <v>0.235283862448918</v>
      </c>
      <c r="F31">
        <v>0.81777667167008095</v>
      </c>
      <c r="G31">
        <v>-3.5186785568738499E-3</v>
      </c>
      <c r="H31">
        <v>1.42575068894753E-2</v>
      </c>
      <c r="I31">
        <v>-0.24679479969049101</v>
      </c>
      <c r="J31">
        <v>0.80904576517625904</v>
      </c>
      <c r="K31">
        <v>-2.7203180447783401E-2</v>
      </c>
      <c r="L31">
        <v>2.6222854249681401E-2</v>
      </c>
      <c r="M31">
        <v>-1.0373844200470299</v>
      </c>
      <c r="N31">
        <v>0.318978203243443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-1.57983821869313E-2</v>
      </c>
      <c r="D32">
        <v>7.1983100166224598E-2</v>
      </c>
      <c r="E32">
        <v>-0.219473489616999</v>
      </c>
      <c r="F32">
        <v>0.83559522647817197</v>
      </c>
      <c r="G32">
        <v>-8.2162652356183793E-3</v>
      </c>
      <c r="H32">
        <v>7.1069924349368693E-2</v>
      </c>
      <c r="I32">
        <v>-0.11560818884833</v>
      </c>
      <c r="J32">
        <v>0.91281017431334899</v>
      </c>
      <c r="K32">
        <v>1.1320353878281701E-2</v>
      </c>
      <c r="L32">
        <v>7.2370256320056101E-2</v>
      </c>
      <c r="M32">
        <v>0.156422741246317</v>
      </c>
      <c r="N32">
        <v>0.88229401846259203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-0.11389650591581001</v>
      </c>
      <c r="D33">
        <v>0.12903380914999901</v>
      </c>
      <c r="E33">
        <v>-0.88268731014061697</v>
      </c>
      <c r="F33">
        <v>0.472379607131867</v>
      </c>
      <c r="G33">
        <v>-0.14253381051768299</v>
      </c>
      <c r="H33">
        <v>0.12560333390408801</v>
      </c>
      <c r="I33">
        <v>-1.13479321039777</v>
      </c>
      <c r="J33">
        <v>0.37668325777763201</v>
      </c>
      <c r="K33">
        <v>1.81379668822369E-2</v>
      </c>
      <c r="L33">
        <v>6.5521653575597402E-2</v>
      </c>
      <c r="M33">
        <v>0.27682400996351098</v>
      </c>
      <c r="N33">
        <v>0.80880924172846902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6.9860036136654396E-2</v>
      </c>
      <c r="D34">
        <v>5.1815504046388801E-2</v>
      </c>
      <c r="E34">
        <v>1.3482458083223701</v>
      </c>
      <c r="F34">
        <v>0.20489769666164401</v>
      </c>
      <c r="G34">
        <v>7.13191453560027E-2</v>
      </c>
      <c r="H34">
        <v>5.5794686178240398E-2</v>
      </c>
      <c r="I34">
        <v>1.2782426112796501</v>
      </c>
      <c r="J34">
        <v>0.22752490409495699</v>
      </c>
      <c r="K34">
        <v>9.8215080800688498E-2</v>
      </c>
      <c r="L34">
        <v>6.6870142188774101E-2</v>
      </c>
      <c r="M34">
        <v>1.4687434120212799</v>
      </c>
      <c r="N34">
        <v>0.17237014374473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1.7966080871546799E-2</v>
      </c>
      <c r="D35">
        <v>2.6374452562026401E-2</v>
      </c>
      <c r="E35">
        <v>0.68119256046338295</v>
      </c>
      <c r="F35">
        <v>0.51418643575199197</v>
      </c>
      <c r="G35">
        <v>4.3812367098459801E-2</v>
      </c>
      <c r="H35">
        <v>3.2411923088506801E-2</v>
      </c>
      <c r="I35">
        <v>1.3517361181816301</v>
      </c>
      <c r="J35">
        <v>0.21202292542511</v>
      </c>
      <c r="K35">
        <v>3.7700094336563197E-2</v>
      </c>
      <c r="L35">
        <v>4.5773232156959401E-2</v>
      </c>
      <c r="M35">
        <v>0.82362753426035396</v>
      </c>
      <c r="N35">
        <v>0.43506520343954602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2.7266444420977701E-2</v>
      </c>
      <c r="D36">
        <v>5.5653863727072199E-2</v>
      </c>
      <c r="E36">
        <v>0.489929047059391</v>
      </c>
      <c r="F36">
        <v>0.63260494170069104</v>
      </c>
      <c r="G36">
        <v>3.4296762686439199E-2</v>
      </c>
      <c r="H36">
        <v>5.71740375152879E-2</v>
      </c>
      <c r="I36">
        <v>0.59986602620583696</v>
      </c>
      <c r="J36">
        <v>0.559196025248059</v>
      </c>
      <c r="K36">
        <v>2.4245998305544799E-2</v>
      </c>
      <c r="L36">
        <v>4.9649071111399497E-2</v>
      </c>
      <c r="M36">
        <v>0.48834747081457303</v>
      </c>
      <c r="N36">
        <v>0.63529020697389504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6.1393749446433103E-2</v>
      </c>
      <c r="D37">
        <v>6.1294457052990498E-2</v>
      </c>
      <c r="E37">
        <v>1.0016199245122099</v>
      </c>
      <c r="F37">
        <v>0.33995368533179199</v>
      </c>
      <c r="G37">
        <v>6.0077212613750298E-2</v>
      </c>
      <c r="H37">
        <v>7.7072181363610298E-2</v>
      </c>
      <c r="I37">
        <v>0.77949282803244802</v>
      </c>
      <c r="J37">
        <v>0.45360844308268999</v>
      </c>
      <c r="K37">
        <v>0.12867981341017001</v>
      </c>
      <c r="L37">
        <v>8.1818100448258393E-2</v>
      </c>
      <c r="M37">
        <v>1.5727548391513499</v>
      </c>
      <c r="N37">
        <v>0.14986840820431599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4.7685106710434501E-2</v>
      </c>
      <c r="D38">
        <v>0.10478488402934</v>
      </c>
      <c r="E38">
        <v>0.45507619874907301</v>
      </c>
      <c r="F38">
        <v>0.657785586058237</v>
      </c>
      <c r="G38">
        <v>0.138374775125612</v>
      </c>
      <c r="H38">
        <v>0.100226164028523</v>
      </c>
      <c r="I38">
        <v>1.3806252735187201</v>
      </c>
      <c r="J38">
        <v>0.19375635259166701</v>
      </c>
      <c r="K38">
        <v>0.22891305519932001</v>
      </c>
      <c r="L38">
        <v>0.10947915993777101</v>
      </c>
      <c r="M38">
        <v>2.0909281303349201</v>
      </c>
      <c r="N38">
        <v>6.3651734971819099E-2</v>
      </c>
      <c r="AB38" t="str">
        <f t="shared" si="0"/>
        <v/>
      </c>
      <c r="AC38" t="str">
        <f t="shared" si="1"/>
        <v/>
      </c>
      <c r="AD38" t="str">
        <f t="shared" si="2"/>
        <v>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0.25873511205618599</v>
      </c>
      <c r="D39">
        <v>0.139441850367366</v>
      </c>
      <c r="E39">
        <v>1.8555054409744101</v>
      </c>
      <c r="F39">
        <v>0.14407252261498399</v>
      </c>
      <c r="G39">
        <v>0.50352837288642205</v>
      </c>
      <c r="H39">
        <v>0.13641502939619199</v>
      </c>
      <c r="I39">
        <v>3.6911502721889802</v>
      </c>
      <c r="J39">
        <v>2.1812226817380199E-2</v>
      </c>
      <c r="K39">
        <v>0.58764557815415897</v>
      </c>
      <c r="L39">
        <v>9.4299705238642895E-2</v>
      </c>
      <c r="M39">
        <v>6.2316799046933697</v>
      </c>
      <c r="N39">
        <v>4.7348954278718597E-3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0.26852900778969802</v>
      </c>
      <c r="D40">
        <v>2.33819028869902E-2</v>
      </c>
      <c r="E40">
        <v>11.4844805013329</v>
      </c>
      <c r="F40">
        <v>6.4129131029794203E-3</v>
      </c>
      <c r="G40">
        <v>0.222167548763687</v>
      </c>
      <c r="H40">
        <v>4.4599013474624298E-2</v>
      </c>
      <c r="I40">
        <v>4.9814453606713602</v>
      </c>
      <c r="J40">
        <v>3.8485326038678297E-2</v>
      </c>
      <c r="K40">
        <v>0.218652477108115</v>
      </c>
      <c r="L40">
        <v>4.6756795775397798E-2</v>
      </c>
      <c r="M40">
        <v>4.6763785559309898</v>
      </c>
      <c r="N40">
        <v>4.2508820092385401E-2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0.31405305733783201</v>
      </c>
      <c r="D41">
        <v>3.9780206591652698E-2</v>
      </c>
      <c r="E41">
        <v>7.89470654493112</v>
      </c>
      <c r="F41">
        <v>3.0120018438631198E-3</v>
      </c>
      <c r="G41">
        <v>0.269642335856631</v>
      </c>
      <c r="H41">
        <v>6.2417737859877802E-2</v>
      </c>
      <c r="I41">
        <v>4.3199632845066196</v>
      </c>
      <c r="J41">
        <v>2.05566967814707E-2</v>
      </c>
      <c r="K41">
        <v>0.27153456321760899</v>
      </c>
      <c r="L41">
        <v>6.7101499209759705E-2</v>
      </c>
      <c r="M41">
        <v>4.0466243886562099</v>
      </c>
      <c r="N41">
        <v>2.4643030444792099E-2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0.37341877348120101</v>
      </c>
      <c r="D42">
        <v>0.118472290311695</v>
      </c>
      <c r="E42">
        <v>3.1519503210307902</v>
      </c>
      <c r="F42">
        <v>1.4685975976191199E-2</v>
      </c>
      <c r="G42">
        <v>0.31537620991857701</v>
      </c>
      <c r="H42">
        <v>0.142338348011531</v>
      </c>
      <c r="I42">
        <v>2.2156798524388401</v>
      </c>
      <c r="J42">
        <v>5.9513535621399702E-2</v>
      </c>
      <c r="K42">
        <v>0.24610806499924601</v>
      </c>
      <c r="L42">
        <v>0.15387266752308401</v>
      </c>
      <c r="M42">
        <v>1.5994267790432899</v>
      </c>
      <c r="N42">
        <v>0.15064535393884501</v>
      </c>
      <c r="AB42" t="str">
        <f t="shared" si="0"/>
        <v>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0.27315632577520799</v>
      </c>
      <c r="D43">
        <v>7.1510629217551996E-2</v>
      </c>
      <c r="E43">
        <v>3.8198003396698299</v>
      </c>
      <c r="F43">
        <v>7.7697742889059201E-3</v>
      </c>
      <c r="G43">
        <v>0.212752054026563</v>
      </c>
      <c r="H43">
        <v>8.6891647789683404E-2</v>
      </c>
      <c r="I43">
        <v>2.4484753073335401</v>
      </c>
      <c r="J43">
        <v>4.8046871329045497E-2</v>
      </c>
      <c r="K43">
        <v>0.16438405030182501</v>
      </c>
      <c r="L43">
        <v>8.9635320387360301E-2</v>
      </c>
      <c r="M43">
        <v>1.8339204857129701</v>
      </c>
      <c r="N43">
        <v>0.11429784684283401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6.5001129710946307E-2</v>
      </c>
      <c r="D44">
        <v>0.194622693299255</v>
      </c>
      <c r="E44">
        <v>0.333985357046723</v>
      </c>
      <c r="F44">
        <v>0.74621456818050302</v>
      </c>
      <c r="G44">
        <v>-3.6960663022770499E-2</v>
      </c>
      <c r="H44">
        <v>0.24509651212352701</v>
      </c>
      <c r="I44">
        <v>-0.15080044470050499</v>
      </c>
      <c r="J44">
        <v>0.88353864510731805</v>
      </c>
      <c r="K44">
        <v>-0.126619440535407</v>
      </c>
      <c r="L44">
        <v>0.26974899689917697</v>
      </c>
      <c r="M44">
        <v>-0.469397261865383</v>
      </c>
      <c r="N44">
        <v>0.65022593766363701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1.21834028311976E-4</v>
      </c>
      <c r="D45">
        <v>1.3308040106455501E-4</v>
      </c>
      <c r="E45">
        <v>0.91549189315169299</v>
      </c>
      <c r="F45">
        <v>0.38894850184296498</v>
      </c>
      <c r="G45">
        <v>2.3765947261462301E-4</v>
      </c>
      <c r="H45">
        <v>1.5038632448778399E-4</v>
      </c>
      <c r="I45">
        <v>1.58032635895645</v>
      </c>
      <c r="J45">
        <v>0.15597105262807001</v>
      </c>
      <c r="K45">
        <v>1.5175445436585699E-5</v>
      </c>
      <c r="L45">
        <v>1.8102574535900799E-4</v>
      </c>
      <c r="M45">
        <v>8.3830315994500901E-2</v>
      </c>
      <c r="N45">
        <v>0.93540859662765896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1.0766068236129101E-2</v>
      </c>
      <c r="D46">
        <v>3.5360631832016499E-3</v>
      </c>
      <c r="E46">
        <v>3.04464815201101</v>
      </c>
      <c r="F46">
        <v>1.10444671608203E-2</v>
      </c>
      <c r="G46">
        <v>6.1431802235417197E-3</v>
      </c>
      <c r="H46">
        <v>4.03010490631366E-3</v>
      </c>
      <c r="I46">
        <v>1.5243226581813401</v>
      </c>
      <c r="J46">
        <v>0.155469067492575</v>
      </c>
      <c r="K46">
        <v>-2.9615388635801901E-3</v>
      </c>
      <c r="L46">
        <v>4.2140906728774597E-3</v>
      </c>
      <c r="M46">
        <v>-0.70277056035863605</v>
      </c>
      <c r="N46">
        <v>0.496672501978975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5.5584136224312202E-3</v>
      </c>
      <c r="D47">
        <v>3.0525035977892398E-3</v>
      </c>
      <c r="E47">
        <v>1.82093597742419</v>
      </c>
      <c r="F47">
        <v>0.15517976672870501</v>
      </c>
      <c r="G47">
        <v>1.06354674031559E-2</v>
      </c>
      <c r="H47">
        <v>5.3820054818998599E-3</v>
      </c>
      <c r="I47">
        <v>1.9761160479906299</v>
      </c>
      <c r="J47">
        <v>0.132927130852246</v>
      </c>
      <c r="K47">
        <v>1.30345986802616E-2</v>
      </c>
      <c r="L47">
        <v>4.9456086947060399E-3</v>
      </c>
      <c r="M47">
        <v>2.6355903762087598</v>
      </c>
      <c r="N47">
        <v>6.8986064691459403E-2</v>
      </c>
      <c r="AB47" t="str">
        <f t="shared" si="0"/>
        <v/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-6.3634302132458999E-3</v>
      </c>
      <c r="D48">
        <v>1.10456391376728E-2</v>
      </c>
      <c r="E48">
        <v>-0.57610339555114598</v>
      </c>
      <c r="F48">
        <v>0.58221960237830095</v>
      </c>
      <c r="G48">
        <v>-1.0555265768228E-2</v>
      </c>
      <c r="H48">
        <v>1.3760172766233999E-2</v>
      </c>
      <c r="I48">
        <v>-0.76708817160563003</v>
      </c>
      <c r="J48">
        <v>0.466838569385645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-6.2279823021438301E-2</v>
      </c>
      <c r="D49">
        <v>6.5037266425369306E-2</v>
      </c>
      <c r="E49">
        <v>-0.95760210175661098</v>
      </c>
      <c r="F49">
        <v>0.35791042568203202</v>
      </c>
      <c r="G49">
        <v>-2.8027736423267301E-2</v>
      </c>
      <c r="H49">
        <v>7.2849875645284598E-2</v>
      </c>
      <c r="I49">
        <v>-0.38473279707075903</v>
      </c>
      <c r="J49">
        <v>0.70766583962504104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-2.55354149320892E-2</v>
      </c>
      <c r="D50">
        <v>1.07921969909348E-2</v>
      </c>
      <c r="E50">
        <v>-2.3660997805672301</v>
      </c>
      <c r="F50">
        <v>4.5389554801153899E-2</v>
      </c>
      <c r="G50">
        <v>-2.0665885824426501E-2</v>
      </c>
      <c r="H50">
        <v>1.15899401704828E-2</v>
      </c>
      <c r="I50">
        <v>-1.7830882231004399</v>
      </c>
      <c r="J50">
        <v>0.114984858464971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-2.0647622251326E-3</v>
      </c>
      <c r="D51">
        <v>6.6100860289248003E-3</v>
      </c>
      <c r="E51">
        <v>-0.31236540887629799</v>
      </c>
      <c r="F51">
        <v>0.76004726011151003</v>
      </c>
      <c r="G51">
        <v>-3.7544630534424201E-4</v>
      </c>
      <c r="H51">
        <v>8.6999000202112493E-3</v>
      </c>
      <c r="I51">
        <v>-4.31552436777458E-2</v>
      </c>
      <c r="J51">
        <v>0.96626393500901198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-2.2379836865026401E-3</v>
      </c>
      <c r="D52">
        <v>9.2349725036312803E-4</v>
      </c>
      <c r="E52">
        <v>-2.4233788304433399</v>
      </c>
      <c r="F52">
        <v>0.22299595583359499</v>
      </c>
      <c r="G52">
        <v>-2.3979404428083602E-3</v>
      </c>
      <c r="H52">
        <v>2.07173428165605E-3</v>
      </c>
      <c r="I52">
        <v>-1.1574555984523001</v>
      </c>
      <c r="J52">
        <v>0.43512080459663499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3.5027380348445603E-2</v>
      </c>
      <c r="D53">
        <v>1.6068186857504399E-2</v>
      </c>
      <c r="E53">
        <v>2.1799211484826899</v>
      </c>
      <c r="F53">
        <v>5.7141171143391997E-2</v>
      </c>
      <c r="G53">
        <v>4.2598421868485899E-2</v>
      </c>
      <c r="H53">
        <v>1.6125770640760699E-2</v>
      </c>
      <c r="I53">
        <v>2.64163634826921</v>
      </c>
      <c r="J53">
        <v>2.58448859483968E-2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2.7689083908690799E-2</v>
      </c>
      <c r="D54">
        <v>2.4974354890510999E-2</v>
      </c>
      <c r="E54">
        <v>1.10870066634679</v>
      </c>
      <c r="F54">
        <v>0.29020248013272898</v>
      </c>
      <c r="G54">
        <v>4.9658960862585297E-2</v>
      </c>
      <c r="H54">
        <v>3.5607916612546898E-2</v>
      </c>
      <c r="I54">
        <v>1.39460450334483</v>
      </c>
      <c r="J54">
        <v>0.19152850337722599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1.11669088378021E-6</v>
      </c>
      <c r="D55">
        <v>5.4261036088652103E-6</v>
      </c>
      <c r="E55">
        <v>0.20579977167331501</v>
      </c>
      <c r="F55">
        <v>0.84074942633192495</v>
      </c>
      <c r="G55">
        <v>1.09125845908201E-6</v>
      </c>
      <c r="H55">
        <v>7.5955979948740303E-6</v>
      </c>
      <c r="I55">
        <v>0.14366985454186201</v>
      </c>
      <c r="J55">
        <v>0.88836469275956598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9.7350064378990106E-6</v>
      </c>
      <c r="D56">
        <v>3.2264504739993601E-6</v>
      </c>
      <c r="E56">
        <v>3.01724961109722</v>
      </c>
      <c r="F56">
        <v>1.16647442725653E-2</v>
      </c>
      <c r="G56">
        <v>1.07212462151735E-5</v>
      </c>
      <c r="H56">
        <v>4.0590732859573804E-6</v>
      </c>
      <c r="I56">
        <v>2.6413039282302102</v>
      </c>
      <c r="J56">
        <v>2.3509698765954001E-2</v>
      </c>
      <c r="AB56" t="str">
        <f t="shared" si="0"/>
        <v>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-0.38720806423385301</v>
      </c>
      <c r="D57">
        <v>0.14331494256942501</v>
      </c>
      <c r="E57">
        <v>-2.7017982723349401</v>
      </c>
      <c r="F57">
        <v>4.5626537754822102E-2</v>
      </c>
      <c r="AB57" t="str">
        <f t="shared" si="0"/>
        <v>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-0.113849092696565</v>
      </c>
      <c r="D58">
        <v>4.1070247941824803E-2</v>
      </c>
      <c r="E58">
        <v>-2.7720575940478902</v>
      </c>
      <c r="F58">
        <v>2.0945342787856001E-2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-0.182229627799329</v>
      </c>
      <c r="D59">
        <v>0.10871621029871099</v>
      </c>
      <c r="E59">
        <v>-1.67619554893083</v>
      </c>
      <c r="F59">
        <v>0.11820813303080401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0.27274417557383901</v>
      </c>
      <c r="D60">
        <v>9.9693845980445894E-2</v>
      </c>
      <c r="E60">
        <v>2.7358175712002901</v>
      </c>
      <c r="F60">
        <v>2.41989639136303E-2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-0.54277459572419295</v>
      </c>
      <c r="D61">
        <v>0.104719571454414</v>
      </c>
      <c r="E61">
        <v>-5.1831246841997602</v>
      </c>
      <c r="F61">
        <v>4.3990848799839903E-3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03807-8259-4204-BF58-0FB645173BA4}">
  <sheetPr codeName="Sheet17"/>
  <dimension ref="A1:AG62"/>
  <sheetViews>
    <sheetView topLeftCell="F31" workbookViewId="0">
      <selection activeCell="AB2" sqref="AB2:AG62"/>
    </sheetView>
  </sheetViews>
  <sheetFormatPr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2.0987409800202999</v>
      </c>
      <c r="D2">
        <v>14.2522586017877</v>
      </c>
      <c r="E2">
        <v>0.14725672882170801</v>
      </c>
      <c r="F2">
        <v>0.88557937343099502</v>
      </c>
      <c r="G2">
        <v>0.90295868544689395</v>
      </c>
      <c r="H2">
        <v>19.431158738093401</v>
      </c>
      <c r="I2">
        <v>4.6469626316041901E-2</v>
      </c>
      <c r="J2">
        <v>0.96375501242628603</v>
      </c>
      <c r="K2">
        <v>12.325457103718101</v>
      </c>
      <c r="L2">
        <v>0.119045952974485</v>
      </c>
      <c r="M2">
        <v>103.53528864908</v>
      </c>
      <c r="N2">
        <v>1.1873514135398801E-14</v>
      </c>
      <c r="O2">
        <v>12.7342526804269</v>
      </c>
      <c r="P2">
        <v>0.13979058075303499</v>
      </c>
      <c r="Q2">
        <v>91.095212651875499</v>
      </c>
      <c r="R2">
        <v>3.58845691689917E-16</v>
      </c>
      <c r="S2">
        <v>13.1313860085532</v>
      </c>
      <c r="T2">
        <v>4.3345488366577901E-2</v>
      </c>
      <c r="U2">
        <v>302.94700794462199</v>
      </c>
      <c r="V2">
        <v>6.0807381989403703E-22</v>
      </c>
      <c r="W2">
        <v>13.238620746114901</v>
      </c>
      <c r="X2">
        <v>5.11756906497082E-2</v>
      </c>
      <c r="Y2">
        <v>258.68963521629303</v>
      </c>
      <c r="Z2">
        <v>4.6042429791305397E-22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6.3341647131811198E-3</v>
      </c>
      <c r="D3">
        <v>1.08013875970428E-2</v>
      </c>
      <c r="E3">
        <v>0.58642138857375103</v>
      </c>
      <c r="F3">
        <v>0.571042193913879</v>
      </c>
      <c r="G3">
        <v>-1.42006152535318E-4</v>
      </c>
      <c r="H3">
        <v>1.0967642562836499E-2</v>
      </c>
      <c r="I3">
        <v>-1.2947737102274001E-2</v>
      </c>
      <c r="J3">
        <v>0.98993299680172497</v>
      </c>
      <c r="K3">
        <v>-3.9287893209527403E-3</v>
      </c>
      <c r="L3">
        <v>1.45974379225123E-2</v>
      </c>
      <c r="M3">
        <v>-0.269142389356815</v>
      </c>
      <c r="N3">
        <v>0.79347777275742704</v>
      </c>
      <c r="O3">
        <v>-2.1750115966215702E-2</v>
      </c>
      <c r="P3">
        <v>1.75506260210666E-2</v>
      </c>
      <c r="Q3">
        <v>-1.2392786411213099</v>
      </c>
      <c r="R3">
        <v>0.24450543853757301</v>
      </c>
      <c r="S3">
        <v>-3.9480346007613798E-2</v>
      </c>
      <c r="T3">
        <v>3.6135298250719199E-2</v>
      </c>
      <c r="U3">
        <v>-1.0925700884959</v>
      </c>
      <c r="V3">
        <v>0.30108659611076999</v>
      </c>
      <c r="W3">
        <v>2.4555898134236598E-3</v>
      </c>
      <c r="X3">
        <v>2.7345354628015701E-2</v>
      </c>
      <c r="Y3">
        <v>8.9799157729988602E-2</v>
      </c>
      <c r="Z3">
        <v>0.93008849163978502</v>
      </c>
      <c r="AB3" t="str">
        <f t="shared" ref="AB3:AB62" si="0">IF(F3&lt;0.01,"***",IF(F3&lt;0.05,"**",IF(F3&lt;0.1,"*","")))</f>
        <v/>
      </c>
      <c r="AC3" t="str">
        <f t="shared" ref="AC3:AC62" si="1">IF(J3&lt;0.01,"***",IF(J3&lt;0.05,"**",IF(J3&lt;0.1,"*","")))</f>
        <v/>
      </c>
      <c r="AD3" t="str">
        <f t="shared" ref="AD3:AD62" si="2">IF(N3&lt;0.01,"***",IF(N3&lt;0.05,"**",IF(N3&lt;0.1,"*","")))</f>
        <v/>
      </c>
      <c r="AE3" t="str">
        <f t="shared" ref="AE3:AE62" si="3">IF(R3&lt;0.01,"***",IF(R3&lt;0.05,"**",IF(R3&lt;0.1,"*","")))</f>
        <v/>
      </c>
      <c r="AF3" t="str">
        <f t="shared" ref="AF3:AF62" si="4">IF(V3&lt;0.01,"***",IF(V3&lt;0.05,"**",IF(V3&lt;0.1,"*","")))</f>
        <v/>
      </c>
      <c r="AG3" t="str">
        <f t="shared" ref="AG3:AG62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-5.8252041574638201E-7</v>
      </c>
      <c r="D4">
        <v>5.51697701490107E-5</v>
      </c>
      <c r="E4">
        <v>-1.0558688466038999E-2</v>
      </c>
      <c r="F4">
        <v>0.99200502818921099</v>
      </c>
      <c r="G4">
        <v>6.1821271832861096E-6</v>
      </c>
      <c r="H4">
        <v>4.5877423244984898E-5</v>
      </c>
      <c r="I4">
        <v>0.13475314753999201</v>
      </c>
      <c r="J4">
        <v>0.89831014756727401</v>
      </c>
      <c r="K4">
        <v>3.74035775184619E-5</v>
      </c>
      <c r="L4">
        <v>8.8576076212574595E-5</v>
      </c>
      <c r="M4">
        <v>0.42227629759413399</v>
      </c>
      <c r="N4">
        <v>0.691177037920507</v>
      </c>
      <c r="O4">
        <v>2.62632917434198E-4</v>
      </c>
      <c r="P4">
        <v>1.21547748290295E-4</v>
      </c>
      <c r="Q4">
        <v>2.1607386490364799</v>
      </c>
      <c r="R4">
        <v>8.5049037708534406E-2</v>
      </c>
      <c r="S4">
        <v>1.0292665526730901E-3</v>
      </c>
      <c r="T4">
        <v>3.2698188702449298E-4</v>
      </c>
      <c r="U4">
        <v>3.14777849635442</v>
      </c>
      <c r="V4">
        <v>2.7946915637843801E-2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>*</v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4.2015565274010298E-2</v>
      </c>
      <c r="D5">
        <v>1.4203478070838599E-2</v>
      </c>
      <c r="E5">
        <v>2.9581180795620199</v>
      </c>
      <c r="F5">
        <v>1.3141554959044699E-2</v>
      </c>
      <c r="G5">
        <v>4.7422239832403901E-2</v>
      </c>
      <c r="H5">
        <v>1.28451575864762E-2</v>
      </c>
      <c r="I5">
        <v>3.6918379173745399</v>
      </c>
      <c r="J5">
        <v>3.6087382602438402E-3</v>
      </c>
      <c r="K5">
        <v>4.1735875824031203E-2</v>
      </c>
      <c r="L5">
        <v>1.41762579828443E-2</v>
      </c>
      <c r="M5">
        <v>2.9440685880955799</v>
      </c>
      <c r="N5">
        <v>1.34659769662411E-2</v>
      </c>
      <c r="O5">
        <v>5.4974707302332698E-2</v>
      </c>
      <c r="P5">
        <v>1.4814790795081001E-2</v>
      </c>
      <c r="Q5">
        <v>3.7107987593443399</v>
      </c>
      <c r="R5">
        <v>3.4817067273320199E-3</v>
      </c>
      <c r="S5">
        <v>7.2614474715852306E-2</v>
      </c>
      <c r="T5">
        <v>3.2502071914386602E-2</v>
      </c>
      <c r="U5">
        <v>2.2341491000058502</v>
      </c>
      <c r="V5">
        <v>4.7377175040737497E-2</v>
      </c>
      <c r="AB5" t="str">
        <f t="shared" si="0"/>
        <v>**</v>
      </c>
      <c r="AC5" t="str">
        <f t="shared" si="1"/>
        <v>***</v>
      </c>
      <c r="AD5" t="str">
        <f t="shared" si="2"/>
        <v>**</v>
      </c>
      <c r="AE5" t="str">
        <f t="shared" si="3"/>
        <v>***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5.5213241067733197E-2</v>
      </c>
      <c r="D6">
        <v>2.0784523291266E-2</v>
      </c>
      <c r="E6">
        <v>2.6564593420785698</v>
      </c>
      <c r="F6">
        <v>2.2799712241675599E-2</v>
      </c>
      <c r="G6">
        <v>6.4785997107181595E-2</v>
      </c>
      <c r="H6">
        <v>1.5230727208979901E-2</v>
      </c>
      <c r="I6">
        <v>4.2536378085075501</v>
      </c>
      <c r="J6">
        <v>1.45085251803175E-3</v>
      </c>
      <c r="K6">
        <v>5.1876760782049301E-2</v>
      </c>
      <c r="L6">
        <v>1.6739845862359701E-2</v>
      </c>
      <c r="M6">
        <v>3.0989987129270098</v>
      </c>
      <c r="N6">
        <v>1.0448348004367501E-2</v>
      </c>
      <c r="O6">
        <v>6.6272140190847401E-2</v>
      </c>
      <c r="P6">
        <v>1.6570400669030001E-2</v>
      </c>
      <c r="Q6">
        <v>3.9994289525364199</v>
      </c>
      <c r="R6">
        <v>2.2080492266207201E-3</v>
      </c>
      <c r="S6">
        <v>7.5417799921748893E-2</v>
      </c>
      <c r="T6">
        <v>3.3307508545551798E-2</v>
      </c>
      <c r="U6">
        <v>2.26428824055112</v>
      </c>
      <c r="V6">
        <v>4.5466759790497101E-2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5.2190082567661403E-2</v>
      </c>
      <c r="D7">
        <v>2.0321773364941401E-2</v>
      </c>
      <c r="E7">
        <v>2.5681854447652799</v>
      </c>
      <c r="F7">
        <v>2.6103034084297299E-2</v>
      </c>
      <c r="G7">
        <v>5.3480327226971797E-2</v>
      </c>
      <c r="H7">
        <v>1.6192186079030599E-2</v>
      </c>
      <c r="I7">
        <v>3.3028478653805999</v>
      </c>
      <c r="J7">
        <v>7.0085036202591801E-3</v>
      </c>
      <c r="K7">
        <v>4.6397831018569598E-2</v>
      </c>
      <c r="L7">
        <v>1.66245837716411E-2</v>
      </c>
      <c r="M7">
        <v>2.7909168527706001</v>
      </c>
      <c r="N7">
        <v>1.7496770890490398E-2</v>
      </c>
      <c r="O7">
        <v>5.8043569026076297E-2</v>
      </c>
      <c r="P7">
        <v>2.1227231702037299E-2</v>
      </c>
      <c r="Q7">
        <v>2.7343918340753501</v>
      </c>
      <c r="R7">
        <v>1.9334006246495901E-2</v>
      </c>
      <c r="S7">
        <v>6.8540202682453796E-2</v>
      </c>
      <c r="T7">
        <v>3.3630261585677203E-2</v>
      </c>
      <c r="U7">
        <v>2.0380514290035898</v>
      </c>
      <c r="V7">
        <v>6.6239828044667201E-2</v>
      </c>
      <c r="AB7" t="str">
        <f t="shared" si="0"/>
        <v>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1.9945208558077101E-2</v>
      </c>
      <c r="D8">
        <v>3.2042669534814001E-2</v>
      </c>
      <c r="E8">
        <v>0.62245776795865504</v>
      </c>
      <c r="F8">
        <v>0.548641141294826</v>
      </c>
      <c r="G8">
        <v>2.9283489625378099E-2</v>
      </c>
      <c r="H8">
        <v>2.7275346951611601E-2</v>
      </c>
      <c r="I8">
        <v>1.0736248260133601</v>
      </c>
      <c r="J8">
        <v>0.31020720972792398</v>
      </c>
      <c r="K8">
        <v>2.4177398736445199E-2</v>
      </c>
      <c r="L8">
        <v>2.9336122909183901E-2</v>
      </c>
      <c r="M8">
        <v>0.82415112628520704</v>
      </c>
      <c r="N8">
        <v>0.43058876746534902</v>
      </c>
      <c r="O8">
        <v>4.3074966098754497E-2</v>
      </c>
      <c r="P8">
        <v>3.87337677023308E-2</v>
      </c>
      <c r="Q8">
        <v>1.1120778755577301</v>
      </c>
      <c r="R8">
        <v>0.29414678470753303</v>
      </c>
      <c r="S8">
        <v>6.8819368435004705E-2</v>
      </c>
      <c r="T8">
        <v>5.7353899641173101E-2</v>
      </c>
      <c r="U8">
        <v>1.19990739715283</v>
      </c>
      <c r="V8">
        <v>0.25994474400760698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4.7774312464355498E-2</v>
      </c>
      <c r="D9">
        <v>3.8851229011928598E-2</v>
      </c>
      <c r="E9">
        <v>1.22967313208257</v>
      </c>
      <c r="F9">
        <v>0.24749808487184799</v>
      </c>
      <c r="G9">
        <v>6.0731617602754501E-2</v>
      </c>
      <c r="H9">
        <v>3.5877178523538403E-2</v>
      </c>
      <c r="I9">
        <v>1.69276459582544</v>
      </c>
      <c r="J9">
        <v>0.12204258587457301</v>
      </c>
      <c r="K9">
        <v>5.3351201078330301E-2</v>
      </c>
      <c r="L9">
        <v>3.6924970758149697E-2</v>
      </c>
      <c r="M9">
        <v>1.44485425398895</v>
      </c>
      <c r="N9">
        <v>0.17974580536502999</v>
      </c>
      <c r="O9">
        <v>8.9169065664966699E-2</v>
      </c>
      <c r="P9">
        <v>4.41148990602813E-2</v>
      </c>
      <c r="Q9">
        <v>2.02129139053726</v>
      </c>
      <c r="R9">
        <v>7.1441804248561502E-2</v>
      </c>
      <c r="S9">
        <v>0.11087994153177499</v>
      </c>
      <c r="T9">
        <v>6.6486915073147995E-2</v>
      </c>
      <c r="U9">
        <v>1.6676956873361699</v>
      </c>
      <c r="V9">
        <v>0.126965062307549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8.9894310894209004E-2</v>
      </c>
      <c r="D10">
        <v>3.8741876973379601E-2</v>
      </c>
      <c r="E10">
        <v>2.3203395890183001</v>
      </c>
      <c r="F10">
        <v>4.34547578132089E-2</v>
      </c>
      <c r="G10">
        <v>9.9785606517190095E-2</v>
      </c>
      <c r="H10">
        <v>3.6252746941871403E-2</v>
      </c>
      <c r="I10">
        <v>2.7524978087092</v>
      </c>
      <c r="J10">
        <v>2.0944656694357099E-2</v>
      </c>
      <c r="K10">
        <v>8.7534360685525198E-2</v>
      </c>
      <c r="L10">
        <v>3.5277428455764703E-2</v>
      </c>
      <c r="M10">
        <v>2.4813135343832302</v>
      </c>
      <c r="N10">
        <v>3.3138177333432002E-2</v>
      </c>
      <c r="O10">
        <v>0.128071734244394</v>
      </c>
      <c r="P10">
        <v>4.55581962762166E-2</v>
      </c>
      <c r="Q10">
        <v>2.8111677966331801</v>
      </c>
      <c r="R10">
        <v>1.89276547120176E-2</v>
      </c>
      <c r="S10">
        <v>0.127565400700725</v>
      </c>
      <c r="T10">
        <v>7.5635176172813498E-2</v>
      </c>
      <c r="U10">
        <v>1.68658826693627</v>
      </c>
      <c r="V10">
        <v>0.123391087872042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6.3518340732462403E-2</v>
      </c>
      <c r="D11">
        <v>0.102928779858304</v>
      </c>
      <c r="E11">
        <v>0.61710962492613397</v>
      </c>
      <c r="F11">
        <v>0.55449219627262003</v>
      </c>
      <c r="G11">
        <v>6.2225468157756501E-2</v>
      </c>
      <c r="H11">
        <v>0.116422481628727</v>
      </c>
      <c r="I11">
        <v>0.53447982973077501</v>
      </c>
      <c r="J11">
        <v>0.60769225070908595</v>
      </c>
      <c r="K11">
        <v>4.8413879382066302E-2</v>
      </c>
      <c r="L11">
        <v>0.113935969541806</v>
      </c>
      <c r="M11">
        <v>0.42492181860357803</v>
      </c>
      <c r="N11">
        <v>0.68221257770873101</v>
      </c>
      <c r="O11">
        <v>0.100325314886814</v>
      </c>
      <c r="P11">
        <v>9.6026116165225106E-2</v>
      </c>
      <c r="Q11">
        <v>1.04477114032386</v>
      </c>
      <c r="R11">
        <v>0.326971693165302</v>
      </c>
      <c r="S11">
        <v>0.135295900158349</v>
      </c>
      <c r="T11">
        <v>0.13433156840173099</v>
      </c>
      <c r="U11">
        <v>1.00717874262984</v>
      </c>
      <c r="V11">
        <v>0.34363413374345902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5.7957479961378802E-2</v>
      </c>
      <c r="D12">
        <v>3.03866093474142E-2</v>
      </c>
      <c r="E12">
        <v>1.9073361986111399</v>
      </c>
      <c r="F12">
        <v>7.9991356006853503E-2</v>
      </c>
      <c r="G12">
        <v>4.8491528248223698E-2</v>
      </c>
      <c r="H12">
        <v>3.1303451147189902E-2</v>
      </c>
      <c r="I12">
        <v>1.5490793018384701</v>
      </c>
      <c r="J12">
        <v>0.14646358137217</v>
      </c>
      <c r="K12">
        <v>1.37649739509615E-2</v>
      </c>
      <c r="L12">
        <v>2.6062722176446299E-2</v>
      </c>
      <c r="M12">
        <v>0.528147975402251</v>
      </c>
      <c r="N12">
        <v>0.60660189421997301</v>
      </c>
      <c r="O12">
        <v>-3.6354806826328398E-2</v>
      </c>
      <c r="P12">
        <v>2.2519511852596898E-2</v>
      </c>
      <c r="Q12">
        <v>-1.61436922186819</v>
      </c>
      <c r="R12">
        <v>0.13550768610437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6.1492096886668603E-2</v>
      </c>
      <c r="D13">
        <v>3.05261341062039E-2</v>
      </c>
      <c r="E13">
        <v>2.0144082664621301</v>
      </c>
      <c r="F13">
        <v>6.4666842426998106E-2</v>
      </c>
      <c r="G13">
        <v>6.4913255789424404E-2</v>
      </c>
      <c r="H13">
        <v>3.7282144671600702E-2</v>
      </c>
      <c r="I13">
        <v>1.74113523675239</v>
      </c>
      <c r="J13">
        <v>0.104671242358315</v>
      </c>
      <c r="K13">
        <v>8.5380044568726707E-2</v>
      </c>
      <c r="L13">
        <v>4.3508687698490998E-2</v>
      </c>
      <c r="M13">
        <v>1.9623677266572199</v>
      </c>
      <c r="N13">
        <v>7.08144644722567E-2</v>
      </c>
      <c r="O13">
        <v>0.10839368918747901</v>
      </c>
      <c r="P13">
        <v>4.3872998384964203E-2</v>
      </c>
      <c r="Q13">
        <v>2.4706241464596701</v>
      </c>
      <c r="R13">
        <v>2.7623262847473101E-2</v>
      </c>
      <c r="AB13" t="str">
        <f t="shared" si="0"/>
        <v>*</v>
      </c>
      <c r="AC13" t="str">
        <f t="shared" si="1"/>
        <v/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2.4654374206190901E-2</v>
      </c>
      <c r="D14">
        <v>2.46888952851404E-2</v>
      </c>
      <c r="E14">
        <v>0.99860175684044095</v>
      </c>
      <c r="F14">
        <v>0.33771567178962097</v>
      </c>
      <c r="G14">
        <v>1.8392335230984099E-2</v>
      </c>
      <c r="H14">
        <v>2.6570327652023499E-2</v>
      </c>
      <c r="I14">
        <v>0.69221333932566198</v>
      </c>
      <c r="J14">
        <v>0.50208573465506601</v>
      </c>
      <c r="K14">
        <v>5.6188103890195901E-3</v>
      </c>
      <c r="L14">
        <v>3.35202597087721E-2</v>
      </c>
      <c r="M14">
        <v>0.1676243095321</v>
      </c>
      <c r="N14">
        <v>0.86971299983002104</v>
      </c>
      <c r="O14">
        <v>-3.5092902869549802E-3</v>
      </c>
      <c r="P14">
        <v>3.4115097072222302E-2</v>
      </c>
      <c r="Q14">
        <v>-0.10286619673178</v>
      </c>
      <c r="R14">
        <v>0.91977034073486896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-3.3507767241700598E-2</v>
      </c>
      <c r="D15">
        <v>2.3133119440396602E-2</v>
      </c>
      <c r="E15">
        <v>-1.4484759536228899</v>
      </c>
      <c r="F15">
        <v>0.17875416870922101</v>
      </c>
      <c r="G15">
        <v>-3.3654747187387903E-2</v>
      </c>
      <c r="H15">
        <v>2.3949847791746699E-2</v>
      </c>
      <c r="I15">
        <v>-1.40521758134035</v>
      </c>
      <c r="J15">
        <v>0.19084635293811</v>
      </c>
      <c r="K15">
        <v>-3.6876778450403401E-2</v>
      </c>
      <c r="L15">
        <v>2.79624194419387E-2</v>
      </c>
      <c r="M15">
        <v>-1.31879784319002</v>
      </c>
      <c r="N15">
        <v>0.21734213063867799</v>
      </c>
      <c r="O15">
        <v>-0.10776363827228901</v>
      </c>
      <c r="P15">
        <v>5.66697182470354E-2</v>
      </c>
      <c r="Q15">
        <v>-1.9016088592945499</v>
      </c>
      <c r="R15">
        <v>8.2865964544355894E-2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-8.0720158323571902E-3</v>
      </c>
      <c r="D16">
        <v>1.01490860421869E-2</v>
      </c>
      <c r="E16">
        <v>-0.79534411264266403</v>
      </c>
      <c r="F16">
        <v>0.44583321880091897</v>
      </c>
      <c r="G16">
        <v>-6.5805888809021603E-3</v>
      </c>
      <c r="H16">
        <v>1.1684001595195E-2</v>
      </c>
      <c r="I16">
        <v>-0.563213623970098</v>
      </c>
      <c r="J16">
        <v>0.58626696305507697</v>
      </c>
      <c r="K16">
        <v>2.4566217105947098E-3</v>
      </c>
      <c r="L16">
        <v>7.0618120976857204E-3</v>
      </c>
      <c r="M16">
        <v>0.34787412587766098</v>
      </c>
      <c r="N16">
        <v>0.73542447596072602</v>
      </c>
      <c r="O16">
        <v>8.1451025441997199E-2</v>
      </c>
      <c r="P16">
        <v>1.8774457580729001E-2</v>
      </c>
      <c r="Q16">
        <v>4.3383956682510201</v>
      </c>
      <c r="R16">
        <v>1.2131040745531701E-3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5.2169125400687805E-4</v>
      </c>
      <c r="D17">
        <v>6.5634087097553699E-5</v>
      </c>
      <c r="E17">
        <v>7.9484803868982503</v>
      </c>
      <c r="F17">
        <v>3.4986568363384602E-5</v>
      </c>
      <c r="G17">
        <v>5.6807934413534802E-4</v>
      </c>
      <c r="H17">
        <v>7.5151261213364103E-5</v>
      </c>
      <c r="I17">
        <v>7.5591458474994502</v>
      </c>
      <c r="J17">
        <v>5.6056756446247702E-5</v>
      </c>
      <c r="K17">
        <v>6.5586095285515705E-4</v>
      </c>
      <c r="L17">
        <v>6.6411344604918601E-5</v>
      </c>
      <c r="M17">
        <v>9.8757366946397092</v>
      </c>
      <c r="N17">
        <v>5.1016014796060897E-6</v>
      </c>
      <c r="O17">
        <v>7.1832452280760103E-4</v>
      </c>
      <c r="P17">
        <v>6.0464849264211801E-5</v>
      </c>
      <c r="Q17">
        <v>11.880034954999299</v>
      </c>
      <c r="R17">
        <v>1.6417339409586001E-6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-2.2438510778258099E-2</v>
      </c>
      <c r="D18">
        <v>6.7461608638455699E-3</v>
      </c>
      <c r="E18">
        <v>-3.32611558353313</v>
      </c>
      <c r="F18">
        <v>1.1177324749902301E-2</v>
      </c>
      <c r="G18">
        <v>-2.4246284388759101E-2</v>
      </c>
      <c r="H18">
        <v>6.7572179617410204E-3</v>
      </c>
      <c r="I18">
        <v>-3.58820516461659</v>
      </c>
      <c r="J18">
        <v>7.7424535916054103E-3</v>
      </c>
      <c r="K18">
        <v>-2.16117087424696E-2</v>
      </c>
      <c r="L18">
        <v>8.2709372901136908E-3</v>
      </c>
      <c r="M18">
        <v>-2.6129697257289299</v>
      </c>
      <c r="N18">
        <v>3.1572425432259098E-2</v>
      </c>
      <c r="O18">
        <v>-2.4636395637230399E-2</v>
      </c>
      <c r="P18">
        <v>7.9256762240795392E-3</v>
      </c>
      <c r="Q18">
        <v>-3.1084282199644799</v>
      </c>
      <c r="R18">
        <v>1.53740336689884E-2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0.22412418629535499</v>
      </c>
      <c r="D19">
        <v>9.1313754303126493E-2</v>
      </c>
      <c r="E19">
        <v>2.45444060432943</v>
      </c>
      <c r="F19">
        <v>4.2235500199300398E-2</v>
      </c>
      <c r="G19">
        <v>0.25881368793209197</v>
      </c>
      <c r="H19">
        <v>9.8491870798909503E-2</v>
      </c>
      <c r="I19">
        <v>2.6277670007965499</v>
      </c>
      <c r="J19">
        <v>3.26542872975083E-2</v>
      </c>
      <c r="K19">
        <v>0.25933513886070603</v>
      </c>
      <c r="L19">
        <v>0.117264682408644</v>
      </c>
      <c r="M19">
        <v>2.2115366155768501</v>
      </c>
      <c r="N19">
        <v>6.0520836964410601E-2</v>
      </c>
      <c r="O19">
        <v>0.27850330466053702</v>
      </c>
      <c r="P19">
        <v>0.123165013439725</v>
      </c>
      <c r="Q19">
        <v>2.2612209172276998</v>
      </c>
      <c r="R19">
        <v>5.7511614415909303E-2</v>
      </c>
      <c r="AB19" t="str">
        <f t="shared" si="0"/>
        <v>**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-7.2388504283701404E-3</v>
      </c>
      <c r="D20">
        <v>0.13236394202158799</v>
      </c>
      <c r="E20">
        <v>-5.4688990957896297E-2</v>
      </c>
      <c r="F20">
        <v>0.958185377420113</v>
      </c>
      <c r="G20">
        <v>-1.31234422875489E-2</v>
      </c>
      <c r="H20">
        <v>0.14798551569806701</v>
      </c>
      <c r="I20">
        <v>-8.8680586242808404E-2</v>
      </c>
      <c r="J20">
        <v>0.93225975033507102</v>
      </c>
      <c r="K20">
        <v>3.8237531063827802E-2</v>
      </c>
      <c r="L20">
        <v>0.130642527671429</v>
      </c>
      <c r="M20">
        <v>0.29268823671260102</v>
      </c>
      <c r="N20">
        <v>0.77975291676408198</v>
      </c>
      <c r="O20">
        <v>1.0048007430341101E-2</v>
      </c>
      <c r="P20">
        <v>0.17320473394873601</v>
      </c>
      <c r="Q20">
        <v>5.8012314105196798E-2</v>
      </c>
      <c r="R20">
        <v>0.95564886965052698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9.9665677176317496E-2</v>
      </c>
      <c r="D21">
        <v>1.2928876152564101E-2</v>
      </c>
      <c r="E21">
        <v>7.7087657117476098</v>
      </c>
      <c r="F21">
        <v>1.10865915666331E-5</v>
      </c>
      <c r="G21">
        <v>0.104848967924423</v>
      </c>
      <c r="H21">
        <v>1.69311888170364E-2</v>
      </c>
      <c r="I21">
        <v>6.1926524508971603</v>
      </c>
      <c r="J21">
        <v>7.7890674351067406E-5</v>
      </c>
      <c r="K21">
        <v>0.13391422136819101</v>
      </c>
      <c r="L21">
        <v>1.7751257477174799E-2</v>
      </c>
      <c r="M21">
        <v>7.5439287352111704</v>
      </c>
      <c r="N21">
        <v>1.3124881726217601E-5</v>
      </c>
      <c r="O21">
        <v>0.15697203290752701</v>
      </c>
      <c r="P21">
        <v>2.8934410278319101E-2</v>
      </c>
      <c r="Q21">
        <v>5.42509874566713</v>
      </c>
      <c r="R21">
        <v>2.3781824314099599E-4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5.68827171982422E-2</v>
      </c>
      <c r="D22">
        <v>6.09025654553331E-3</v>
      </c>
      <c r="E22">
        <v>9.33995419945993</v>
      </c>
      <c r="F22">
        <v>1.3351825513212699E-6</v>
      </c>
      <c r="G22">
        <v>5.8927718566190002E-2</v>
      </c>
      <c r="H22">
        <v>7.5941102212060399E-3</v>
      </c>
      <c r="I22">
        <v>7.7596606909441901</v>
      </c>
      <c r="J22">
        <v>8.1269810134661992E-6</v>
      </c>
      <c r="K22">
        <v>7.2238896110143003E-2</v>
      </c>
      <c r="L22">
        <v>1.25099401147444E-2</v>
      </c>
      <c r="M22">
        <v>5.7745197377085198</v>
      </c>
      <c r="N22">
        <v>1.18008650806809E-4</v>
      </c>
      <c r="O22">
        <v>7.7407121630364603E-2</v>
      </c>
      <c r="P22">
        <v>1.41568514070455E-2</v>
      </c>
      <c r="Q22">
        <v>5.4678204499512599</v>
      </c>
      <c r="R22">
        <v>1.9283402856372901E-4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-9.3092601562023203E-2</v>
      </c>
      <c r="D23">
        <v>1.1195752067054299E-2</v>
      </c>
      <c r="E23">
        <v>-8.3149931335088105</v>
      </c>
      <c r="F23">
        <v>3.6518483182291301E-6</v>
      </c>
      <c r="G23">
        <v>-9.5739833165033705E-2</v>
      </c>
      <c r="H23">
        <v>1.1750706619738399E-2</v>
      </c>
      <c r="I23">
        <v>-8.1475809296619808</v>
      </c>
      <c r="J23">
        <v>4.4706686943017999E-6</v>
      </c>
      <c r="K23">
        <v>-0.10676170932566501</v>
      </c>
      <c r="L23">
        <v>1.6972324568977199E-2</v>
      </c>
      <c r="M23">
        <v>-6.2903410132050199</v>
      </c>
      <c r="N23">
        <v>5.1411048835236601E-5</v>
      </c>
      <c r="O23">
        <v>-9.2233779579576902E-2</v>
      </c>
      <c r="P23">
        <v>1.5997794927164199E-2</v>
      </c>
      <c r="Q23">
        <v>-5.7654057949551696</v>
      </c>
      <c r="R23">
        <v>1.11690362605427E-4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-2.3455040153115801E-2</v>
      </c>
      <c r="D24">
        <v>2.03904662855121E-2</v>
      </c>
      <c r="E24">
        <v>-1.1502944476449399</v>
      </c>
      <c r="F24">
        <v>0.27559034536600302</v>
      </c>
      <c r="G24">
        <v>-2.2793100621289301E-2</v>
      </c>
      <c r="H24">
        <v>2.1550680483942201E-2</v>
      </c>
      <c r="I24">
        <v>-1.05765108615818</v>
      </c>
      <c r="J24">
        <v>0.31402880050005499</v>
      </c>
      <c r="K24">
        <v>-1.4412607761292401E-3</v>
      </c>
      <c r="L24">
        <v>2.5523602412550899E-2</v>
      </c>
      <c r="M24">
        <v>-5.6467764731381098E-2</v>
      </c>
      <c r="N24">
        <v>0.95603009390490101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1.8020030263524701E-2</v>
      </c>
      <c r="D25">
        <v>5.0606071039665197E-2</v>
      </c>
      <c r="E25">
        <v>0.35608435694208501</v>
      </c>
      <c r="F25">
        <v>0.73351472145116803</v>
      </c>
      <c r="G25">
        <v>2.9742660935694099E-2</v>
      </c>
      <c r="H25">
        <v>6.3420830714799398E-2</v>
      </c>
      <c r="I25">
        <v>0.46897305822822599</v>
      </c>
      <c r="J25">
        <v>0.65508130952120702</v>
      </c>
      <c r="K25">
        <v>4.2448620041025398E-2</v>
      </c>
      <c r="L25">
        <v>9.0711779031937806E-2</v>
      </c>
      <c r="M25">
        <v>0.46795047450320698</v>
      </c>
      <c r="N25">
        <v>0.65586478683064797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-2.5306038122556801E-2</v>
      </c>
      <c r="D26">
        <v>9.2929833625383998E-3</v>
      </c>
      <c r="E26">
        <v>-2.7231339103188099</v>
      </c>
      <c r="F26">
        <v>1.9583278676436201E-2</v>
      </c>
      <c r="G26">
        <v>-2.9977604674534902E-2</v>
      </c>
      <c r="H26">
        <v>1.1755011208441199E-2</v>
      </c>
      <c r="I26">
        <v>-2.5501978809691099</v>
      </c>
      <c r="J26">
        <v>2.6742756603167401E-2</v>
      </c>
      <c r="K26">
        <v>-1.27701950052895E-2</v>
      </c>
      <c r="L26">
        <v>1.2567027696655899E-2</v>
      </c>
      <c r="M26">
        <v>-1.01616669538237</v>
      </c>
      <c r="N26">
        <v>0.331191298701217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6.0925913052746597E-2</v>
      </c>
      <c r="D27">
        <v>2.20713218127832E-2</v>
      </c>
      <c r="E27">
        <v>2.7604107071403301</v>
      </c>
      <c r="F27">
        <v>2.6233297170154001E-2</v>
      </c>
      <c r="G27">
        <v>8.2270049982432494E-2</v>
      </c>
      <c r="H27">
        <v>2.22675842357105E-2</v>
      </c>
      <c r="I27">
        <v>3.6946104755492999</v>
      </c>
      <c r="J27">
        <v>6.72235044969952E-3</v>
      </c>
      <c r="K27">
        <v>7.8984987130053697E-2</v>
      </c>
      <c r="L27">
        <v>2.6028771088998901E-2</v>
      </c>
      <c r="M27">
        <v>3.0345261733634801</v>
      </c>
      <c r="N27">
        <v>1.70462732302527E-2</v>
      </c>
      <c r="AB27" t="str">
        <f t="shared" si="0"/>
        <v>**</v>
      </c>
      <c r="AC27" t="str">
        <f t="shared" si="1"/>
        <v>***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1.6051716197878801E-2</v>
      </c>
      <c r="D28">
        <v>2.6716047265593301E-2</v>
      </c>
      <c r="E28">
        <v>0.60082676296771198</v>
      </c>
      <c r="F28">
        <v>0.559422169399174</v>
      </c>
      <c r="G28">
        <v>2.2344948605956799E-2</v>
      </c>
      <c r="H28">
        <v>2.47563920141857E-2</v>
      </c>
      <c r="I28">
        <v>0.90259309971957502</v>
      </c>
      <c r="J28">
        <v>0.38499083157420499</v>
      </c>
      <c r="K28">
        <v>-9.3672612178744806E-3</v>
      </c>
      <c r="L28">
        <v>3.9370628676078698E-2</v>
      </c>
      <c r="M28">
        <v>-0.23792511150745099</v>
      </c>
      <c r="N28">
        <v>0.81597421590105401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1.05792963080352E-2</v>
      </c>
      <c r="D29">
        <v>0.118994537050211</v>
      </c>
      <c r="E29">
        <v>8.8905731055293702E-2</v>
      </c>
      <c r="F29">
        <v>0.93923583789438303</v>
      </c>
      <c r="G29">
        <v>3.6515260420391597E-2</v>
      </c>
      <c r="H29">
        <v>0.12944649874387201</v>
      </c>
      <c r="I29">
        <v>0.282087663820417</v>
      </c>
      <c r="J29">
        <v>0.81095775987082297</v>
      </c>
      <c r="K29">
        <v>4.5301238653548299E-2</v>
      </c>
      <c r="L29">
        <v>0.12522772950573799</v>
      </c>
      <c r="M29">
        <v>0.361750858474781</v>
      </c>
      <c r="N29">
        <v>0.76090463655495999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AB30" t="str">
        <f t="shared" si="0"/>
        <v>***</v>
      </c>
      <c r="AC30" t="str">
        <f t="shared" si="1"/>
        <v>***</v>
      </c>
      <c r="AD30" t="str">
        <f t="shared" si="2"/>
        <v>***</v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-2.6629765474056001E-3</v>
      </c>
      <c r="D31">
        <v>1.25876742769099E-2</v>
      </c>
      <c r="E31">
        <v>-0.21155429421067901</v>
      </c>
      <c r="F31">
        <v>0.83584206583509502</v>
      </c>
      <c r="G31">
        <v>-9.7241389929783994E-3</v>
      </c>
      <c r="H31">
        <v>1.35856914502773E-2</v>
      </c>
      <c r="I31">
        <v>-0.71576327407170004</v>
      </c>
      <c r="J31">
        <v>0.48718577650113298</v>
      </c>
      <c r="K31">
        <v>-3.5087092907829902E-2</v>
      </c>
      <c r="L31">
        <v>2.6973761994156999E-2</v>
      </c>
      <c r="M31">
        <v>-1.30078603479301</v>
      </c>
      <c r="N31">
        <v>0.21651365321201099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-3.8438600827853102E-2</v>
      </c>
      <c r="D32">
        <v>7.6277122470642403E-2</v>
      </c>
      <c r="E32">
        <v>-0.50393354629557996</v>
      </c>
      <c r="F32">
        <v>0.63716495946233798</v>
      </c>
      <c r="G32">
        <v>-3.70267633192536E-2</v>
      </c>
      <c r="H32">
        <v>7.5816244297901306E-2</v>
      </c>
      <c r="I32">
        <v>-0.48837506608433401</v>
      </c>
      <c r="J32">
        <v>0.64742940095634904</v>
      </c>
      <c r="K32">
        <v>-2.28197167559538E-2</v>
      </c>
      <c r="L32">
        <v>8.2125690317509895E-2</v>
      </c>
      <c r="M32">
        <v>-0.27786331740688502</v>
      </c>
      <c r="N32">
        <v>0.79304154024537299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-9.7511178053996006E-2</v>
      </c>
      <c r="D33">
        <v>0.15136558852078</v>
      </c>
      <c r="E33">
        <v>-0.64420968469071405</v>
      </c>
      <c r="F33">
        <v>0.58953421108083304</v>
      </c>
      <c r="G33">
        <v>-0.109564138911976</v>
      </c>
      <c r="H33">
        <v>0.14958686249943301</v>
      </c>
      <c r="I33">
        <v>-0.73244492919550996</v>
      </c>
      <c r="J33">
        <v>0.54491091668153602</v>
      </c>
      <c r="K33">
        <v>5.3837096905356999E-2</v>
      </c>
      <c r="L33">
        <v>5.9762604907241702E-2</v>
      </c>
      <c r="M33">
        <v>0.90084923488389101</v>
      </c>
      <c r="N33">
        <v>0.46979266413371001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8.0473589806756202E-2</v>
      </c>
      <c r="D34">
        <v>5.2914304272061299E-2</v>
      </c>
      <c r="E34">
        <v>1.52082864763746</v>
      </c>
      <c r="F34">
        <v>0.15662139317158399</v>
      </c>
      <c r="G34">
        <v>7.9937924784285699E-2</v>
      </c>
      <c r="H34">
        <v>5.6714834063564597E-2</v>
      </c>
      <c r="I34">
        <v>1.4094711922227099</v>
      </c>
      <c r="J34">
        <v>0.186213341457698</v>
      </c>
      <c r="K34">
        <v>0.112664666958789</v>
      </c>
      <c r="L34">
        <v>6.6755896854176905E-2</v>
      </c>
      <c r="M34">
        <v>1.6877110827362001</v>
      </c>
      <c r="N34">
        <v>0.121814696169656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1.8885731523977999E-2</v>
      </c>
      <c r="D35">
        <v>2.6917504695895302E-2</v>
      </c>
      <c r="E35">
        <v>0.70161524024394195</v>
      </c>
      <c r="F35">
        <v>0.50176981093150597</v>
      </c>
      <c r="G35">
        <v>4.83025317104646E-2</v>
      </c>
      <c r="H35">
        <v>3.2074415382821499E-2</v>
      </c>
      <c r="I35">
        <v>1.50595205349665</v>
      </c>
      <c r="J35">
        <v>0.16897858456780299</v>
      </c>
      <c r="K35">
        <v>4.0251854008857599E-2</v>
      </c>
      <c r="L35">
        <v>4.6698942036933803E-2</v>
      </c>
      <c r="M35">
        <v>0.86194359557488098</v>
      </c>
      <c r="N35">
        <v>0.414804102723696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3.4699734339508501E-2</v>
      </c>
      <c r="D36">
        <v>5.68295335920629E-2</v>
      </c>
      <c r="E36">
        <v>0.61059333318820097</v>
      </c>
      <c r="F36">
        <v>0.55235321699351903</v>
      </c>
      <c r="G36">
        <v>4.0487621609428898E-2</v>
      </c>
      <c r="H36">
        <v>5.9150373147228499E-2</v>
      </c>
      <c r="I36">
        <v>0.68448632620884797</v>
      </c>
      <c r="J36">
        <v>0.50608515119710096</v>
      </c>
      <c r="K36">
        <v>3.52732766377011E-2</v>
      </c>
      <c r="L36">
        <v>5.2741795219026402E-2</v>
      </c>
      <c r="M36">
        <v>0.668791733220646</v>
      </c>
      <c r="N36">
        <v>0.51807617822999896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6.9280588917895E-2</v>
      </c>
      <c r="D37">
        <v>5.92853950884999E-2</v>
      </c>
      <c r="E37">
        <v>1.1685945385785901</v>
      </c>
      <c r="F37">
        <v>0.26955269942825399</v>
      </c>
      <c r="G37">
        <v>6.8603839883361301E-2</v>
      </c>
      <c r="H37">
        <v>7.5893424298851E-2</v>
      </c>
      <c r="I37">
        <v>0.90394972314353705</v>
      </c>
      <c r="J37">
        <v>0.38721032812281803</v>
      </c>
      <c r="K37">
        <v>0.144388261648914</v>
      </c>
      <c r="L37">
        <v>8.0109751493119899E-2</v>
      </c>
      <c r="M37">
        <v>1.80238059609154</v>
      </c>
      <c r="N37">
        <v>0.104683052505829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5.5186196737137802E-2</v>
      </c>
      <c r="D38">
        <v>0.101447157818886</v>
      </c>
      <c r="E38">
        <v>0.54398957963575301</v>
      </c>
      <c r="F38">
        <v>0.59715773581211695</v>
      </c>
      <c r="G38">
        <v>0.14639888259370101</v>
      </c>
      <c r="H38">
        <v>9.8392184574459002E-2</v>
      </c>
      <c r="I38">
        <v>1.4879116997642501</v>
      </c>
      <c r="J38">
        <v>0.16368020436370101</v>
      </c>
      <c r="K38">
        <v>0.24427270890386499</v>
      </c>
      <c r="L38">
        <v>0.108058037759271</v>
      </c>
      <c r="M38">
        <v>2.2605695417868801</v>
      </c>
      <c r="N38">
        <v>4.7759620540154597E-2</v>
      </c>
      <c r="AB38" t="str">
        <f t="shared" si="0"/>
        <v/>
      </c>
      <c r="AC38" t="str">
        <f t="shared" si="1"/>
        <v/>
      </c>
      <c r="AD38" t="str">
        <f t="shared" si="2"/>
        <v>**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0.26729229555627998</v>
      </c>
      <c r="D39">
        <v>0.13800075283049101</v>
      </c>
      <c r="E39">
        <v>1.9368901261328699</v>
      </c>
      <c r="F39">
        <v>0.13134527553736899</v>
      </c>
      <c r="G39">
        <v>0.50805928802121703</v>
      </c>
      <c r="H39">
        <v>0.13549626350802699</v>
      </c>
      <c r="I39">
        <v>3.7496184386746498</v>
      </c>
      <c r="J39">
        <v>2.05972516723563E-2</v>
      </c>
      <c r="K39">
        <v>0.59704179259553702</v>
      </c>
      <c r="L39">
        <v>9.0855943443856002E-2</v>
      </c>
      <c r="M39">
        <v>6.5713014467179702</v>
      </c>
      <c r="N39">
        <v>3.9007394620746102E-3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0.27500010745497599</v>
      </c>
      <c r="D40">
        <v>2.36836211043936E-2</v>
      </c>
      <c r="E40">
        <v>11.611404617681499</v>
      </c>
      <c r="F40">
        <v>6.28532181337472E-3</v>
      </c>
      <c r="G40">
        <v>0.227984011560911</v>
      </c>
      <c r="H40">
        <v>4.4232434032679298E-2</v>
      </c>
      <c r="I40">
        <v>5.1542271309888701</v>
      </c>
      <c r="J40">
        <v>3.6261531734386399E-2</v>
      </c>
      <c r="K40">
        <v>0.223749627494578</v>
      </c>
      <c r="L40">
        <v>4.6382577166386003E-2</v>
      </c>
      <c r="M40">
        <v>4.8240016222455999</v>
      </c>
      <c r="N40">
        <v>4.0358108154587201E-2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0.31725772103248001</v>
      </c>
      <c r="D41">
        <v>4.0473974548826598E-2</v>
      </c>
      <c r="E41">
        <v>7.8385610647096202</v>
      </c>
      <c r="F41">
        <v>3.1370650502370902E-3</v>
      </c>
      <c r="G41">
        <v>0.27356443090292398</v>
      </c>
      <c r="H41">
        <v>6.19673994138892E-2</v>
      </c>
      <c r="I41">
        <v>4.4146508243108302</v>
      </c>
      <c r="J41">
        <v>1.9522971492828101E-2</v>
      </c>
      <c r="K41">
        <v>0.27500762398845302</v>
      </c>
      <c r="L41">
        <v>6.6930039457155394E-2</v>
      </c>
      <c r="M41">
        <v>4.1088818446685096</v>
      </c>
      <c r="N41">
        <v>2.3872418213891699E-2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0.38849420045657201</v>
      </c>
      <c r="D42">
        <v>0.117625599754722</v>
      </c>
      <c r="E42">
        <v>3.3028031420598598</v>
      </c>
      <c r="F42">
        <v>1.14777648124298E-2</v>
      </c>
      <c r="G42">
        <v>0.33025954400437302</v>
      </c>
      <c r="H42">
        <v>0.14176692007375499</v>
      </c>
      <c r="I42">
        <v>2.3295952527751398</v>
      </c>
      <c r="J42">
        <v>4.9378329386330799E-2</v>
      </c>
      <c r="K42">
        <v>0.25731963208431802</v>
      </c>
      <c r="L42">
        <v>0.153878885513002</v>
      </c>
      <c r="M42">
        <v>1.6722218335963701</v>
      </c>
      <c r="N42">
        <v>0.13449140774602</v>
      </c>
      <c r="AB42" t="str">
        <f t="shared" si="0"/>
        <v>**</v>
      </c>
      <c r="AC42" t="str">
        <f t="shared" si="1"/>
        <v>**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0.28530579770627401</v>
      </c>
      <c r="D43">
        <v>7.1813237109532996E-2</v>
      </c>
      <c r="E43">
        <v>3.9728859078043199</v>
      </c>
      <c r="F43">
        <v>6.4174391191587103E-3</v>
      </c>
      <c r="G43">
        <v>0.22572475239441001</v>
      </c>
      <c r="H43">
        <v>8.5991755762574507E-2</v>
      </c>
      <c r="I43">
        <v>2.6249580601382498</v>
      </c>
      <c r="J43">
        <v>3.7517201935453798E-2</v>
      </c>
      <c r="K43">
        <v>0.17384482459667</v>
      </c>
      <c r="L43">
        <v>9.29366847583286E-2</v>
      </c>
      <c r="M43">
        <v>1.8705726920293499</v>
      </c>
      <c r="N43">
        <v>0.108339921276343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5.8831606090644903E-2</v>
      </c>
      <c r="D44">
        <v>0.19626915449530999</v>
      </c>
      <c r="E44">
        <v>0.29974962821807499</v>
      </c>
      <c r="F44">
        <v>0.77199202306039505</v>
      </c>
      <c r="G44">
        <v>-4.51486305474397E-2</v>
      </c>
      <c r="H44">
        <v>0.24918319311692999</v>
      </c>
      <c r="I44">
        <v>-0.18118649971008899</v>
      </c>
      <c r="J44">
        <v>0.86072560926174502</v>
      </c>
      <c r="K44">
        <v>-0.14236842908741901</v>
      </c>
      <c r="L44">
        <v>0.269103122540988</v>
      </c>
      <c r="M44">
        <v>-0.52904785252253805</v>
      </c>
      <c r="N44">
        <v>0.611135032010096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1.1951797509061399E-4</v>
      </c>
      <c r="D45">
        <v>1.3410525289771401E-4</v>
      </c>
      <c r="E45">
        <v>0.891225157166465</v>
      </c>
      <c r="F45">
        <v>0.40237962281419298</v>
      </c>
      <c r="G45">
        <v>2.41744930304913E-4</v>
      </c>
      <c r="H45">
        <v>1.5090684396142499E-4</v>
      </c>
      <c r="I45">
        <v>1.60194808902576</v>
      </c>
      <c r="J45">
        <v>0.153191826331388</v>
      </c>
      <c r="K45">
        <v>2.2934932222203001E-5</v>
      </c>
      <c r="L45">
        <v>2.03644161607545E-4</v>
      </c>
      <c r="M45">
        <v>0.112622586580224</v>
      </c>
      <c r="N45">
        <v>0.91346607905384403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8.8911621871526E-3</v>
      </c>
      <c r="D46">
        <v>3.8088313858092998E-3</v>
      </c>
      <c r="E46">
        <v>2.3343543692374298</v>
      </c>
      <c r="F46">
        <v>3.9499687532107301E-2</v>
      </c>
      <c r="G46">
        <v>3.9394343067053299E-3</v>
      </c>
      <c r="H46">
        <v>4.2962220639702698E-3</v>
      </c>
      <c r="I46">
        <v>0.91695313883863405</v>
      </c>
      <c r="J46">
        <v>0.37882618577465699</v>
      </c>
      <c r="K46">
        <v>-5.6279362901504402E-3</v>
      </c>
      <c r="L46">
        <v>5.2133766093323897E-3</v>
      </c>
      <c r="M46">
        <v>-1.0795184602769601</v>
      </c>
      <c r="N46">
        <v>0.30339406174436101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5.3419000604502101E-3</v>
      </c>
      <c r="D47">
        <v>2.94799891858466E-3</v>
      </c>
      <c r="E47">
        <v>1.8120427476326399</v>
      </c>
      <c r="F47">
        <v>0.15912920190511901</v>
      </c>
      <c r="G47">
        <v>1.08816640868539E-2</v>
      </c>
      <c r="H47">
        <v>5.5315985031618199E-3</v>
      </c>
      <c r="I47">
        <v>1.9671825568385</v>
      </c>
      <c r="J47">
        <v>0.136832008693452</v>
      </c>
      <c r="K47">
        <v>1.36391974193079E-2</v>
      </c>
      <c r="L47">
        <v>4.84173380001397E-3</v>
      </c>
      <c r="M47">
        <v>2.8170068786657598</v>
      </c>
      <c r="N47">
        <v>6.0578669182256802E-2</v>
      </c>
      <c r="AB47" t="str">
        <f t="shared" si="0"/>
        <v/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-6.4906964114341704E-3</v>
      </c>
      <c r="D48">
        <v>1.1676046042514701E-2</v>
      </c>
      <c r="E48">
        <v>-0.55589849404501501</v>
      </c>
      <c r="F48">
        <v>0.59520369332161605</v>
      </c>
      <c r="G48">
        <v>-1.10840153586561E-2</v>
      </c>
      <c r="H48">
        <v>1.41022115907386E-2</v>
      </c>
      <c r="I48">
        <v>-0.78597709921863201</v>
      </c>
      <c r="J48">
        <v>0.45630180483435701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-6.7165493962688699E-2</v>
      </c>
      <c r="D49">
        <v>6.4972723563571796E-2</v>
      </c>
      <c r="E49">
        <v>-1.0337490916010501</v>
      </c>
      <c r="F49">
        <v>0.32245385136057902</v>
      </c>
      <c r="G49">
        <v>-3.3206891035279802E-2</v>
      </c>
      <c r="H49">
        <v>7.2754328513196104E-2</v>
      </c>
      <c r="I49">
        <v>-0.45642495386727</v>
      </c>
      <c r="J49">
        <v>0.656836727649312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-2.5819739071671802E-2</v>
      </c>
      <c r="D50">
        <v>1.0686228945290401E-2</v>
      </c>
      <c r="E50">
        <v>-2.4161693712402799</v>
      </c>
      <c r="F50">
        <v>4.1856659573773401E-2</v>
      </c>
      <c r="G50">
        <v>-2.08570224384441E-2</v>
      </c>
      <c r="H50">
        <v>1.14332630753685E-2</v>
      </c>
      <c r="I50">
        <v>-1.82424057777327</v>
      </c>
      <c r="J50">
        <v>0.108056000465539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-2.8770965993559498E-3</v>
      </c>
      <c r="D51">
        <v>6.6766343791650499E-3</v>
      </c>
      <c r="E51">
        <v>-0.43092019660896003</v>
      </c>
      <c r="F51">
        <v>0.67407072497629605</v>
      </c>
      <c r="G51">
        <v>-1.14706905309623E-3</v>
      </c>
      <c r="H51">
        <v>8.5959460862103498E-3</v>
      </c>
      <c r="I51">
        <v>-0.13344302553692899</v>
      </c>
      <c r="J51">
        <v>0.89597897489381895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-2.1996078393297699E-3</v>
      </c>
      <c r="D52">
        <v>1.0082635593844701E-3</v>
      </c>
      <c r="E52">
        <v>-2.1815802216164499</v>
      </c>
      <c r="F52">
        <v>0.24791346716871199</v>
      </c>
      <c r="G52">
        <v>-2.35198570486181E-3</v>
      </c>
      <c r="H52">
        <v>2.0079041830447699E-3</v>
      </c>
      <c r="I52">
        <v>-1.17136351660729</v>
      </c>
      <c r="J52">
        <v>0.43128356607082502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3.7748591106260297E-2</v>
      </c>
      <c r="D53">
        <v>1.63119942422215E-2</v>
      </c>
      <c r="E53">
        <v>2.31416162522624</v>
      </c>
      <c r="F53">
        <v>4.5606141640235499E-2</v>
      </c>
      <c r="G53">
        <v>4.4363191888428397E-2</v>
      </c>
      <c r="H53">
        <v>1.6429085727308099E-2</v>
      </c>
      <c r="I53">
        <v>2.7002836691446999</v>
      </c>
      <c r="J53">
        <v>2.3349607669416201E-2</v>
      </c>
      <c r="AB53" t="str">
        <f t="shared" si="0"/>
        <v>**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2.62359696189438E-2</v>
      </c>
      <c r="D54">
        <v>2.3979331009382099E-2</v>
      </c>
      <c r="E54">
        <v>1.09410765499166</v>
      </c>
      <c r="F54">
        <v>0.29632476751158399</v>
      </c>
      <c r="G54">
        <v>4.79111954655582E-2</v>
      </c>
      <c r="H54">
        <v>3.5178149496128103E-2</v>
      </c>
      <c r="I54">
        <v>1.36195894757999</v>
      </c>
      <c r="J54">
        <v>0.201277412607998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1.8285362456944E-6</v>
      </c>
      <c r="D55">
        <v>5.4453613259017002E-6</v>
      </c>
      <c r="E55">
        <v>0.33579704564262502</v>
      </c>
      <c r="F55">
        <v>0.74342252840983503</v>
      </c>
      <c r="G55">
        <v>1.85664513859481E-6</v>
      </c>
      <c r="H55">
        <v>7.4577097307333604E-6</v>
      </c>
      <c r="I55">
        <v>0.24895647667051701</v>
      </c>
      <c r="J55">
        <v>0.80798450448502102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1.05892190679842E-5</v>
      </c>
      <c r="D56">
        <v>3.2544060379411598E-6</v>
      </c>
      <c r="E56">
        <v>3.25381004844844</v>
      </c>
      <c r="F56">
        <v>7.6450738830756097E-3</v>
      </c>
      <c r="G56">
        <v>1.1629351106397499E-5</v>
      </c>
      <c r="H56">
        <v>3.9570238656732498E-6</v>
      </c>
      <c r="I56">
        <v>2.93891356260972</v>
      </c>
      <c r="J56">
        <v>1.3941334591553301E-2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-0.39711137252205803</v>
      </c>
      <c r="D57">
        <v>0.15895207573109801</v>
      </c>
      <c r="E57">
        <v>-2.4983088185262701</v>
      </c>
      <c r="F57">
        <v>5.4618693704565999E-2</v>
      </c>
      <c r="AB57" t="str">
        <f t="shared" si="0"/>
        <v>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-9.5964843717916901E-2</v>
      </c>
      <c r="D58">
        <v>4.4481221279738199E-2</v>
      </c>
      <c r="E58">
        <v>-2.15742376124079</v>
      </c>
      <c r="F58">
        <v>5.9217250673936302E-2</v>
      </c>
      <c r="AB58" t="str">
        <f t="shared" si="0"/>
        <v>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-0.16376672033418899</v>
      </c>
      <c r="D59">
        <v>9.8466220937951196E-2</v>
      </c>
      <c r="E59">
        <v>-1.66317665869788</v>
      </c>
      <c r="F59">
        <v>0.120978753006597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0.28534321371847798</v>
      </c>
      <c r="D60">
        <v>0.100767914588862</v>
      </c>
      <c r="E60">
        <v>2.83168719807979</v>
      </c>
      <c r="F60">
        <v>2.1072014294901301E-2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-0.55222745908415805</v>
      </c>
      <c r="D61">
        <v>0.101184165292602</v>
      </c>
      <c r="E61">
        <v>-5.4576470289322696</v>
      </c>
      <c r="F61">
        <v>3.8088907089042301E-3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B05E-DAA8-40A4-964B-2375082964A7}">
  <sheetPr codeName="Sheet18"/>
  <dimension ref="A2:H180"/>
  <sheetViews>
    <sheetView topLeftCell="A123" workbookViewId="0">
      <selection activeCell="B1" sqref="B1:H1048576"/>
    </sheetView>
  </sheetViews>
  <sheetFormatPr defaultRowHeight="15" x14ac:dyDescent="0.25"/>
  <sheetData>
    <row r="2" spans="1:8" x14ac:dyDescent="0.25">
      <c r="B2" t="s">
        <v>414</v>
      </c>
      <c r="C2" t="s">
        <v>193</v>
      </c>
      <c r="D2" t="s">
        <v>192</v>
      </c>
      <c r="E2" t="s">
        <v>578</v>
      </c>
      <c r="F2" t="s">
        <v>303</v>
      </c>
      <c r="G2" t="s">
        <v>193</v>
      </c>
      <c r="H2" t="s">
        <v>193</v>
      </c>
    </row>
    <row r="3" spans="1:8" x14ac:dyDescent="0.25">
      <c r="E3" t="s">
        <v>688</v>
      </c>
      <c r="F3" t="s">
        <v>689</v>
      </c>
    </row>
    <row r="4" spans="1:8" x14ac:dyDescent="0.25">
      <c r="C4" t="s">
        <v>304</v>
      </c>
      <c r="D4" t="s">
        <v>195</v>
      </c>
      <c r="E4" t="s">
        <v>579</v>
      </c>
      <c r="F4" t="s">
        <v>304</v>
      </c>
      <c r="G4" t="s">
        <v>194</v>
      </c>
      <c r="H4" t="s">
        <v>194</v>
      </c>
    </row>
    <row r="5" spans="1:8" x14ac:dyDescent="0.25">
      <c r="E5" t="s">
        <v>690</v>
      </c>
      <c r="F5" t="s">
        <v>691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394</v>
      </c>
      <c r="C7" t="s">
        <v>194</v>
      </c>
      <c r="D7" t="s">
        <v>195</v>
      </c>
      <c r="E7" t="s">
        <v>579</v>
      </c>
      <c r="F7" t="s">
        <v>304</v>
      </c>
      <c r="G7" t="s">
        <v>194</v>
      </c>
      <c r="H7" t="s">
        <v>194</v>
      </c>
    </row>
    <row r="8" spans="1:8" x14ac:dyDescent="0.25">
      <c r="A8">
        <v>1</v>
      </c>
      <c r="B8" t="s">
        <v>11</v>
      </c>
      <c r="C8" t="s">
        <v>450</v>
      </c>
      <c r="D8" t="s">
        <v>397</v>
      </c>
      <c r="E8" t="s">
        <v>198</v>
      </c>
      <c r="F8" t="s">
        <v>337</v>
      </c>
      <c r="G8" t="s">
        <v>451</v>
      </c>
      <c r="H8" t="s">
        <v>328</v>
      </c>
    </row>
    <row r="9" spans="1:8" x14ac:dyDescent="0.25">
      <c r="A9">
        <v>2</v>
      </c>
      <c r="C9">
        <v>-6.0000000000000001E-3</v>
      </c>
      <c r="D9">
        <v>-2.3E-2</v>
      </c>
      <c r="E9">
        <v>-1.4999999999999999E-2</v>
      </c>
      <c r="F9">
        <v>-1.4E-2</v>
      </c>
      <c r="G9">
        <v>-1.0999999999999999E-2</v>
      </c>
      <c r="H9">
        <v>-1.0999999999999999E-2</v>
      </c>
    </row>
    <row r="11" spans="1:8" x14ac:dyDescent="0.25">
      <c r="A11">
        <f>A9+1</f>
        <v>3</v>
      </c>
      <c r="B11" t="s">
        <v>16</v>
      </c>
      <c r="D11" t="s">
        <v>453</v>
      </c>
      <c r="E11" t="s">
        <v>221</v>
      </c>
      <c r="F11" t="s">
        <v>220</v>
      </c>
      <c r="G11" t="s">
        <v>221</v>
      </c>
      <c r="H11" t="s">
        <v>246</v>
      </c>
    </row>
    <row r="12" spans="1:8" x14ac:dyDescent="0.25">
      <c r="A12">
        <f>A11+1</f>
        <v>4</v>
      </c>
      <c r="D12">
        <v>-1E-4</v>
      </c>
      <c r="E12">
        <v>-4.0000000000000003E-5</v>
      </c>
      <c r="F12">
        <v>-4.0000000000000003E-5</v>
      </c>
      <c r="G12">
        <v>-3.0000000000000001E-5</v>
      </c>
      <c r="H12">
        <v>-3.0000000000000001E-5</v>
      </c>
    </row>
    <row r="14" spans="1:8" x14ac:dyDescent="0.25">
      <c r="A14">
        <f>A12+1</f>
        <v>5</v>
      </c>
      <c r="B14" t="s">
        <v>197</v>
      </c>
      <c r="D14" t="s">
        <v>454</v>
      </c>
      <c r="E14" t="s">
        <v>255</v>
      </c>
      <c r="F14" t="s">
        <v>424</v>
      </c>
      <c r="G14" t="s">
        <v>254</v>
      </c>
      <c r="H14" t="s">
        <v>202</v>
      </c>
    </row>
    <row r="15" spans="1:8" x14ac:dyDescent="0.25">
      <c r="A15">
        <f>A14+1</f>
        <v>6</v>
      </c>
      <c r="D15">
        <v>-1.0999999999999999E-2</v>
      </c>
      <c r="E15">
        <v>-7.0000000000000001E-3</v>
      </c>
      <c r="F15">
        <v>-7.0000000000000001E-3</v>
      </c>
      <c r="G15">
        <v>-6.0000000000000001E-3</v>
      </c>
      <c r="H15">
        <v>-5.0000000000000001E-3</v>
      </c>
    </row>
    <row r="17" spans="1:8" x14ac:dyDescent="0.25">
      <c r="A17">
        <f t="shared" ref="A17" si="0">A15+1</f>
        <v>7</v>
      </c>
      <c r="B17" t="s">
        <v>200</v>
      </c>
      <c r="D17" t="s">
        <v>458</v>
      </c>
      <c r="E17" t="s">
        <v>456</v>
      </c>
      <c r="F17" t="s">
        <v>456</v>
      </c>
      <c r="G17" t="s">
        <v>507</v>
      </c>
      <c r="H17" t="s">
        <v>215</v>
      </c>
    </row>
    <row r="18" spans="1:8" x14ac:dyDescent="0.25">
      <c r="A18">
        <f t="shared" ref="A18" si="1">A17+1</f>
        <v>8</v>
      </c>
      <c r="D18">
        <v>-1.0999999999999999E-2</v>
      </c>
      <c r="E18">
        <v>-7.0000000000000001E-3</v>
      </c>
      <c r="F18">
        <v>-7.0000000000000001E-3</v>
      </c>
      <c r="G18">
        <v>-6.0000000000000001E-3</v>
      </c>
      <c r="H18">
        <v>-5.0000000000000001E-3</v>
      </c>
    </row>
    <row r="20" spans="1:8" x14ac:dyDescent="0.25">
      <c r="A20">
        <f t="shared" ref="A20" si="2">A18+1</f>
        <v>9</v>
      </c>
      <c r="B20" t="s">
        <v>204</v>
      </c>
      <c r="D20" t="s">
        <v>459</v>
      </c>
      <c r="E20">
        <v>5.0000000000000001E-3</v>
      </c>
      <c r="F20">
        <v>3.0000000000000001E-3</v>
      </c>
      <c r="G20" t="s">
        <v>460</v>
      </c>
      <c r="H20" t="s">
        <v>461</v>
      </c>
    </row>
    <row r="21" spans="1:8" x14ac:dyDescent="0.25">
      <c r="A21">
        <f t="shared" ref="A21" si="3">A20+1</f>
        <v>10</v>
      </c>
      <c r="D21">
        <v>-1.0999999999999999E-2</v>
      </c>
      <c r="E21">
        <v>-7.0000000000000001E-3</v>
      </c>
      <c r="F21">
        <v>-7.0000000000000001E-3</v>
      </c>
      <c r="G21">
        <v>-6.0000000000000001E-3</v>
      </c>
      <c r="H21">
        <v>-5.0000000000000001E-3</v>
      </c>
    </row>
    <row r="23" spans="1:8" x14ac:dyDescent="0.25">
      <c r="A23">
        <f t="shared" ref="A23" si="4">A21+1</f>
        <v>11</v>
      </c>
      <c r="B23" t="s">
        <v>206</v>
      </c>
      <c r="D23" t="s">
        <v>560</v>
      </c>
      <c r="E23">
        <v>-1.7999999999999999E-2</v>
      </c>
      <c r="F23">
        <v>-2.1000000000000001E-2</v>
      </c>
      <c r="G23">
        <v>-1E-3</v>
      </c>
      <c r="H23">
        <v>4.0000000000000002E-4</v>
      </c>
    </row>
    <row r="24" spans="1:8" x14ac:dyDescent="0.25">
      <c r="A24">
        <f t="shared" ref="A24" si="5">A23+1</f>
        <v>12</v>
      </c>
      <c r="D24">
        <v>-2.1999999999999999E-2</v>
      </c>
      <c r="E24">
        <v>-1.4999999999999999E-2</v>
      </c>
      <c r="F24">
        <v>-1.4E-2</v>
      </c>
      <c r="G24">
        <v>-1.0999999999999999E-2</v>
      </c>
      <c r="H24">
        <v>-1.0999999999999999E-2</v>
      </c>
    </row>
    <row r="26" spans="1:8" x14ac:dyDescent="0.25">
      <c r="A26">
        <f t="shared" ref="A26" si="6">A24+1</f>
        <v>13</v>
      </c>
      <c r="B26" t="s">
        <v>207</v>
      </c>
      <c r="D26" t="s">
        <v>432</v>
      </c>
      <c r="E26" t="s">
        <v>487</v>
      </c>
      <c r="F26" t="s">
        <v>462</v>
      </c>
      <c r="G26" t="s">
        <v>336</v>
      </c>
      <c r="H26" t="s">
        <v>418</v>
      </c>
    </row>
    <row r="27" spans="1:8" x14ac:dyDescent="0.25">
      <c r="A27">
        <f t="shared" ref="A27" si="7">A26+1</f>
        <v>14</v>
      </c>
      <c r="D27">
        <v>-2.5000000000000001E-2</v>
      </c>
      <c r="E27">
        <v>-1.6E-2</v>
      </c>
      <c r="F27">
        <v>-1.6E-2</v>
      </c>
      <c r="G27">
        <v>-1.2999999999999999E-2</v>
      </c>
      <c r="H27">
        <v>-1.2E-2</v>
      </c>
    </row>
    <row r="29" spans="1:8" x14ac:dyDescent="0.25">
      <c r="A29">
        <f t="shared" ref="A29" si="8">A27+1</f>
        <v>15</v>
      </c>
      <c r="B29" t="s">
        <v>209</v>
      </c>
      <c r="D29" t="s">
        <v>561</v>
      </c>
      <c r="E29" t="s">
        <v>398</v>
      </c>
      <c r="F29" t="s">
        <v>464</v>
      </c>
      <c r="G29" t="s">
        <v>222</v>
      </c>
      <c r="H29" t="s">
        <v>465</v>
      </c>
    </row>
    <row r="30" spans="1:8" x14ac:dyDescent="0.25">
      <c r="A30">
        <f t="shared" ref="A30" si="9">A29+1</f>
        <v>16</v>
      </c>
      <c r="D30">
        <v>-2.5000000000000001E-2</v>
      </c>
      <c r="E30">
        <v>-1.6E-2</v>
      </c>
      <c r="F30">
        <v>-1.6E-2</v>
      </c>
      <c r="G30">
        <v>-1.2999999999999999E-2</v>
      </c>
      <c r="H30">
        <v>-1.2E-2</v>
      </c>
    </row>
    <row r="32" spans="1:8" x14ac:dyDescent="0.25">
      <c r="A32">
        <f t="shared" ref="A32" si="10">A30+1</f>
        <v>17</v>
      </c>
      <c r="B32" t="s">
        <v>212</v>
      </c>
      <c r="D32" t="s">
        <v>408</v>
      </c>
      <c r="E32">
        <v>2.7E-2</v>
      </c>
      <c r="F32" t="s">
        <v>466</v>
      </c>
      <c r="G32" t="s">
        <v>436</v>
      </c>
      <c r="H32" t="s">
        <v>467</v>
      </c>
    </row>
    <row r="33" spans="1:8" x14ac:dyDescent="0.25">
      <c r="A33">
        <f t="shared" ref="A33" si="11">A32+1</f>
        <v>18</v>
      </c>
      <c r="D33">
        <v>-3.5000000000000003E-2</v>
      </c>
      <c r="E33">
        <v>-2.3E-2</v>
      </c>
      <c r="F33">
        <v>-0.03</v>
      </c>
      <c r="G33">
        <v>-2.4E-2</v>
      </c>
      <c r="H33">
        <v>-2.1999999999999999E-2</v>
      </c>
    </row>
    <row r="35" spans="1:8" x14ac:dyDescent="0.25">
      <c r="A35">
        <f t="shared" ref="A35" si="12">A33+1</f>
        <v>19</v>
      </c>
      <c r="B35" t="s">
        <v>15</v>
      </c>
      <c r="E35" t="s">
        <v>468</v>
      </c>
      <c r="F35" t="s">
        <v>468</v>
      </c>
      <c r="G35" t="s">
        <v>406</v>
      </c>
      <c r="H35" t="s">
        <v>427</v>
      </c>
    </row>
    <row r="36" spans="1:8" x14ac:dyDescent="0.25">
      <c r="A36">
        <f t="shared" ref="A36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466</v>
      </c>
      <c r="F38" t="s">
        <v>435</v>
      </c>
      <c r="G38" t="s">
        <v>469</v>
      </c>
      <c r="H38" t="s">
        <v>227</v>
      </c>
    </row>
    <row r="39" spans="1:8" x14ac:dyDescent="0.25">
      <c r="A39">
        <f t="shared" ref="A39" si="15">A38+1</f>
        <v>22</v>
      </c>
      <c r="E39">
        <v>-3.0000000000000001E-3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338</v>
      </c>
      <c r="F41" t="s">
        <v>331</v>
      </c>
      <c r="G41" t="s">
        <v>201</v>
      </c>
      <c r="H41" t="s">
        <v>416</v>
      </c>
    </row>
    <row r="42" spans="1:8" x14ac:dyDescent="0.25">
      <c r="A42">
        <f t="shared" ref="A42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470</v>
      </c>
      <c r="F44" t="s">
        <v>692</v>
      </c>
      <c r="G44" t="s">
        <v>471</v>
      </c>
      <c r="H44" t="s">
        <v>406</v>
      </c>
    </row>
    <row r="45" spans="1:8" x14ac:dyDescent="0.25">
      <c r="A45">
        <f t="shared" ref="A45" si="19">A44+1</f>
        <v>26</v>
      </c>
      <c r="E45">
        <v>-5.0000000000000001E-3</v>
      </c>
      <c r="F45">
        <v>-5.0000000000000001E-3</v>
      </c>
      <c r="G45">
        <v>-4.0000000000000001E-3</v>
      </c>
      <c r="H45">
        <v>-4.0000000000000001E-3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342</v>
      </c>
      <c r="F47" t="s">
        <v>242</v>
      </c>
      <c r="G47" t="s">
        <v>401</v>
      </c>
      <c r="H47" t="s">
        <v>340</v>
      </c>
    </row>
    <row r="48" spans="1:8" x14ac:dyDescent="0.25">
      <c r="A48">
        <f t="shared" ref="A48" si="21">A47+1</f>
        <v>28</v>
      </c>
      <c r="E48">
        <v>-8.9999999999999993E-3</v>
      </c>
      <c r="F48">
        <v>-0.01</v>
      </c>
      <c r="G48">
        <v>-8.0000000000000002E-3</v>
      </c>
      <c r="H48">
        <v>-8.0000000000000002E-3</v>
      </c>
    </row>
    <row r="50" spans="1:8" x14ac:dyDescent="0.25">
      <c r="A50">
        <f t="shared" ref="A50" si="22">A48+1</f>
        <v>29</v>
      </c>
      <c r="B50" t="s">
        <v>18</v>
      </c>
      <c r="E50" t="s">
        <v>220</v>
      </c>
      <c r="F50" t="s">
        <v>220</v>
      </c>
      <c r="G50" t="s">
        <v>221</v>
      </c>
      <c r="H50" t="s">
        <v>221</v>
      </c>
    </row>
    <row r="51" spans="1:8" x14ac:dyDescent="0.25">
      <c r="A51">
        <f t="shared" ref="A51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472</v>
      </c>
      <c r="F53" t="s">
        <v>473</v>
      </c>
      <c r="G53" t="s">
        <v>439</v>
      </c>
      <c r="H53" t="s">
        <v>253</v>
      </c>
    </row>
    <row r="54" spans="1:8" x14ac:dyDescent="0.25">
      <c r="A54">
        <f t="shared" ref="A54" si="25">A53+1</f>
        <v>32</v>
      </c>
      <c r="E54">
        <v>-2.9999999999999997E-4</v>
      </c>
      <c r="F54">
        <v>-2.9999999999999997E-4</v>
      </c>
      <c r="G54">
        <v>-2.9999999999999997E-4</v>
      </c>
      <c r="H54">
        <v>-2.9999999999999997E-4</v>
      </c>
    </row>
    <row r="56" spans="1:8" x14ac:dyDescent="0.25">
      <c r="A56">
        <f t="shared" ref="A56" si="26">A54+1</f>
        <v>33</v>
      </c>
      <c r="B56" t="s">
        <v>34</v>
      </c>
      <c r="E56">
        <v>4.0000000000000001E-3</v>
      </c>
      <c r="F56">
        <v>4.0000000000000001E-3</v>
      </c>
      <c r="G56" t="s">
        <v>215</v>
      </c>
      <c r="H56" t="s">
        <v>455</v>
      </c>
    </row>
    <row r="57" spans="1:8" x14ac:dyDescent="0.25">
      <c r="A57">
        <f t="shared" ref="A57" si="27">A56+1</f>
        <v>34</v>
      </c>
      <c r="E57">
        <v>-3.0000000000000001E-3</v>
      </c>
      <c r="F57">
        <v>-4.0000000000000001E-3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 t="s">
        <v>434</v>
      </c>
      <c r="F59" t="s">
        <v>427</v>
      </c>
      <c r="G59" t="s">
        <v>475</v>
      </c>
      <c r="H59" t="s">
        <v>242</v>
      </c>
    </row>
    <row r="60" spans="1:8" x14ac:dyDescent="0.25">
      <c r="A60">
        <f t="shared" ref="A60" si="29">A59+1</f>
        <v>36</v>
      </c>
      <c r="E60">
        <v>-1.2E-2</v>
      </c>
      <c r="F60">
        <v>-1.2E-2</v>
      </c>
      <c r="G60">
        <v>-8.9999999999999993E-3</v>
      </c>
      <c r="H60">
        <v>-8.9999999999999993E-3</v>
      </c>
    </row>
    <row r="62" spans="1:8" x14ac:dyDescent="0.25">
      <c r="A62">
        <f t="shared" ref="A62" si="30">A60+1</f>
        <v>37</v>
      </c>
      <c r="B62" t="s">
        <v>224</v>
      </c>
      <c r="E62" t="s">
        <v>562</v>
      </c>
      <c r="F62" t="s">
        <v>476</v>
      </c>
      <c r="G62" t="s">
        <v>225</v>
      </c>
      <c r="H62" t="s">
        <v>477</v>
      </c>
    </row>
    <row r="63" spans="1:8" x14ac:dyDescent="0.25">
      <c r="A63">
        <f t="shared" ref="A63" si="31">A62+1</f>
        <v>38</v>
      </c>
      <c r="E63">
        <v>-6.0000000000000001E-3</v>
      </c>
      <c r="F63">
        <v>-6.0000000000000001E-3</v>
      </c>
      <c r="G63">
        <v>-5.0000000000000001E-3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693</v>
      </c>
      <c r="C65" t="s">
        <v>694</v>
      </c>
      <c r="E65" t="s">
        <v>478</v>
      </c>
      <c r="F65" t="s">
        <v>213</v>
      </c>
      <c r="G65" t="s">
        <v>543</v>
      </c>
      <c r="H65" t="s">
        <v>217</v>
      </c>
    </row>
    <row r="66" spans="1:8" x14ac:dyDescent="0.25">
      <c r="A66">
        <f t="shared" ref="A66" si="33">A65+1</f>
        <v>40</v>
      </c>
      <c r="E66">
        <v>-5.0000000000000001E-3</v>
      </c>
      <c r="F66">
        <v>-5.0000000000000001E-3</v>
      </c>
      <c r="G66">
        <v>-4.0000000000000001E-3</v>
      </c>
      <c r="H66">
        <v>-4.0000000000000001E-3</v>
      </c>
    </row>
    <row r="68" spans="1:8" x14ac:dyDescent="0.25">
      <c r="A68">
        <f t="shared" ref="A68" si="34">A66+1</f>
        <v>41</v>
      </c>
      <c r="B68" t="s">
        <v>230</v>
      </c>
      <c r="E68" t="s">
        <v>239</v>
      </c>
      <c r="F68" t="s">
        <v>239</v>
      </c>
      <c r="G68" t="s">
        <v>479</v>
      </c>
      <c r="H68" t="s">
        <v>480</v>
      </c>
    </row>
    <row r="69" spans="1:8" x14ac:dyDescent="0.25">
      <c r="A69">
        <f t="shared" ref="A69" si="35">A68+1</f>
        <v>42</v>
      </c>
      <c r="E69">
        <v>-8.0000000000000002E-3</v>
      </c>
      <c r="F69">
        <v>-8.0000000000000002E-3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331</v>
      </c>
      <c r="G71" t="s">
        <v>424</v>
      </c>
      <c r="H71" t="s">
        <v>481</v>
      </c>
    </row>
    <row r="72" spans="1:8" x14ac:dyDescent="0.25">
      <c r="A72">
        <f t="shared" ref="A72" si="37">A71+1</f>
        <v>44</v>
      </c>
      <c r="F72">
        <v>-0.01</v>
      </c>
      <c r="G72">
        <v>-8.0000000000000002E-3</v>
      </c>
      <c r="H72">
        <v>-8.0000000000000002E-3</v>
      </c>
    </row>
    <row r="74" spans="1:8" x14ac:dyDescent="0.25">
      <c r="A74">
        <f t="shared" ref="A74" si="38">A72+1</f>
        <v>45</v>
      </c>
      <c r="B74" t="s">
        <v>23</v>
      </c>
      <c r="F74" t="s">
        <v>410</v>
      </c>
      <c r="G74" t="s">
        <v>341</v>
      </c>
      <c r="H74" t="s">
        <v>403</v>
      </c>
    </row>
    <row r="75" spans="1:8" x14ac:dyDescent="0.25">
      <c r="A75">
        <f t="shared" ref="A75" si="39">A74+1</f>
        <v>46</v>
      </c>
      <c r="F75">
        <v>-1.9E-2</v>
      </c>
      <c r="G75">
        <v>-1.4999999999999999E-2</v>
      </c>
      <c r="H75">
        <v>-1.4E-2</v>
      </c>
    </row>
    <row r="77" spans="1:8" x14ac:dyDescent="0.25">
      <c r="A77">
        <f t="shared" ref="A77" si="40">A75+1</f>
        <v>47</v>
      </c>
      <c r="B77" t="s">
        <v>29</v>
      </c>
      <c r="F77" t="s">
        <v>409</v>
      </c>
      <c r="G77" t="s">
        <v>425</v>
      </c>
      <c r="H77" t="s">
        <v>426</v>
      </c>
    </row>
    <row r="78" spans="1:8" x14ac:dyDescent="0.25">
      <c r="A78">
        <f t="shared" ref="A78" si="41">A77+1</f>
        <v>48</v>
      </c>
      <c r="F78">
        <v>-1.4E-2</v>
      </c>
      <c r="G78">
        <v>-1.0999999999999999E-2</v>
      </c>
      <c r="H78">
        <v>-1.0999999999999999E-2</v>
      </c>
    </row>
    <row r="80" spans="1:8" x14ac:dyDescent="0.25">
      <c r="A80">
        <f t="shared" ref="A80" si="42">A78+1</f>
        <v>49</v>
      </c>
      <c r="B80" t="s">
        <v>28</v>
      </c>
      <c r="F80" t="s">
        <v>563</v>
      </c>
      <c r="G80" t="s">
        <v>397</v>
      </c>
      <c r="H80" t="s">
        <v>564</v>
      </c>
    </row>
    <row r="81" spans="1:8" x14ac:dyDescent="0.25">
      <c r="A81">
        <f t="shared" ref="A81" si="43">A80+1</f>
        <v>50</v>
      </c>
      <c r="F81">
        <v>-7.0000000000000001E-3</v>
      </c>
      <c r="G81">
        <v>-6.0000000000000001E-3</v>
      </c>
      <c r="H81">
        <v>-5.0000000000000001E-3</v>
      </c>
    </row>
    <row r="83" spans="1:8" x14ac:dyDescent="0.25">
      <c r="A83">
        <f t="shared" ref="A83" si="44">A81+1</f>
        <v>51</v>
      </c>
      <c r="B83" t="s">
        <v>235</v>
      </c>
      <c r="F83" t="s">
        <v>482</v>
      </c>
      <c r="G83">
        <v>-1.7999999999999999E-2</v>
      </c>
      <c r="H83">
        <v>8.9999999999999993E-3</v>
      </c>
    </row>
    <row r="84" spans="1:8" x14ac:dyDescent="0.25">
      <c r="A84">
        <f t="shared" ref="A84" si="45">A83+1</f>
        <v>52</v>
      </c>
      <c r="F84">
        <v>-1.4E-2</v>
      </c>
      <c r="G84">
        <v>-1.2E-2</v>
      </c>
      <c r="H84">
        <v>-1.0999999999999999E-2</v>
      </c>
    </row>
    <row r="86" spans="1:8" x14ac:dyDescent="0.25">
      <c r="A86">
        <f t="shared" ref="A86" si="46">A84+1</f>
        <v>53</v>
      </c>
      <c r="B86" t="s">
        <v>236</v>
      </c>
      <c r="F86" t="s">
        <v>483</v>
      </c>
      <c r="G86" t="s">
        <v>484</v>
      </c>
      <c r="H86">
        <v>0.191</v>
      </c>
    </row>
    <row r="87" spans="1:8" x14ac:dyDescent="0.25">
      <c r="A87">
        <f t="shared" ref="A87" si="47">A86+1</f>
        <v>54</v>
      </c>
      <c r="F87">
        <v>-0.159</v>
      </c>
      <c r="G87">
        <v>-0.126</v>
      </c>
      <c r="H87">
        <v>-0.11799999999999999</v>
      </c>
    </row>
    <row r="89" spans="1:8" x14ac:dyDescent="0.25">
      <c r="A89">
        <f t="shared" ref="A89" si="48">A87+1</f>
        <v>55</v>
      </c>
      <c r="B89" t="s">
        <v>238</v>
      </c>
      <c r="F89" t="s">
        <v>403</v>
      </c>
      <c r="G89" t="s">
        <v>470</v>
      </c>
      <c r="H89" t="s">
        <v>492</v>
      </c>
    </row>
    <row r="90" spans="1:8" x14ac:dyDescent="0.25">
      <c r="A90">
        <f t="shared" ref="A90" si="49">A89+1</f>
        <v>56</v>
      </c>
      <c r="F90">
        <v>-7.0000000000000001E-3</v>
      </c>
      <c r="G90">
        <v>-6.0000000000000001E-3</v>
      </c>
      <c r="H90">
        <v>-6.0000000000000001E-3</v>
      </c>
    </row>
    <row r="92" spans="1:8" x14ac:dyDescent="0.25">
      <c r="A92">
        <f t="shared" ref="A92" si="50">A90+1</f>
        <v>57</v>
      </c>
      <c r="B92" t="s">
        <v>240</v>
      </c>
      <c r="F92">
        <v>3.0000000000000001E-3</v>
      </c>
      <c r="G92">
        <v>1.6E-2</v>
      </c>
      <c r="H92">
        <v>-6.0000000000000001E-3</v>
      </c>
    </row>
    <row r="93" spans="1:8" x14ac:dyDescent="0.25">
      <c r="A93">
        <f t="shared" ref="A93" si="51">A92+1</f>
        <v>58</v>
      </c>
      <c r="F93">
        <v>-1.4E-2</v>
      </c>
      <c r="G93">
        <v>-1.0999999999999999E-2</v>
      </c>
      <c r="H93">
        <v>-1.0999999999999999E-2</v>
      </c>
    </row>
    <row r="95" spans="1:8" x14ac:dyDescent="0.25">
      <c r="A95">
        <f t="shared" ref="A95" si="52">A93+1</f>
        <v>59</v>
      </c>
      <c r="B95" t="s">
        <v>241</v>
      </c>
      <c r="F95">
        <v>-2.3E-2</v>
      </c>
      <c r="G95">
        <v>-2.3E-2</v>
      </c>
      <c r="H95">
        <v>-1E-3</v>
      </c>
    </row>
    <row r="96" spans="1:8" x14ac:dyDescent="0.25">
      <c r="A96">
        <f t="shared" ref="A96" si="53">A95+1</f>
        <v>60</v>
      </c>
      <c r="F96">
        <v>-8.6999999999999994E-2</v>
      </c>
      <c r="G96">
        <v>-6.9000000000000006E-2</v>
      </c>
      <c r="H96">
        <v>-6.5000000000000002E-2</v>
      </c>
    </row>
    <row r="98" spans="1:8" x14ac:dyDescent="0.25">
      <c r="A98">
        <f t="shared" ref="A98" si="54">A96+1</f>
        <v>61</v>
      </c>
      <c r="B98" t="s">
        <v>243</v>
      </c>
      <c r="F98" t="s">
        <v>400</v>
      </c>
      <c r="G98" t="s">
        <v>203</v>
      </c>
      <c r="H98" t="s">
        <v>565</v>
      </c>
    </row>
    <row r="99" spans="1:8" x14ac:dyDescent="0.25">
      <c r="A99">
        <f t="shared" ref="A99" si="55">A98+1</f>
        <v>62</v>
      </c>
      <c r="F99">
        <v>-1.6E-2</v>
      </c>
      <c r="G99">
        <v>-1.2999999999999999E-2</v>
      </c>
      <c r="H99">
        <v>-1.2E-2</v>
      </c>
    </row>
    <row r="101" spans="1:8" x14ac:dyDescent="0.25">
      <c r="A101">
        <f t="shared" ref="A101" si="56">A99+1</f>
        <v>63</v>
      </c>
      <c r="B101" t="s">
        <v>245</v>
      </c>
      <c r="F101" t="s">
        <v>566</v>
      </c>
      <c r="G101" t="s">
        <v>567</v>
      </c>
      <c r="H101" t="s">
        <v>568</v>
      </c>
    </row>
    <row r="102" spans="1:8" x14ac:dyDescent="0.25">
      <c r="A102">
        <f t="shared" ref="A102" si="57">A101+1</f>
        <v>64</v>
      </c>
      <c r="F102">
        <v>-0.159</v>
      </c>
      <c r="G102">
        <v>-0.126</v>
      </c>
      <c r="H102">
        <v>-0.11799999999999999</v>
      </c>
    </row>
    <row r="104" spans="1:8" x14ac:dyDescent="0.25">
      <c r="A104">
        <f t="shared" ref="A104" si="58">A102+1</f>
        <v>65</v>
      </c>
      <c r="B104" t="s">
        <v>166</v>
      </c>
      <c r="F104" t="s">
        <v>485</v>
      </c>
      <c r="G104" t="s">
        <v>486</v>
      </c>
      <c r="H104" t="s">
        <v>569</v>
      </c>
    </row>
    <row r="105" spans="1:8" x14ac:dyDescent="0.25">
      <c r="A105">
        <f t="shared" ref="A105" si="59">A104+1</f>
        <v>66</v>
      </c>
      <c r="F105">
        <v>-0.03</v>
      </c>
      <c r="G105">
        <v>-2.4E-2</v>
      </c>
      <c r="H105">
        <v>-2.1999999999999999E-2</v>
      </c>
    </row>
    <row r="107" spans="1:8" x14ac:dyDescent="0.25">
      <c r="A107">
        <f t="shared" ref="A107" si="60">A105+1</f>
        <v>67</v>
      </c>
      <c r="B107" t="s">
        <v>167</v>
      </c>
      <c r="F107" t="s">
        <v>463</v>
      </c>
      <c r="G107" t="s">
        <v>211</v>
      </c>
      <c r="H107" t="s">
        <v>332</v>
      </c>
    </row>
    <row r="108" spans="1:8" x14ac:dyDescent="0.25">
      <c r="A108">
        <f t="shared" ref="A108" si="61">A107+1</f>
        <v>68</v>
      </c>
      <c r="F108">
        <v>-2.8000000000000001E-2</v>
      </c>
      <c r="G108">
        <v>-2.3E-2</v>
      </c>
      <c r="H108">
        <v>-2.1000000000000001E-2</v>
      </c>
    </row>
    <row r="110" spans="1:8" x14ac:dyDescent="0.25">
      <c r="A110">
        <f t="shared" ref="A110" si="62">A108+1</f>
        <v>69</v>
      </c>
      <c r="B110" t="s">
        <v>168</v>
      </c>
      <c r="F110" t="s">
        <v>345</v>
      </c>
      <c r="G110" t="s">
        <v>211</v>
      </c>
      <c r="H110" t="s">
        <v>332</v>
      </c>
    </row>
    <row r="111" spans="1:8" x14ac:dyDescent="0.25">
      <c r="A111">
        <f t="shared" ref="A111" si="63">A110+1</f>
        <v>70</v>
      </c>
      <c r="F111">
        <v>-2.9000000000000001E-2</v>
      </c>
      <c r="G111">
        <v>-2.3E-2</v>
      </c>
      <c r="H111">
        <v>-2.1000000000000001E-2</v>
      </c>
    </row>
    <row r="113" spans="1:8" x14ac:dyDescent="0.25">
      <c r="A113">
        <f t="shared" ref="A113" si="64">A111+1</f>
        <v>71</v>
      </c>
      <c r="B113" t="s">
        <v>169</v>
      </c>
      <c r="F113" t="s">
        <v>404</v>
      </c>
      <c r="G113" t="s">
        <v>488</v>
      </c>
      <c r="H113" t="s">
        <v>467</v>
      </c>
    </row>
    <row r="114" spans="1:8" x14ac:dyDescent="0.25">
      <c r="A114">
        <f t="shared" ref="A114" si="65">A113+1</f>
        <v>72</v>
      </c>
      <c r="F114">
        <v>-2.9000000000000001E-2</v>
      </c>
      <c r="G114">
        <v>-2.3E-2</v>
      </c>
      <c r="H114">
        <v>-2.1000000000000001E-2</v>
      </c>
    </row>
    <row r="116" spans="1:8" x14ac:dyDescent="0.25">
      <c r="A116">
        <f t="shared" ref="A116" si="66">A114+1</f>
        <v>73</v>
      </c>
      <c r="B116" t="s">
        <v>170</v>
      </c>
      <c r="F116" t="s">
        <v>489</v>
      </c>
      <c r="G116" t="s">
        <v>490</v>
      </c>
      <c r="H116" t="s">
        <v>570</v>
      </c>
    </row>
    <row r="117" spans="1:8" x14ac:dyDescent="0.25">
      <c r="A117">
        <f t="shared" ref="A117" si="67">A116+1</f>
        <v>74</v>
      </c>
      <c r="F117">
        <v>-2.9000000000000001E-2</v>
      </c>
      <c r="G117">
        <v>-2.3E-2</v>
      </c>
      <c r="H117">
        <v>-2.1999999999999999E-2</v>
      </c>
    </row>
    <row r="119" spans="1:8" x14ac:dyDescent="0.25">
      <c r="A119">
        <f t="shared" ref="A119" si="68">A117+1</f>
        <v>75</v>
      </c>
      <c r="B119" t="s">
        <v>50</v>
      </c>
      <c r="F119" t="s">
        <v>221</v>
      </c>
      <c r="G119" t="s">
        <v>220</v>
      </c>
      <c r="H119" t="s">
        <v>221</v>
      </c>
    </row>
    <row r="120" spans="1:8" x14ac:dyDescent="0.25">
      <c r="A120">
        <f t="shared" ref="A120" si="69">A119+1</f>
        <v>76</v>
      </c>
      <c r="F120">
        <v>-4.0000000000000003E-5</v>
      </c>
      <c r="G120">
        <v>-3.0000000000000001E-5</v>
      </c>
      <c r="H120">
        <v>-3.0000000000000001E-5</v>
      </c>
    </row>
    <row r="122" spans="1:8" x14ac:dyDescent="0.25">
      <c r="A122">
        <f t="shared" ref="A122" si="70">A120+1</f>
        <v>77</v>
      </c>
      <c r="B122" t="s">
        <v>52</v>
      </c>
      <c r="F122" t="s">
        <v>491</v>
      </c>
      <c r="G122">
        <v>-5.0000000000000001E-3</v>
      </c>
      <c r="H122">
        <v>-5.0000000000000001E-3</v>
      </c>
    </row>
    <row r="123" spans="1:8" x14ac:dyDescent="0.25">
      <c r="A123">
        <f t="shared" ref="A123" si="71">A122+1</f>
        <v>78</v>
      </c>
      <c r="F123">
        <v>-4.0000000000000001E-3</v>
      </c>
      <c r="G123">
        <v>-3.0000000000000001E-3</v>
      </c>
      <c r="H123">
        <v>-3.0000000000000001E-3</v>
      </c>
    </row>
    <row r="125" spans="1:8" x14ac:dyDescent="0.25">
      <c r="A125">
        <f t="shared" ref="A125" si="72">A123+1</f>
        <v>79</v>
      </c>
      <c r="B125" t="s">
        <v>51</v>
      </c>
      <c r="F125" t="s">
        <v>468</v>
      </c>
      <c r="G125" t="s">
        <v>475</v>
      </c>
      <c r="H125" t="s">
        <v>516</v>
      </c>
    </row>
    <row r="126" spans="1:8" x14ac:dyDescent="0.25">
      <c r="A126">
        <f t="shared" ref="A126" si="73">A125+1</f>
        <v>80</v>
      </c>
      <c r="F126">
        <v>-0.02</v>
      </c>
      <c r="G126">
        <v>-1.6E-2</v>
      </c>
      <c r="H126">
        <v>-1.4999999999999999E-2</v>
      </c>
    </row>
    <row r="128" spans="1:8" x14ac:dyDescent="0.25">
      <c r="A128">
        <f t="shared" ref="A128" si="74">A126+1</f>
        <v>81</v>
      </c>
      <c r="B128" t="s">
        <v>164</v>
      </c>
      <c r="G128">
        <v>5.0000000000000001E-4</v>
      </c>
      <c r="H128" t="s">
        <v>453</v>
      </c>
    </row>
    <row r="129" spans="1:8" x14ac:dyDescent="0.25">
      <c r="A129">
        <f t="shared" ref="A129" si="75">A128+1</f>
        <v>82</v>
      </c>
      <c r="G129">
        <v>-1E-3</v>
      </c>
      <c r="H129">
        <v>-1E-3</v>
      </c>
    </row>
    <row r="131" spans="1:8" x14ac:dyDescent="0.25">
      <c r="A131">
        <f t="shared" ref="A131" si="76">A129+1</f>
        <v>83</v>
      </c>
      <c r="B131" t="s">
        <v>39</v>
      </c>
      <c r="G131" t="s">
        <v>492</v>
      </c>
      <c r="H131" t="s">
        <v>525</v>
      </c>
    </row>
    <row r="132" spans="1:8" x14ac:dyDescent="0.25">
      <c r="A132">
        <f t="shared" ref="A132" si="77">A131+1</f>
        <v>84</v>
      </c>
      <c r="G132">
        <v>-5.0000000000000001E-3</v>
      </c>
      <c r="H132">
        <v>-5.0000000000000001E-3</v>
      </c>
    </row>
    <row r="134" spans="1:8" x14ac:dyDescent="0.25">
      <c r="A134">
        <f t="shared" ref="A134" si="78">A132+1</f>
        <v>85</v>
      </c>
      <c r="B134" t="s">
        <v>40</v>
      </c>
      <c r="G134" t="s">
        <v>493</v>
      </c>
      <c r="H134">
        <v>1E-4</v>
      </c>
    </row>
    <row r="135" spans="1:8" x14ac:dyDescent="0.25">
      <c r="A135">
        <f t="shared" ref="A135" si="79">A134+1</f>
        <v>86</v>
      </c>
      <c r="G135">
        <v>-1E-3</v>
      </c>
      <c r="H135">
        <v>-1E-3</v>
      </c>
    </row>
    <row r="137" spans="1:8" x14ac:dyDescent="0.25">
      <c r="A137">
        <f t="shared" ref="A137" si="80">A135+1</f>
        <v>87</v>
      </c>
      <c r="B137" t="s">
        <v>41</v>
      </c>
      <c r="G137" t="s">
        <v>250</v>
      </c>
      <c r="H137" t="s">
        <v>347</v>
      </c>
    </row>
    <row r="138" spans="1:8" x14ac:dyDescent="0.25">
      <c r="A138">
        <f t="shared" ref="A138" si="81">A137+1</f>
        <v>88</v>
      </c>
      <c r="G138">
        <v>-1E-3</v>
      </c>
      <c r="H138">
        <v>-5.0000000000000001E-4</v>
      </c>
    </row>
    <row r="140" spans="1:8" x14ac:dyDescent="0.25">
      <c r="A140">
        <f t="shared" ref="A140" si="82">A138+1</f>
        <v>89</v>
      </c>
      <c r="B140" t="s">
        <v>173</v>
      </c>
      <c r="G140" t="s">
        <v>395</v>
      </c>
      <c r="H140" t="s">
        <v>457</v>
      </c>
    </row>
    <row r="141" spans="1:8" x14ac:dyDescent="0.25">
      <c r="A141">
        <f t="shared" ref="A141" si="83">A140+1</f>
        <v>90</v>
      </c>
      <c r="G141">
        <v>-2E-3</v>
      </c>
      <c r="H141">
        <v>-2E-3</v>
      </c>
    </row>
    <row r="143" spans="1:8" x14ac:dyDescent="0.25">
      <c r="A143">
        <f t="shared" ref="A143" si="84">A141+1</f>
        <v>91</v>
      </c>
      <c r="B143" t="s">
        <v>174</v>
      </c>
      <c r="G143" t="s">
        <v>252</v>
      </c>
      <c r="H143" t="s">
        <v>250</v>
      </c>
    </row>
    <row r="144" spans="1:8" x14ac:dyDescent="0.25">
      <c r="A144">
        <f t="shared" ref="A144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175</v>
      </c>
      <c r="G146" t="s">
        <v>248</v>
      </c>
      <c r="H146" t="s">
        <v>248</v>
      </c>
    </row>
    <row r="147" spans="1:8" x14ac:dyDescent="0.25">
      <c r="A147">
        <f t="shared" ref="A147" si="87">A146+1</f>
        <v>94</v>
      </c>
      <c r="G147">
        <v>-1E-3</v>
      </c>
      <c r="H147">
        <v>-1E-3</v>
      </c>
    </row>
    <row r="149" spans="1:8" x14ac:dyDescent="0.25">
      <c r="A149">
        <f t="shared" ref="A149" si="88">A147+1</f>
        <v>95</v>
      </c>
      <c r="B149" t="s">
        <v>53</v>
      </c>
      <c r="G149" t="s">
        <v>256</v>
      </c>
      <c r="H149" t="s">
        <v>257</v>
      </c>
    </row>
    <row r="150" spans="1:8" x14ac:dyDescent="0.25">
      <c r="A150">
        <f t="shared" ref="A150" si="89">A149+1</f>
        <v>96</v>
      </c>
      <c r="G150">
        <v>0</v>
      </c>
      <c r="H150">
        <v>0</v>
      </c>
    </row>
    <row r="152" spans="1:8" x14ac:dyDescent="0.25">
      <c r="A152">
        <f t="shared" ref="A152" si="90">A150+1</f>
        <v>97</v>
      </c>
      <c r="B152" t="s">
        <v>54</v>
      </c>
      <c r="G152" t="s">
        <v>495</v>
      </c>
      <c r="H152" t="s">
        <v>256</v>
      </c>
    </row>
    <row r="153" spans="1:8" x14ac:dyDescent="0.25">
      <c r="A153">
        <f t="shared" ref="A153" si="91">A152+1</f>
        <v>98</v>
      </c>
      <c r="G153">
        <v>0</v>
      </c>
      <c r="H153">
        <v>0</v>
      </c>
    </row>
    <row r="155" spans="1:8" x14ac:dyDescent="0.25">
      <c r="A155">
        <f t="shared" ref="A155" si="92">A153+1</f>
        <v>99</v>
      </c>
      <c r="B155" t="s">
        <v>43</v>
      </c>
      <c r="H155" t="s">
        <v>695</v>
      </c>
    </row>
    <row r="156" spans="1:8" x14ac:dyDescent="0.25">
      <c r="A156">
        <f t="shared" ref="A156" si="93">A155+1</f>
        <v>100</v>
      </c>
      <c r="H156">
        <v>-4.8000000000000001E-2</v>
      </c>
    </row>
    <row r="158" spans="1:8" x14ac:dyDescent="0.25">
      <c r="A158">
        <f t="shared" ref="A158" si="94">A156+1</f>
        <v>101</v>
      </c>
      <c r="B158" t="s">
        <v>44</v>
      </c>
      <c r="H158" t="s">
        <v>510</v>
      </c>
    </row>
    <row r="159" spans="1:8" x14ac:dyDescent="0.25">
      <c r="A159">
        <f t="shared" ref="A159" si="95">A158+1</f>
        <v>102</v>
      </c>
      <c r="H159">
        <v>-0.01</v>
      </c>
    </row>
    <row r="161" spans="1:8" x14ac:dyDescent="0.25">
      <c r="A161">
        <f t="shared" ref="A161" si="96">A159+1</f>
        <v>103</v>
      </c>
      <c r="B161" t="s">
        <v>45</v>
      </c>
      <c r="H161" t="s">
        <v>571</v>
      </c>
    </row>
    <row r="162" spans="1:8" x14ac:dyDescent="0.25">
      <c r="A162">
        <f t="shared" ref="A162" si="97">A161+1</f>
        <v>104</v>
      </c>
      <c r="H162">
        <v>-1.9E-2</v>
      </c>
    </row>
    <row r="164" spans="1:8" x14ac:dyDescent="0.25">
      <c r="A164">
        <f t="shared" ref="A164" si="98">A162+1</f>
        <v>105</v>
      </c>
      <c r="B164" t="s">
        <v>48</v>
      </c>
      <c r="H164" t="s">
        <v>423</v>
      </c>
    </row>
    <row r="165" spans="1:8" x14ac:dyDescent="0.25">
      <c r="A165">
        <f t="shared" ref="A165" si="99">A164+1</f>
        <v>106</v>
      </c>
      <c r="H165">
        <v>-0.01</v>
      </c>
    </row>
    <row r="167" spans="1:8" x14ac:dyDescent="0.25">
      <c r="A167">
        <f t="shared" ref="A167" si="100">A165+1</f>
        <v>107</v>
      </c>
      <c r="B167" t="s">
        <v>46</v>
      </c>
      <c r="H167" t="s">
        <v>572</v>
      </c>
    </row>
    <row r="168" spans="1:8" x14ac:dyDescent="0.25">
      <c r="A168">
        <f t="shared" ref="A168" si="101">A167+1</f>
        <v>108</v>
      </c>
      <c r="H168">
        <v>-1.9E-2</v>
      </c>
    </row>
    <row r="170" spans="1:8" x14ac:dyDescent="0.25">
      <c r="A170">
        <f t="shared" ref="A170" si="102">A168+1</f>
        <v>109</v>
      </c>
      <c r="B170" t="s">
        <v>258</v>
      </c>
      <c r="C170" t="s">
        <v>573</v>
      </c>
      <c r="D170" t="s">
        <v>574</v>
      </c>
      <c r="E170" t="s">
        <v>575</v>
      </c>
      <c r="F170" t="s">
        <v>496</v>
      </c>
      <c r="G170" t="s">
        <v>696</v>
      </c>
      <c r="H170">
        <v>0.14899999999999999</v>
      </c>
    </row>
    <row r="171" spans="1:8" x14ac:dyDescent="0.25">
      <c r="A171">
        <f t="shared" ref="A171" si="103">A170+1</f>
        <v>110</v>
      </c>
      <c r="C171">
        <v>-4.0000000000000001E-3</v>
      </c>
      <c r="D171">
        <v>-8.9999999999999993E-3</v>
      </c>
      <c r="E171">
        <v>-1.0999999999999999E-2</v>
      </c>
      <c r="F171">
        <v>-3.1E-2</v>
      </c>
      <c r="G171">
        <v>-0.83299999999999996</v>
      </c>
      <c r="H171">
        <v>-0.83599999999999997</v>
      </c>
    </row>
    <row r="173" spans="1:8" x14ac:dyDescent="0.25">
      <c r="A173">
        <f t="shared" ref="A173" si="104">A171+1</f>
        <v>111</v>
      </c>
      <c r="B173" t="s">
        <v>394</v>
      </c>
      <c r="C173" t="s">
        <v>194</v>
      </c>
      <c r="D173" t="s">
        <v>195</v>
      </c>
      <c r="E173" t="s">
        <v>579</v>
      </c>
      <c r="F173" t="s">
        <v>304</v>
      </c>
      <c r="G173" t="s">
        <v>194</v>
      </c>
      <c r="H173" t="s">
        <v>194</v>
      </c>
    </row>
    <row r="174" spans="1:8" x14ac:dyDescent="0.25">
      <c r="A174">
        <f t="shared" ref="A174" si="105">A173+1</f>
        <v>112</v>
      </c>
      <c r="B174" t="s">
        <v>187</v>
      </c>
      <c r="C174" s="1">
        <v>22965</v>
      </c>
      <c r="D174" s="1">
        <v>22965</v>
      </c>
      <c r="E174" s="1">
        <v>22965</v>
      </c>
      <c r="F174" s="1">
        <v>22965</v>
      </c>
      <c r="G174" s="1">
        <v>22965</v>
      </c>
      <c r="H174" s="1">
        <v>22965</v>
      </c>
    </row>
    <row r="175" spans="1:8" x14ac:dyDescent="0.25">
      <c r="A175">
        <v>113</v>
      </c>
      <c r="B175" t="s">
        <v>259</v>
      </c>
      <c r="C175">
        <v>0.03</v>
      </c>
      <c r="D175">
        <v>9.0999999999999998E-2</v>
      </c>
      <c r="E175">
        <v>0.61899999999999999</v>
      </c>
      <c r="F175">
        <v>0.627</v>
      </c>
      <c r="G175">
        <v>0.76600000000000001</v>
      </c>
      <c r="H175">
        <v>0.79500000000000004</v>
      </c>
    </row>
    <row r="176" spans="1:8" x14ac:dyDescent="0.25">
      <c r="A176">
        <v>114</v>
      </c>
      <c r="B176" t="s">
        <v>260</v>
      </c>
      <c r="C176">
        <v>0.03</v>
      </c>
      <c r="D176">
        <v>0.09</v>
      </c>
      <c r="E176">
        <v>0.61899999999999999</v>
      </c>
      <c r="F176">
        <v>0.627</v>
      </c>
      <c r="G176">
        <v>0.76600000000000001</v>
      </c>
      <c r="H176">
        <v>0.79400000000000004</v>
      </c>
    </row>
    <row r="177" spans="1:8" x14ac:dyDescent="0.25">
      <c r="A177">
        <v>115</v>
      </c>
      <c r="B177" t="s">
        <v>261</v>
      </c>
      <c r="C177" t="s">
        <v>697</v>
      </c>
      <c r="D177" t="s">
        <v>698</v>
      </c>
      <c r="E177" t="s">
        <v>699</v>
      </c>
      <c r="F177" t="s">
        <v>700</v>
      </c>
      <c r="G177" t="s">
        <v>701</v>
      </c>
      <c r="H177" t="s">
        <v>702</v>
      </c>
    </row>
    <row r="178" spans="1:8" x14ac:dyDescent="0.25">
      <c r="A178">
        <v>116</v>
      </c>
      <c r="B178" t="s">
        <v>262</v>
      </c>
      <c r="C178" t="s">
        <v>703</v>
      </c>
      <c r="D178" t="s">
        <v>704</v>
      </c>
      <c r="E178" t="s">
        <v>705</v>
      </c>
      <c r="F178" t="s">
        <v>706</v>
      </c>
      <c r="G178" t="s">
        <v>707</v>
      </c>
      <c r="H178" t="s">
        <v>708</v>
      </c>
    </row>
    <row r="179" spans="1:8" x14ac:dyDescent="0.25">
      <c r="B179" t="s">
        <v>414</v>
      </c>
      <c r="C179" t="s">
        <v>193</v>
      </c>
      <c r="D179" t="s">
        <v>192</v>
      </c>
      <c r="E179" t="s">
        <v>578</v>
      </c>
      <c r="F179" t="s">
        <v>303</v>
      </c>
      <c r="G179" t="s">
        <v>193</v>
      </c>
      <c r="H179" t="s">
        <v>193</v>
      </c>
    </row>
    <row r="180" spans="1:8" x14ac:dyDescent="0.25">
      <c r="B180" t="s">
        <v>263</v>
      </c>
      <c r="H180" t="s">
        <v>264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DC513-0C03-4C24-AD96-2D61B9A99534}">
  <sheetPr codeName="Sheet19"/>
  <dimension ref="A1:AG66"/>
  <sheetViews>
    <sheetView workbookViewId="0">
      <selection activeCell="F27" sqref="F27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0.148992437311809</v>
      </c>
      <c r="D2">
        <v>15.399116053803199</v>
      </c>
      <c r="E2">
        <v>9.6753889503294992E-3</v>
      </c>
      <c r="F2">
        <v>0.99245836119937203</v>
      </c>
      <c r="G2">
        <v>-9.2613376568212598</v>
      </c>
      <c r="H2">
        <v>18.986289438937298</v>
      </c>
      <c r="I2">
        <v>-0.48779081803251301</v>
      </c>
      <c r="J2">
        <v>0.63819160508940997</v>
      </c>
      <c r="K2">
        <v>12.871053310268</v>
      </c>
      <c r="L2">
        <v>0.18001605155789599</v>
      </c>
      <c r="M2">
        <v>71.499475734964903</v>
      </c>
      <c r="N2">
        <v>3.3936266438580198E-17</v>
      </c>
      <c r="O2">
        <v>13.083727005999901</v>
      </c>
      <c r="P2">
        <v>7.9053889463490498E-2</v>
      </c>
      <c r="Q2">
        <v>165.50389986873901</v>
      </c>
      <c r="R2">
        <v>1.45465434107136E-22</v>
      </c>
      <c r="S2">
        <v>13.6787066710363</v>
      </c>
      <c r="T2">
        <v>7.5010982437800994E-2</v>
      </c>
      <c r="U2">
        <v>182.35605276039001</v>
      </c>
      <c r="V2">
        <v>8.6259365550057802E-23</v>
      </c>
      <c r="W2">
        <v>13.845804237893899</v>
      </c>
      <c r="X2">
        <v>8.9712821298401496E-2</v>
      </c>
      <c r="Y2">
        <v>154.33473206510999</v>
      </c>
      <c r="Z2">
        <v>1.7999957319083999E-20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3.7531033085312297E-2</v>
      </c>
      <c r="D3">
        <v>9.4546957039321304E-3</v>
      </c>
      <c r="E3">
        <v>3.9695654160189902</v>
      </c>
      <c r="F3">
        <v>2.3677263815973398E-3</v>
      </c>
      <c r="G3">
        <v>4.51039758183467E-2</v>
      </c>
      <c r="H3">
        <v>1.0614114049120601E-2</v>
      </c>
      <c r="I3">
        <v>4.2494338773459699</v>
      </c>
      <c r="J3">
        <v>1.4892972388908399E-3</v>
      </c>
      <c r="K3">
        <v>5.6555244666618598E-2</v>
      </c>
      <c r="L3">
        <v>1.4324353724023201E-2</v>
      </c>
      <c r="M3">
        <v>3.9481882223957001</v>
      </c>
      <c r="N3">
        <v>2.4503682666964701E-3</v>
      </c>
      <c r="O3">
        <v>5.5336203492466401E-2</v>
      </c>
      <c r="P3">
        <v>1.37572376249161E-2</v>
      </c>
      <c r="Q3">
        <v>4.0223339162395302</v>
      </c>
      <c r="R3">
        <v>2.1679824012537201E-3</v>
      </c>
      <c r="S3">
        <v>9.3987294604406302E-2</v>
      </c>
      <c r="T3">
        <v>2.0099670978665801E-2</v>
      </c>
      <c r="U3">
        <v>4.6760613496691601</v>
      </c>
      <c r="V3">
        <v>7.4906907358760204E-4</v>
      </c>
      <c r="W3">
        <v>0.15800892885291501</v>
      </c>
      <c r="X3">
        <v>1.0148602623862499E-2</v>
      </c>
      <c r="Y3">
        <v>15.5695256489192</v>
      </c>
      <c r="Z3">
        <v>2.4672996987337799E-9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8.8323048313442305E-5</v>
      </c>
      <c r="D4">
        <v>4.84558165737261E-5</v>
      </c>
      <c r="E4">
        <v>1.82275430606061</v>
      </c>
      <c r="F4">
        <v>8.9338622149863003E-2</v>
      </c>
      <c r="G4">
        <v>1.6591510708022499E-4</v>
      </c>
      <c r="H4">
        <v>7.4841829758597807E-5</v>
      </c>
      <c r="I4">
        <v>2.2168766799981299</v>
      </c>
      <c r="J4">
        <v>4.3408383230624098E-2</v>
      </c>
      <c r="K4">
        <v>2.70347108631377E-4</v>
      </c>
      <c r="L4">
        <v>1.24388545221599E-4</v>
      </c>
      <c r="M4">
        <v>2.1734083966474</v>
      </c>
      <c r="N4">
        <v>4.70436482953656E-2</v>
      </c>
      <c r="O4">
        <v>2.4020098271986201E-4</v>
      </c>
      <c r="P4">
        <v>1.45303594499112E-4</v>
      </c>
      <c r="Q4">
        <v>1.6530973204611901</v>
      </c>
      <c r="R4">
        <v>0.12004798284794101</v>
      </c>
      <c r="S4">
        <v>1.8591698144810899E-3</v>
      </c>
      <c r="T4">
        <v>2.8801010160249199E-4</v>
      </c>
      <c r="U4">
        <v>6.4552243276768504</v>
      </c>
      <c r="V4">
        <v>1.5322643667090398E-5</v>
      </c>
      <c r="AB4" t="str">
        <f t="shared" si="0"/>
        <v>*</v>
      </c>
      <c r="AC4" t="str">
        <f t="shared" si="1"/>
        <v>**</v>
      </c>
      <c r="AD4" t="str">
        <f t="shared" si="2"/>
        <v>**</v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2.61836257270842E-2</v>
      </c>
      <c r="D5">
        <v>7.4607928410758001E-3</v>
      </c>
      <c r="E5">
        <v>3.5094964147682499</v>
      </c>
      <c r="F5">
        <v>4.3868528618611598E-3</v>
      </c>
      <c r="G5">
        <v>2.7447129162830399E-2</v>
      </c>
      <c r="H5">
        <v>6.2718842952667504E-3</v>
      </c>
      <c r="I5">
        <v>4.3762173966672302</v>
      </c>
      <c r="J5">
        <v>9.2786802389000303E-4</v>
      </c>
      <c r="K5">
        <v>2.30019460896193E-2</v>
      </c>
      <c r="L5">
        <v>9.9771378877839597E-3</v>
      </c>
      <c r="M5">
        <v>2.30546538980713</v>
      </c>
      <c r="N5">
        <v>4.0056453973391103E-2</v>
      </c>
      <c r="O5">
        <v>2.1425235867769399E-2</v>
      </c>
      <c r="P5">
        <v>1.15215231330211E-2</v>
      </c>
      <c r="Q5">
        <v>1.8595836349418</v>
      </c>
      <c r="R5">
        <v>8.7945560378584503E-2</v>
      </c>
      <c r="S5">
        <v>8.7025841808509793E-2</v>
      </c>
      <c r="T5">
        <v>1.6056250256329601E-2</v>
      </c>
      <c r="U5">
        <v>5.4200601273141702</v>
      </c>
      <c r="V5">
        <v>1.62294899447177E-4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3.0708967657295101E-2</v>
      </c>
      <c r="D6">
        <v>1.09436146944146E-2</v>
      </c>
      <c r="E6">
        <v>2.80610826630878</v>
      </c>
      <c r="F6">
        <v>1.6013347988364301E-2</v>
      </c>
      <c r="G6">
        <v>3.5406484221319902E-2</v>
      </c>
      <c r="H6">
        <v>7.9228209625553797E-3</v>
      </c>
      <c r="I6">
        <v>4.4689239336161997</v>
      </c>
      <c r="J6">
        <v>7.9400928585723397E-4</v>
      </c>
      <c r="K6">
        <v>2.8032139930852799E-2</v>
      </c>
      <c r="L6">
        <v>1.31934268480125E-2</v>
      </c>
      <c r="M6">
        <v>2.1247049954330599</v>
      </c>
      <c r="N6">
        <v>5.5402807240064203E-2</v>
      </c>
      <c r="O6">
        <v>2.76234257884867E-2</v>
      </c>
      <c r="P6">
        <v>1.3992627105429801E-2</v>
      </c>
      <c r="Q6">
        <v>1.97414149468526</v>
      </c>
      <c r="R6">
        <v>7.2191604237775195E-2</v>
      </c>
      <c r="S6">
        <v>0.115652960810585</v>
      </c>
      <c r="T6">
        <v>1.83555568776421E-2</v>
      </c>
      <c r="U6">
        <v>6.30070564361111</v>
      </c>
      <c r="V6">
        <v>4.2105180710765698E-5</v>
      </c>
      <c r="AB6" t="str">
        <f t="shared" si="0"/>
        <v>**</v>
      </c>
      <c r="AC6" t="str">
        <f t="shared" si="1"/>
        <v>***</v>
      </c>
      <c r="AD6" t="str">
        <f t="shared" si="2"/>
        <v>*</v>
      </c>
      <c r="AE6" t="str">
        <f t="shared" si="3"/>
        <v>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1.1574084925460901E-2</v>
      </c>
      <c r="D7">
        <v>1.1968283372534199E-2</v>
      </c>
      <c r="E7">
        <v>0.96706307539659497</v>
      </c>
      <c r="F7">
        <v>0.35274584554008998</v>
      </c>
      <c r="G7">
        <v>1.51756379321003E-2</v>
      </c>
      <c r="H7">
        <v>8.7495466792909104E-3</v>
      </c>
      <c r="I7">
        <v>1.7344484792588299</v>
      </c>
      <c r="J7">
        <v>0.10865819084443</v>
      </c>
      <c r="K7">
        <v>3.06747086018727E-3</v>
      </c>
      <c r="L7">
        <v>1.0621308238822199E-2</v>
      </c>
      <c r="M7">
        <v>0.28880348740612499</v>
      </c>
      <c r="N7">
        <v>0.77770889491087702</v>
      </c>
      <c r="O7">
        <v>5.1862816754325199E-3</v>
      </c>
      <c r="P7">
        <v>1.0618288096883199E-2</v>
      </c>
      <c r="Q7">
        <v>0.48842917315031598</v>
      </c>
      <c r="R7">
        <v>0.63414032130439302</v>
      </c>
      <c r="S7">
        <v>8.4616607907851707E-2</v>
      </c>
      <c r="T7">
        <v>1.2163835042330399E-2</v>
      </c>
      <c r="U7">
        <v>6.9564086995083301</v>
      </c>
      <c r="V7">
        <v>1.5994410248270701E-5</v>
      </c>
      <c r="AB7" t="str">
        <f t="shared" si="0"/>
        <v/>
      </c>
      <c r="AC7" t="str">
        <f t="shared" si="1"/>
        <v/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3.7904418920183197E-4</v>
      </c>
      <c r="D8">
        <v>1.5796233235969698E-2</v>
      </c>
      <c r="E8">
        <v>2.3995859236789902E-2</v>
      </c>
      <c r="F8">
        <v>0.98129917656429799</v>
      </c>
      <c r="G8">
        <v>-5.8449135078193803E-4</v>
      </c>
      <c r="H8">
        <v>1.38509843693573E-2</v>
      </c>
      <c r="I8">
        <v>-4.21985423703903E-2</v>
      </c>
      <c r="J8">
        <v>0.96712021255380398</v>
      </c>
      <c r="K8">
        <v>-2.1156555089698E-2</v>
      </c>
      <c r="L8">
        <v>1.7667513017887999E-2</v>
      </c>
      <c r="M8">
        <v>-1.19748348668414</v>
      </c>
      <c r="N8">
        <v>0.257071932935099</v>
      </c>
      <c r="O8">
        <v>-1.7941049373108701E-2</v>
      </c>
      <c r="P8">
        <v>1.7634214143247201E-2</v>
      </c>
      <c r="Q8">
        <v>-1.0173999945429399</v>
      </c>
      <c r="R8">
        <v>0.33154240386259598</v>
      </c>
      <c r="S8">
        <v>4.7921149204350297E-2</v>
      </c>
      <c r="T8">
        <v>2.2775889483008498E-2</v>
      </c>
      <c r="U8">
        <v>2.10402975655906</v>
      </c>
      <c r="V8">
        <v>6.0046348712013101E-2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0.13001143844302701</v>
      </c>
      <c r="D9">
        <v>1.6385015098536598E-2</v>
      </c>
      <c r="E9">
        <v>7.9347768470863</v>
      </c>
      <c r="F9">
        <v>7.3272324662088103E-6</v>
      </c>
      <c r="G9">
        <v>0.12472693855891399</v>
      </c>
      <c r="H9">
        <v>1.46311232365004E-2</v>
      </c>
      <c r="I9">
        <v>8.5247685049741797</v>
      </c>
      <c r="J9">
        <v>3.6870610548754202E-6</v>
      </c>
      <c r="K9">
        <v>0.105935008086637</v>
      </c>
      <c r="L9">
        <v>1.8697501788973999E-2</v>
      </c>
      <c r="M9">
        <v>5.6657306030641896</v>
      </c>
      <c r="N9">
        <v>1.4843719637782499E-4</v>
      </c>
      <c r="O9">
        <v>0.108848217872581</v>
      </c>
      <c r="P9">
        <v>1.8849966037024501E-2</v>
      </c>
      <c r="Q9">
        <v>5.7744516705645497</v>
      </c>
      <c r="R9">
        <v>1.27646366803748E-4</v>
      </c>
      <c r="S9">
        <v>0.22125598630387999</v>
      </c>
      <c r="T9">
        <v>2.7032969481564698E-2</v>
      </c>
      <c r="U9">
        <v>8.1846719227337097</v>
      </c>
      <c r="V9">
        <v>5.5404872858491997E-6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0.17300607201760099</v>
      </c>
      <c r="D10">
        <v>1.73024362092087E-2</v>
      </c>
      <c r="E10">
        <v>9.9989429191205002</v>
      </c>
      <c r="F10">
        <v>7.6956355909328804E-7</v>
      </c>
      <c r="G10">
        <v>0.16966435288458201</v>
      </c>
      <c r="H10">
        <v>1.63578031107116E-2</v>
      </c>
      <c r="I10">
        <v>10.372074522249299</v>
      </c>
      <c r="J10">
        <v>5.3302610310173305E-7</v>
      </c>
      <c r="K10">
        <v>0.13791979490452799</v>
      </c>
      <c r="L10">
        <v>2.00951959212648E-2</v>
      </c>
      <c r="M10">
        <v>6.86332173345874</v>
      </c>
      <c r="N10">
        <v>2.7820041115474999E-5</v>
      </c>
      <c r="O10">
        <v>0.13529418056473499</v>
      </c>
      <c r="P10">
        <v>2.0889597769879999E-2</v>
      </c>
      <c r="Q10">
        <v>6.4766292800434604</v>
      </c>
      <c r="R10">
        <v>4.70149769442979E-5</v>
      </c>
      <c r="S10">
        <v>0.243173069950186</v>
      </c>
      <c r="T10">
        <v>2.5252935134312E-2</v>
      </c>
      <c r="U10">
        <v>9.62949727058772</v>
      </c>
      <c r="V10">
        <v>1.1306360354975501E-6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0.13926146024421299</v>
      </c>
      <c r="D11">
        <v>2.8890651313599899E-2</v>
      </c>
      <c r="E11">
        <v>4.8202949366758503</v>
      </c>
      <c r="F11">
        <v>2.9419105796540501E-4</v>
      </c>
      <c r="G11">
        <v>0.13641583931524501</v>
      </c>
      <c r="H11">
        <v>2.8023091598503899E-2</v>
      </c>
      <c r="I11">
        <v>4.8679796387108096</v>
      </c>
      <c r="J11">
        <v>2.6926696356311498E-4</v>
      </c>
      <c r="K11">
        <v>9.9295894282385999E-2</v>
      </c>
      <c r="L11">
        <v>4.4831600831706002E-2</v>
      </c>
      <c r="M11">
        <v>2.2148639004691</v>
      </c>
      <c r="N11">
        <v>4.4357965408577497E-2</v>
      </c>
      <c r="O11">
        <v>2.6911583899415899E-2</v>
      </c>
      <c r="P11">
        <v>4.3129975214010199E-2</v>
      </c>
      <c r="Q11">
        <v>0.62396474298631199</v>
      </c>
      <c r="R11">
        <v>0.54369629520033902</v>
      </c>
      <c r="S11">
        <v>0.19883522004204501</v>
      </c>
      <c r="T11">
        <v>5.7853110458403599E-2</v>
      </c>
      <c r="U11">
        <v>3.4368976614491098</v>
      </c>
      <c r="V11">
        <v>4.5719157356166797E-3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-3.1919831345581899E-2</v>
      </c>
      <c r="D12">
        <v>5.4725086321808199E-3</v>
      </c>
      <c r="E12">
        <v>-5.8327603464851396</v>
      </c>
      <c r="F12">
        <v>2.7221147388214401E-5</v>
      </c>
      <c r="G12">
        <v>-4.52129238134907E-2</v>
      </c>
      <c r="H12">
        <v>8.0488288804832792E-3</v>
      </c>
      <c r="I12">
        <v>-5.6173294879112801</v>
      </c>
      <c r="J12">
        <v>4.2281387742175401E-5</v>
      </c>
      <c r="K12">
        <v>-7.0946275229526207E-2</v>
      </c>
      <c r="L12">
        <v>9.2542903154541906E-3</v>
      </c>
      <c r="M12">
        <v>-7.6663118198323303</v>
      </c>
      <c r="N12">
        <v>1.22369253666381E-6</v>
      </c>
      <c r="O12">
        <v>-7.09279517598876E-2</v>
      </c>
      <c r="P12">
        <v>9.6139465411513407E-3</v>
      </c>
      <c r="Q12">
        <v>-7.3776103763723899</v>
      </c>
      <c r="R12">
        <v>1.90003235212944E-6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6.4860320092456805E-2</v>
      </c>
      <c r="D13">
        <v>6.5440870455712201E-3</v>
      </c>
      <c r="E13">
        <v>9.9112862712227603</v>
      </c>
      <c r="F13">
        <v>4.5975496023595101E-8</v>
      </c>
      <c r="G13">
        <v>7.4127940444146306E-2</v>
      </c>
      <c r="H13">
        <v>6.7458839563868502E-3</v>
      </c>
      <c r="I13">
        <v>10.9886177887723</v>
      </c>
      <c r="J13">
        <v>1.13801395149053E-8</v>
      </c>
      <c r="K13">
        <v>0.101891208316768</v>
      </c>
      <c r="L13">
        <v>1.55912427352967E-2</v>
      </c>
      <c r="M13">
        <v>6.5351563083614002</v>
      </c>
      <c r="N13">
        <v>8.7732994006098094E-6</v>
      </c>
      <c r="O13">
        <v>9.9114397066611695E-2</v>
      </c>
      <c r="P13">
        <v>1.5811696740659499E-2</v>
      </c>
      <c r="Q13">
        <v>6.2684225919752601</v>
      </c>
      <c r="R13">
        <v>1.41476655130536E-5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3.93688026322895E-2</v>
      </c>
      <c r="D14">
        <v>7.44947979453739E-3</v>
      </c>
      <c r="E14">
        <v>5.2847720536349598</v>
      </c>
      <c r="F14">
        <v>1.03154307512421E-4</v>
      </c>
      <c r="G14">
        <v>4.4484482239112201E-2</v>
      </c>
      <c r="H14">
        <v>9.1603364053714706E-3</v>
      </c>
      <c r="I14">
        <v>4.8562061774311296</v>
      </c>
      <c r="J14">
        <v>2.3065034877572799E-4</v>
      </c>
      <c r="K14">
        <v>3.1697836429821401E-2</v>
      </c>
      <c r="L14">
        <v>1.00162924107572E-2</v>
      </c>
      <c r="M14">
        <v>3.1646277015414399</v>
      </c>
      <c r="N14">
        <v>6.6420801788829604E-3</v>
      </c>
      <c r="O14">
        <v>2.8694423197501699E-2</v>
      </c>
      <c r="P14">
        <v>1.21541306321005E-2</v>
      </c>
      <c r="Q14">
        <v>2.36087829447187</v>
      </c>
      <c r="R14">
        <v>3.3048344183318597E-2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-4.4568790181363498E-2</v>
      </c>
      <c r="D15">
        <v>9.2224286728988299E-3</v>
      </c>
      <c r="E15">
        <v>-4.8326521963063902</v>
      </c>
      <c r="F15">
        <v>2.07355891239771E-4</v>
      </c>
      <c r="G15">
        <v>-5.1079538021325699E-2</v>
      </c>
      <c r="H15">
        <v>9.8272278945959607E-3</v>
      </c>
      <c r="I15">
        <v>-5.1977565361453104</v>
      </c>
      <c r="J15">
        <v>1.03099441664116E-4</v>
      </c>
      <c r="K15">
        <v>-4.2513962713051301E-2</v>
      </c>
      <c r="L15">
        <v>2.2410241386376699E-2</v>
      </c>
      <c r="M15">
        <v>-1.8970774111739801</v>
      </c>
      <c r="N15">
        <v>7.6986484825246698E-2</v>
      </c>
      <c r="O15">
        <v>-4.6935625334470897E-2</v>
      </c>
      <c r="P15">
        <v>2.6060626071079E-2</v>
      </c>
      <c r="Q15">
        <v>-1.80101679853955</v>
      </c>
      <c r="R15">
        <v>9.1714377079012005E-2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-7.9094757792882303E-2</v>
      </c>
      <c r="D16">
        <v>1.46633425541113E-2</v>
      </c>
      <c r="E16">
        <v>-5.3940469235444199</v>
      </c>
      <c r="F16">
        <v>1.16038245538486E-4</v>
      </c>
      <c r="G16">
        <v>-9.6669146350967697E-2</v>
      </c>
      <c r="H16">
        <v>1.7086276819989699E-2</v>
      </c>
      <c r="I16">
        <v>-5.6577069053377196</v>
      </c>
      <c r="J16">
        <v>7.4089588469616299E-5</v>
      </c>
      <c r="K16">
        <v>-4.56093027025627E-2</v>
      </c>
      <c r="L16">
        <v>3.9469863243790898E-2</v>
      </c>
      <c r="M16">
        <v>-1.15554752295063</v>
      </c>
      <c r="N16">
        <v>0.26856716798204699</v>
      </c>
      <c r="O16">
        <v>-3.6870010508139497E-2</v>
      </c>
      <c r="P16">
        <v>4.33583548730892E-2</v>
      </c>
      <c r="Q16">
        <v>-0.85035538400981103</v>
      </c>
      <c r="R16">
        <v>0.41041691296257399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1.8477539033726401E-4</v>
      </c>
      <c r="D17">
        <v>9.7979730705895298E-6</v>
      </c>
      <c r="E17">
        <v>18.858532168444299</v>
      </c>
      <c r="F17">
        <v>4.9894900929398403E-11</v>
      </c>
      <c r="G17">
        <v>2.02710599827813E-4</v>
      </c>
      <c r="H17">
        <v>1.16142781688808E-5</v>
      </c>
      <c r="I17">
        <v>17.453568519734201</v>
      </c>
      <c r="J17">
        <v>1.62934812398371E-10</v>
      </c>
      <c r="K17">
        <v>2.5714627537828401E-4</v>
      </c>
      <c r="L17">
        <v>1.7007781542218198E-5</v>
      </c>
      <c r="M17">
        <v>15.1193308039601</v>
      </c>
      <c r="N17">
        <v>9.7948043314022893E-10</v>
      </c>
      <c r="O17">
        <v>2.6501381708592901E-4</v>
      </c>
      <c r="P17">
        <v>1.62283807995649E-5</v>
      </c>
      <c r="Q17">
        <v>16.330268580648099</v>
      </c>
      <c r="R17">
        <v>3.1262142026082801E-10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-1.0548486273056999E-3</v>
      </c>
      <c r="D18">
        <v>8.8309322233057501E-4</v>
      </c>
      <c r="E18">
        <v>-1.1944929489118301</v>
      </c>
      <c r="F18">
        <v>0.252702864917426</v>
      </c>
      <c r="G18">
        <v>-1.87027000384743E-3</v>
      </c>
      <c r="H18">
        <v>1.0030154182533999E-3</v>
      </c>
      <c r="I18">
        <v>-1.8646473123057401</v>
      </c>
      <c r="J18">
        <v>8.38454268437136E-2</v>
      </c>
      <c r="K18">
        <v>4.59458293974378E-3</v>
      </c>
      <c r="L18">
        <v>2.0003071061058899E-3</v>
      </c>
      <c r="M18">
        <v>2.2969387679116502</v>
      </c>
      <c r="N18">
        <v>3.8717267624364601E-2</v>
      </c>
      <c r="O18">
        <v>4.4187919306254301E-3</v>
      </c>
      <c r="P18">
        <v>1.9039829363488199E-3</v>
      </c>
      <c r="Q18">
        <v>2.3208148803576698</v>
      </c>
      <c r="R18">
        <v>3.79585419881611E-2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2.1693537034871299E-2</v>
      </c>
      <c r="D19">
        <v>9.5944929148837794E-3</v>
      </c>
      <c r="E19">
        <v>2.2610404976398999</v>
      </c>
      <c r="F19">
        <v>4.0959038646617499E-2</v>
      </c>
      <c r="G19">
        <v>3.1222512932810201E-2</v>
      </c>
      <c r="H19">
        <v>1.1310984178374599E-2</v>
      </c>
      <c r="I19">
        <v>2.7603710199245399</v>
      </c>
      <c r="J19">
        <v>1.5522096267756601E-2</v>
      </c>
      <c r="K19">
        <v>4.2896103794554099E-3</v>
      </c>
      <c r="L19">
        <v>2.20490755169786E-2</v>
      </c>
      <c r="M19">
        <v>0.19454831002561801</v>
      </c>
      <c r="N19">
        <v>0.84862557438539599</v>
      </c>
      <c r="O19">
        <v>3.5269272221579401E-3</v>
      </c>
      <c r="P19">
        <v>2.23378561856423E-2</v>
      </c>
      <c r="Q19">
        <v>0.157890139181077</v>
      </c>
      <c r="R19">
        <v>0.87690144365020095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-4.5549300307493601E-2</v>
      </c>
      <c r="D20">
        <v>1.4499365463431601E-2</v>
      </c>
      <c r="E20">
        <v>-3.1414685299416898</v>
      </c>
      <c r="F20">
        <v>1.11235422587001E-2</v>
      </c>
      <c r="G20">
        <v>-6.0791565455232698E-2</v>
      </c>
      <c r="H20">
        <v>1.61900471312862E-2</v>
      </c>
      <c r="I20">
        <v>-3.7548726672794701</v>
      </c>
      <c r="J20">
        <v>4.0705652702943502E-3</v>
      </c>
      <c r="K20">
        <v>-3.17375962952555E-2</v>
      </c>
      <c r="L20">
        <v>3.2301049296410297E-2</v>
      </c>
      <c r="M20">
        <v>-0.98255620131766497</v>
      </c>
      <c r="N20">
        <v>0.35019000125613903</v>
      </c>
      <c r="O20">
        <v>-3.3566713298123198E-2</v>
      </c>
      <c r="P20">
        <v>3.3147608419639298E-2</v>
      </c>
      <c r="Q20">
        <v>-1.0126435932625399</v>
      </c>
      <c r="R20">
        <v>0.33635750462983799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0.115292356134545</v>
      </c>
      <c r="D21">
        <v>1.0923725049172999E-2</v>
      </c>
      <c r="E21">
        <v>10.5543077673191</v>
      </c>
      <c r="F21">
        <v>1.2452505819454101E-7</v>
      </c>
      <c r="G21">
        <v>0.119915773076923</v>
      </c>
      <c r="H21">
        <v>1.22910282755345E-2</v>
      </c>
      <c r="I21">
        <v>9.7563662200353107</v>
      </c>
      <c r="J21">
        <v>3.04729891626688E-7</v>
      </c>
      <c r="K21">
        <v>0.15584236695509501</v>
      </c>
      <c r="L21">
        <v>2.2276429557058299E-2</v>
      </c>
      <c r="M21">
        <v>6.99584134683362</v>
      </c>
      <c r="N21">
        <v>1.08857869870877E-5</v>
      </c>
      <c r="O21">
        <v>0.15328742882829</v>
      </c>
      <c r="P21">
        <v>2.24632838351769E-2</v>
      </c>
      <c r="Q21">
        <v>6.8239100726780597</v>
      </c>
      <c r="R21">
        <v>1.30873715390888E-5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5.9027494064630301E-2</v>
      </c>
      <c r="D22">
        <v>4.7340383408231001E-3</v>
      </c>
      <c r="E22">
        <v>12.468740178045801</v>
      </c>
      <c r="F22">
        <v>6.3315575606375597E-9</v>
      </c>
      <c r="G22">
        <v>6.2413349659062797E-2</v>
      </c>
      <c r="H22">
        <v>4.6646030270704603E-3</v>
      </c>
      <c r="I22">
        <v>13.3802060533028</v>
      </c>
      <c r="J22">
        <v>2.54372580717287E-9</v>
      </c>
      <c r="K22">
        <v>7.8392081554826298E-2</v>
      </c>
      <c r="L22">
        <v>1.1940577872508899E-2</v>
      </c>
      <c r="M22">
        <v>6.5651832257893101</v>
      </c>
      <c r="N22">
        <v>1.3194856200584E-5</v>
      </c>
      <c r="O22">
        <v>7.5793335712398893E-2</v>
      </c>
      <c r="P22">
        <v>1.29533508402836E-2</v>
      </c>
      <c r="Q22">
        <v>5.85125321215647</v>
      </c>
      <c r="R22">
        <v>4.20155528525876E-5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-6.8811755767937993E-2</v>
      </c>
      <c r="D23">
        <v>9.1768924628818794E-3</v>
      </c>
      <c r="E23">
        <v>-7.4983722481508304</v>
      </c>
      <c r="F23">
        <v>1.21775204775753E-6</v>
      </c>
      <c r="G23">
        <v>-6.5094272828946795E-2</v>
      </c>
      <c r="H23">
        <v>1.0649129903236401E-2</v>
      </c>
      <c r="I23">
        <v>-6.1126376915699101</v>
      </c>
      <c r="J23">
        <v>1.45276332068718E-5</v>
      </c>
      <c r="K23">
        <v>-6.2564449550429099E-2</v>
      </c>
      <c r="L23">
        <v>1.61817576080652E-2</v>
      </c>
      <c r="M23">
        <v>-3.8663568609658499</v>
      </c>
      <c r="N23">
        <v>1.35133441298721E-3</v>
      </c>
      <c r="O23">
        <v>-6.2861095436956296E-2</v>
      </c>
      <c r="P23">
        <v>1.7011901493601302E-2</v>
      </c>
      <c r="Q23">
        <v>-3.6951245844328602</v>
      </c>
      <c r="R23">
        <v>1.9326413591158099E-3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1.7484985865038501E-2</v>
      </c>
      <c r="D24">
        <v>1.39693497482902E-2</v>
      </c>
      <c r="E24">
        <v>1.25166784281985</v>
      </c>
      <c r="F24">
        <v>0.23311320384226</v>
      </c>
      <c r="G24">
        <v>2.2896035124608301E-2</v>
      </c>
      <c r="H24">
        <v>1.41623610235251E-2</v>
      </c>
      <c r="I24">
        <v>1.6166820692238799</v>
      </c>
      <c r="J24">
        <v>0.130354186382726</v>
      </c>
      <c r="K24">
        <v>3.20755290439265E-2</v>
      </c>
      <c r="L24">
        <v>1.84983412135508E-2</v>
      </c>
      <c r="M24">
        <v>1.73396785547614</v>
      </c>
      <c r="N24">
        <v>0.10703472584962199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-4.9264965383618797E-2</v>
      </c>
      <c r="D25">
        <v>2.2482297639693699E-2</v>
      </c>
      <c r="E25">
        <v>-2.1912780523214299</v>
      </c>
      <c r="F25">
        <v>9.1256978447827999E-2</v>
      </c>
      <c r="G25">
        <v>-5.1520744299509501E-2</v>
      </c>
      <c r="H25">
        <v>2.5089463720130899E-2</v>
      </c>
      <c r="I25">
        <v>-2.0534812889671801</v>
      </c>
      <c r="J25">
        <v>0.106856081398503</v>
      </c>
      <c r="K25">
        <v>-7.3888843556866701E-2</v>
      </c>
      <c r="L25">
        <v>2.9865783039730399E-2</v>
      </c>
      <c r="M25">
        <v>-2.4740300114874798</v>
      </c>
      <c r="N25">
        <v>6.6492505827347698E-2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AB26" t="str">
        <f t="shared" si="0"/>
        <v>***</v>
      </c>
      <c r="AC26" t="str">
        <f t="shared" si="1"/>
        <v>***</v>
      </c>
      <c r="AD26" t="str">
        <f t="shared" si="2"/>
        <v>***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AB27" t="str">
        <f t="shared" si="0"/>
        <v>***</v>
      </c>
      <c r="AC27" t="str">
        <f t="shared" si="1"/>
        <v>***</v>
      </c>
      <c r="AD27" t="str">
        <f t="shared" si="2"/>
        <v>***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AB28" t="str">
        <f t="shared" si="0"/>
        <v>***</v>
      </c>
      <c r="AC28" t="str">
        <f t="shared" si="1"/>
        <v>***</v>
      </c>
      <c r="AD28" t="str">
        <f t="shared" si="2"/>
        <v>***</v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AB29" t="str">
        <f t="shared" si="0"/>
        <v>***</v>
      </c>
      <c r="AC29" t="str">
        <f t="shared" si="1"/>
        <v>***</v>
      </c>
      <c r="AD29" t="str">
        <f t="shared" si="2"/>
        <v>***</v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-3.1264703710212602E-2</v>
      </c>
      <c r="D30">
        <v>1.8593997671001599E-2</v>
      </c>
      <c r="E30">
        <v>-1.6814406596905001</v>
      </c>
      <c r="F30">
        <v>0.11434653197382599</v>
      </c>
      <c r="G30">
        <v>-3.6306425460162203E-2</v>
      </c>
      <c r="H30">
        <v>2.27163079908409E-2</v>
      </c>
      <c r="I30">
        <v>-1.5982537952382401</v>
      </c>
      <c r="J30">
        <v>0.131770467482725</v>
      </c>
      <c r="K30">
        <v>-3.8368880819696402E-2</v>
      </c>
      <c r="L30">
        <v>2.5307244283859599E-2</v>
      </c>
      <c r="M30">
        <v>-1.5161224347199</v>
      </c>
      <c r="N30">
        <v>0.15122737077187901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AB31" t="str">
        <f t="shared" si="0"/>
        <v>***</v>
      </c>
      <c r="AC31" t="str">
        <f t="shared" si="1"/>
        <v>***</v>
      </c>
      <c r="AD31" t="str">
        <f t="shared" si="2"/>
        <v>***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7.6748301711956596E-2</v>
      </c>
      <c r="D32">
        <v>1.79452314104965E-2</v>
      </c>
      <c r="E32">
        <v>4.2768075794812699</v>
      </c>
      <c r="F32">
        <v>1.4976784114710301E-3</v>
      </c>
      <c r="G32">
        <v>9.3691808325670603E-2</v>
      </c>
      <c r="H32">
        <v>2.1177695820554801E-2</v>
      </c>
      <c r="I32">
        <v>4.4240794239160897</v>
      </c>
      <c r="J32">
        <v>1.17194160022435E-3</v>
      </c>
      <c r="K32">
        <v>8.8829651497180806E-2</v>
      </c>
      <c r="L32">
        <v>4.3876202789013899E-2</v>
      </c>
      <c r="M32">
        <v>2.0245519404751802</v>
      </c>
      <c r="N32">
        <v>7.0387550113958905E-2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9.2940697593623892E-3</v>
      </c>
      <c r="D33">
        <v>9.0617314160072196E-2</v>
      </c>
      <c r="E33">
        <v>0.102563950890718</v>
      </c>
      <c r="F33">
        <v>0.92594510931969798</v>
      </c>
      <c r="G33">
        <v>-1.83252717456589E-2</v>
      </c>
      <c r="H33">
        <v>9.2741170014086202E-2</v>
      </c>
      <c r="I33">
        <v>-0.197595865384009</v>
      </c>
      <c r="J33">
        <v>0.85856635755117705</v>
      </c>
      <c r="K33">
        <v>-4.0640710499265799E-2</v>
      </c>
      <c r="L33">
        <v>6.3185169483312001E-2</v>
      </c>
      <c r="M33">
        <v>-0.64320015015548004</v>
      </c>
      <c r="N33">
        <v>0.58999662892815796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0.19145576870259101</v>
      </c>
      <c r="D34">
        <v>7.6091393657283596E-2</v>
      </c>
      <c r="E34">
        <v>2.5161290850435698</v>
      </c>
      <c r="F34">
        <v>0.23968999375988001</v>
      </c>
      <c r="G34">
        <v>0.241009709559556</v>
      </c>
      <c r="H34">
        <v>0.105728881796088</v>
      </c>
      <c r="I34">
        <v>2.2795068430249201</v>
      </c>
      <c r="J34">
        <v>0.26214842859112603</v>
      </c>
      <c r="K34">
        <v>0.32679307445213901</v>
      </c>
      <c r="L34">
        <v>0.108461550573468</v>
      </c>
      <c r="M34">
        <v>3.0129854563602501</v>
      </c>
      <c r="N34">
        <v>0.203064027268237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-8.1547286552470594E-2</v>
      </c>
      <c r="D35">
        <v>3.4203849585652701E-2</v>
      </c>
      <c r="E35">
        <v>-2.3841552205479499</v>
      </c>
      <c r="F35">
        <v>0.105057825868722</v>
      </c>
      <c r="G35">
        <v>-4.6551959862776E-2</v>
      </c>
      <c r="H35">
        <v>4.0544300592462897E-2</v>
      </c>
      <c r="I35">
        <v>-1.1481751857233899</v>
      </c>
      <c r="J35">
        <v>0.34154353670110299</v>
      </c>
      <c r="K35">
        <v>-4.8947812659325102E-2</v>
      </c>
      <c r="L35">
        <v>5.9103250733175502E-2</v>
      </c>
      <c r="M35">
        <v>-0.82817462748880599</v>
      </c>
      <c r="N35">
        <v>0.476051764222711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-5.7560705702695003E-3</v>
      </c>
      <c r="D36">
        <v>3.1359874517422101E-2</v>
      </c>
      <c r="E36">
        <v>-0.18354890313963801</v>
      </c>
      <c r="F36">
        <v>0.85876262455277097</v>
      </c>
      <c r="G36">
        <v>1.60195620651606E-2</v>
      </c>
      <c r="H36">
        <v>2.94930923451838E-2</v>
      </c>
      <c r="I36">
        <v>0.54316318810077402</v>
      </c>
      <c r="J36">
        <v>0.60154528740049396</v>
      </c>
      <c r="K36">
        <v>3.0730209299158501E-3</v>
      </c>
      <c r="L36">
        <v>4.5268062848073498E-2</v>
      </c>
      <c r="M36">
        <v>6.7884966498994601E-2</v>
      </c>
      <c r="N36">
        <v>0.94754849393266305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-1.05026032745625E-3</v>
      </c>
      <c r="D37">
        <v>0.14505575418188099</v>
      </c>
      <c r="E37">
        <v>-7.2403906579215204E-3</v>
      </c>
      <c r="F37">
        <v>0.99444947507680304</v>
      </c>
      <c r="G37">
        <v>-2.2844406882361699E-2</v>
      </c>
      <c r="H37">
        <v>0.146356157347515</v>
      </c>
      <c r="I37">
        <v>-0.156087774483713</v>
      </c>
      <c r="J37">
        <v>0.88091747797490705</v>
      </c>
      <c r="K37">
        <v>-2.3307049155727799E-2</v>
      </c>
      <c r="L37">
        <v>0.14509715014344199</v>
      </c>
      <c r="M37">
        <v>-0.16063064734687499</v>
      </c>
      <c r="N37">
        <v>0.87748914253679899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2.9353834025128402E-2</v>
      </c>
      <c r="D38">
        <v>4.4506694330433201E-2</v>
      </c>
      <c r="E38">
        <v>0.65953750254276999</v>
      </c>
      <c r="F38">
        <v>0.54356930572956397</v>
      </c>
      <c r="G38">
        <v>3.6820304118506002E-2</v>
      </c>
      <c r="H38">
        <v>5.3024209001131403E-2</v>
      </c>
      <c r="I38">
        <v>0.69440553309753905</v>
      </c>
      <c r="J38">
        <v>0.52352296456707004</v>
      </c>
      <c r="K38">
        <v>-9.9011758829168503E-2</v>
      </c>
      <c r="L38">
        <v>0.104302717997556</v>
      </c>
      <c r="M38">
        <v>-0.94927304609155905</v>
      </c>
      <c r="N38">
        <v>0.40288076852134203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0.36245283956069302</v>
      </c>
      <c r="D39">
        <v>0.27369256236390399</v>
      </c>
      <c r="E39">
        <v>1.32430650080572</v>
      </c>
      <c r="F39">
        <v>0.41056574680989899</v>
      </c>
      <c r="G39">
        <v>0.50983872933391505</v>
      </c>
      <c r="H39">
        <v>0.19511984341326999</v>
      </c>
      <c r="I39">
        <v>2.6129517142654799</v>
      </c>
      <c r="J39">
        <v>0.23147277257988</v>
      </c>
      <c r="K39">
        <v>0.349171727555667</v>
      </c>
      <c r="L39">
        <v>0.228424748269872</v>
      </c>
      <c r="M39">
        <v>1.5286072555638299</v>
      </c>
      <c r="N39">
        <v>0.367885689373737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4.1146190622136203E-2</v>
      </c>
      <c r="D40">
        <v>5.3675676082566001E-2</v>
      </c>
      <c r="E40">
        <v>0.76657051433955803</v>
      </c>
      <c r="F40">
        <v>0.45799363318415598</v>
      </c>
      <c r="G40">
        <v>4.9998459735126802E-2</v>
      </c>
      <c r="H40">
        <v>6.0371082674878201E-2</v>
      </c>
      <c r="I40">
        <v>0.82818557361954204</v>
      </c>
      <c r="J40">
        <v>0.42355565167435699</v>
      </c>
      <c r="K40">
        <v>8.0862817280229093E-2</v>
      </c>
      <c r="L40">
        <v>7.3492712518729006E-2</v>
      </c>
      <c r="M40">
        <v>1.1002834772171699</v>
      </c>
      <c r="N40">
        <v>0.29257898965741302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0.10950044658345399</v>
      </c>
      <c r="D41">
        <v>5.5053993890508503E-2</v>
      </c>
      <c r="E41">
        <v>1.9889646299091199</v>
      </c>
      <c r="F41">
        <v>7.1018677046902498E-2</v>
      </c>
      <c r="G41">
        <v>0.117492697034678</v>
      </c>
      <c r="H41">
        <v>6.0609946730400099E-2</v>
      </c>
      <c r="I41">
        <v>1.9385052020800899</v>
      </c>
      <c r="J41">
        <v>7.7480680705769106E-2</v>
      </c>
      <c r="K41">
        <v>0.12854935934554901</v>
      </c>
      <c r="L41">
        <v>6.9393032332669496E-2</v>
      </c>
      <c r="M41">
        <v>1.8524822309145399</v>
      </c>
      <c r="N41">
        <v>8.9792302348040198E-2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0.109615234444936</v>
      </c>
      <c r="D42">
        <v>5.8751447372657598E-2</v>
      </c>
      <c r="E42">
        <v>1.8657452598512501</v>
      </c>
      <c r="F42">
        <v>8.7500856134810803E-2</v>
      </c>
      <c r="G42">
        <v>0.11691467218455601</v>
      </c>
      <c r="H42">
        <v>6.4243071108115696E-2</v>
      </c>
      <c r="I42">
        <v>1.81987987448169</v>
      </c>
      <c r="J42">
        <v>9.4602719421461506E-2</v>
      </c>
      <c r="K42">
        <v>0.13369405346301799</v>
      </c>
      <c r="L42">
        <v>7.7116325467657496E-2</v>
      </c>
      <c r="M42">
        <v>1.7336673220910801</v>
      </c>
      <c r="N42">
        <v>0.10941231769356401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0.138636661457465</v>
      </c>
      <c r="D43">
        <v>5.8257913864220599E-2</v>
      </c>
      <c r="E43">
        <v>2.37970521533915</v>
      </c>
      <c r="F43">
        <v>3.5449328603441903E-2</v>
      </c>
      <c r="G43">
        <v>0.14791349921123501</v>
      </c>
      <c r="H43">
        <v>6.5759993725615001E-2</v>
      </c>
      <c r="I43">
        <v>2.2492930858297702</v>
      </c>
      <c r="J43">
        <v>4.4782728261776601E-2</v>
      </c>
      <c r="K43">
        <v>0.15435298507903999</v>
      </c>
      <c r="L43">
        <v>7.1766767644927398E-2</v>
      </c>
      <c r="M43">
        <v>2.1507584937183601</v>
      </c>
      <c r="N43">
        <v>5.3377122525347501E-2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0.14121092732472201</v>
      </c>
      <c r="D44">
        <v>5.6098286405292803E-2</v>
      </c>
      <c r="E44">
        <v>2.5172057182730398</v>
      </c>
      <c r="F44">
        <v>2.72334238410455E-2</v>
      </c>
      <c r="G44">
        <v>0.149666040132513</v>
      </c>
      <c r="H44">
        <v>6.2410491070899902E-2</v>
      </c>
      <c r="I44">
        <v>2.3980910511101201</v>
      </c>
      <c r="J44">
        <v>3.3838105825095603E-2</v>
      </c>
      <c r="K44">
        <v>0.155104189728453</v>
      </c>
      <c r="L44">
        <v>6.8256441846434895E-2</v>
      </c>
      <c r="M44">
        <v>2.27237438009749</v>
      </c>
      <c r="N44">
        <v>4.2490394959919797E-2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1.5861978054543401E-4</v>
      </c>
      <c r="D45">
        <v>1.2366119600889201E-4</v>
      </c>
      <c r="E45">
        <v>1.2826964776729799</v>
      </c>
      <c r="F45">
        <v>0.25170491529920602</v>
      </c>
      <c r="G45">
        <v>2.8494225267745898E-4</v>
      </c>
      <c r="H45">
        <v>1.06183240273646E-4</v>
      </c>
      <c r="I45">
        <v>2.6834955492329202</v>
      </c>
      <c r="J45">
        <v>4.1720737835366499E-2</v>
      </c>
      <c r="K45">
        <v>2.1844761448418701E-4</v>
      </c>
      <c r="L45">
        <v>2.34272796976827E-4</v>
      </c>
      <c r="M45">
        <v>0.93244976498827103</v>
      </c>
      <c r="N45">
        <v>0.39384034281669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-4.9483800379608303E-3</v>
      </c>
      <c r="D46">
        <v>5.3905412039235304E-3</v>
      </c>
      <c r="E46">
        <v>-0.91797462458113399</v>
      </c>
      <c r="F46">
        <v>0.37526031124849002</v>
      </c>
      <c r="G46">
        <v>-5.1155779907575997E-3</v>
      </c>
      <c r="H46">
        <v>5.8699641867609098E-3</v>
      </c>
      <c r="I46">
        <v>-0.87148367996780196</v>
      </c>
      <c r="J46">
        <v>0.39920506793962701</v>
      </c>
      <c r="K46">
        <v>-1.88044202174057E-2</v>
      </c>
      <c r="L46">
        <v>1.0599758192955E-2</v>
      </c>
      <c r="M46">
        <v>-1.7740423767311899</v>
      </c>
      <c r="N46">
        <v>9.9225490441739797E-2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-5.3424849970637997E-2</v>
      </c>
      <c r="D47">
        <v>1.29198242698859E-2</v>
      </c>
      <c r="E47">
        <v>-4.1351065505714999</v>
      </c>
      <c r="F47">
        <v>9.7183302240151301E-4</v>
      </c>
      <c r="G47">
        <v>-6.0663740812815899E-2</v>
      </c>
      <c r="H47">
        <v>1.39971055551124E-2</v>
      </c>
      <c r="I47">
        <v>-4.3340203854259398</v>
      </c>
      <c r="J47">
        <v>6.5781460383227601E-4</v>
      </c>
      <c r="K47">
        <v>-7.1290904866062002E-2</v>
      </c>
      <c r="L47">
        <v>1.6897822369070298E-2</v>
      </c>
      <c r="M47">
        <v>-4.2189403645615604</v>
      </c>
      <c r="N47">
        <v>8.2347608243253602E-4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2.1021400936080902E-3</v>
      </c>
      <c r="D48">
        <v>9.3965318136317207E-3</v>
      </c>
      <c r="E48">
        <v>0.223714465645557</v>
      </c>
      <c r="F48">
        <v>0.82796877569980798</v>
      </c>
      <c r="G48">
        <v>4.9136354588449102E-4</v>
      </c>
      <c r="H48">
        <v>1.07265193667257E-2</v>
      </c>
      <c r="I48">
        <v>4.5808293360167902E-2</v>
      </c>
      <c r="J48">
        <v>0.96447862427619502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-6.2001070507191898E-2</v>
      </c>
      <c r="D49">
        <v>3.0323243751803199E-2</v>
      </c>
      <c r="E49">
        <v>-2.0446714413099301</v>
      </c>
      <c r="F49">
        <v>6.3105291351004594E-2</v>
      </c>
      <c r="G49">
        <v>-8.2011062162582402E-2</v>
      </c>
      <c r="H49">
        <v>3.9614208982605301E-2</v>
      </c>
      <c r="I49">
        <v>-2.07024358857181</v>
      </c>
      <c r="J49">
        <v>6.0038554910202699E-2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6.8003278162453906E-5</v>
      </c>
      <c r="D50">
        <v>8.6305490746108396E-3</v>
      </c>
      <c r="E50">
        <v>7.87936869074813E-3</v>
      </c>
      <c r="F50">
        <v>0.99386947600175302</v>
      </c>
      <c r="G50">
        <v>1.3553971988642501E-3</v>
      </c>
      <c r="H50">
        <v>9.8160735329340006E-3</v>
      </c>
      <c r="I50">
        <v>0.1380793648618</v>
      </c>
      <c r="J50">
        <v>0.89328361993169902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-5.1470467045710497E-3</v>
      </c>
      <c r="D51">
        <v>7.2764180945902902E-3</v>
      </c>
      <c r="E51">
        <v>-0.70735994519029499</v>
      </c>
      <c r="F51">
        <v>0.49200844771621299</v>
      </c>
      <c r="G51">
        <v>-7.3924532121502498E-3</v>
      </c>
      <c r="H51">
        <v>9.5246294410437395E-3</v>
      </c>
      <c r="I51">
        <v>-0.77614076830060497</v>
      </c>
      <c r="J51">
        <v>0.45319219154787899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2.40681691846578E-2</v>
      </c>
      <c r="D52">
        <v>1.3134398003156401E-2</v>
      </c>
      <c r="E52">
        <v>1.8324531644978199</v>
      </c>
      <c r="F52">
        <v>0.10771229996842099</v>
      </c>
      <c r="G52">
        <v>3.9605586354251002E-2</v>
      </c>
      <c r="H52">
        <v>1.61080050219033E-2</v>
      </c>
      <c r="I52">
        <v>2.4587518007596998</v>
      </c>
      <c r="J52">
        <v>4.1918256282573098E-2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-7.4052675582679597E-3</v>
      </c>
      <c r="D53">
        <v>1.0989137290162199E-2</v>
      </c>
      <c r="E53">
        <v>-0.67387160272329905</v>
      </c>
      <c r="F53">
        <v>0.51425619918129895</v>
      </c>
      <c r="G53">
        <v>-5.93896825870735E-3</v>
      </c>
      <c r="H53">
        <v>1.40600281438372E-2</v>
      </c>
      <c r="I53">
        <v>-0.42240087985247299</v>
      </c>
      <c r="J53">
        <v>0.68071630145671502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1.30519521065508E-2</v>
      </c>
      <c r="D54">
        <v>7.4041621638995803E-3</v>
      </c>
      <c r="E54">
        <v>1.7627858247335799</v>
      </c>
      <c r="F54">
        <v>0.101918568287144</v>
      </c>
      <c r="G54">
        <v>1.2965357860884199E-2</v>
      </c>
      <c r="H54">
        <v>1.04383753848759E-2</v>
      </c>
      <c r="I54">
        <v>1.24208580194095</v>
      </c>
      <c r="J54">
        <v>0.236392955305122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2.5731634841464599E-6</v>
      </c>
      <c r="D55">
        <v>5.8465328860385298E-6</v>
      </c>
      <c r="E55">
        <v>0.44011785006651599</v>
      </c>
      <c r="F55">
        <v>0.66908177325603502</v>
      </c>
      <c r="G55">
        <v>5.4243206862347202E-6</v>
      </c>
      <c r="H55">
        <v>7.2215948150522898E-6</v>
      </c>
      <c r="I55">
        <v>0.75112503888041005</v>
      </c>
      <c r="J55">
        <v>0.47381554728019898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1.2720910370627101E-5</v>
      </c>
      <c r="D56">
        <v>2.9773476874105498E-6</v>
      </c>
      <c r="E56">
        <v>4.2725646132684902</v>
      </c>
      <c r="F56">
        <v>8.5865103151668801E-4</v>
      </c>
      <c r="G56">
        <v>1.5804381748827699E-5</v>
      </c>
      <c r="H56">
        <v>3.5971881382221501E-6</v>
      </c>
      <c r="I56">
        <v>4.3935377137762801</v>
      </c>
      <c r="J56">
        <v>8.3305723588517403E-4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-0.249952665172987</v>
      </c>
      <c r="D57">
        <v>0.22245717378543201</v>
      </c>
      <c r="E57">
        <v>-1.12359903220777</v>
      </c>
      <c r="F57">
        <v>0.32207782598588403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-0.182011170334137</v>
      </c>
      <c r="D58">
        <v>6.1047234820350703E-2</v>
      </c>
      <c r="E58">
        <v>-2.98148099368888</v>
      </c>
      <c r="F58">
        <v>1.2429770870266799E-2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-0.622219253158668</v>
      </c>
      <c r="D59">
        <v>0.15537360585325</v>
      </c>
      <c r="E59">
        <v>-4.0046650764245699</v>
      </c>
      <c r="F59">
        <v>1.64060440071808E-3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8.3818528544542303E-2</v>
      </c>
      <c r="D60">
        <v>4.9613698982541102E-2</v>
      </c>
      <c r="E60">
        <v>1.6894230880474701</v>
      </c>
      <c r="F60">
        <v>0.111659081681312</v>
      </c>
      <c r="AB60" t="str">
        <f t="shared" si="0"/>
        <v/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-0.74596133997831204</v>
      </c>
      <c r="D61">
        <v>0.11308005120558801</v>
      </c>
      <c r="E61">
        <v>-6.5967545294271002</v>
      </c>
      <c r="F61">
        <v>1.6778454399276301E-5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19E9A-391A-4ACF-A2F4-76559AB307B8}">
  <sheetPr codeName="Sheet21"/>
  <dimension ref="A1:AG66"/>
  <sheetViews>
    <sheetView topLeftCell="O32" workbookViewId="0">
      <selection activeCell="AB2" sqref="AB2:AG66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0.48063075159323398</v>
      </c>
      <c r="D2">
        <v>15.282648446164</v>
      </c>
      <c r="E2">
        <v>3.14494410629379E-2</v>
      </c>
      <c r="F2">
        <v>0.97548606807887805</v>
      </c>
      <c r="G2">
        <v>-9.2429815850983008</v>
      </c>
      <c r="H2">
        <v>18.947203072946099</v>
      </c>
      <c r="I2">
        <v>-0.48782828523624999</v>
      </c>
      <c r="J2">
        <v>0.63809281039836496</v>
      </c>
      <c r="K2">
        <v>12.9098630772673</v>
      </c>
      <c r="L2">
        <v>0.16450741481880901</v>
      </c>
      <c r="M2">
        <v>78.475873512974502</v>
      </c>
      <c r="N2">
        <v>1.4888408152981701E-18</v>
      </c>
      <c r="O2">
        <v>13.1020595859812</v>
      </c>
      <c r="P2">
        <v>7.8131389726672607E-2</v>
      </c>
      <c r="Q2">
        <v>167.692647370233</v>
      </c>
      <c r="R2">
        <v>1.15063865457084E-23</v>
      </c>
      <c r="S2">
        <v>13.6915303656363</v>
      </c>
      <c r="T2">
        <v>7.0086996490047904E-2</v>
      </c>
      <c r="U2">
        <v>195.350507958783</v>
      </c>
      <c r="V2">
        <v>1.09628660101257E-25</v>
      </c>
      <c r="W2">
        <v>13.8688982579657</v>
      </c>
      <c r="X2">
        <v>8.4919181343977398E-2</v>
      </c>
      <c r="Y2">
        <v>163.31879368676101</v>
      </c>
      <c r="Z2">
        <v>7.3223692117286106E-23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3.9712318053753803E-2</v>
      </c>
      <c r="D3">
        <v>9.9961622888391794E-3</v>
      </c>
      <c r="E3">
        <v>3.9727564345461901</v>
      </c>
      <c r="F3">
        <v>2.0454914984589299E-3</v>
      </c>
      <c r="G3">
        <v>4.6137476151021997E-2</v>
      </c>
      <c r="H3">
        <v>1.11123553805025E-2</v>
      </c>
      <c r="I3">
        <v>4.1519079053189696</v>
      </c>
      <c r="J3">
        <v>1.49836699878908E-3</v>
      </c>
      <c r="K3">
        <v>5.2077553223180098E-2</v>
      </c>
      <c r="L3">
        <v>1.33601253813397E-2</v>
      </c>
      <c r="M3">
        <v>3.8979838689177102</v>
      </c>
      <c r="N3">
        <v>2.3293668742854498E-3</v>
      </c>
      <c r="O3">
        <v>4.9561720200123498E-2</v>
      </c>
      <c r="P3">
        <v>1.25640446906852E-2</v>
      </c>
      <c r="Q3">
        <v>3.9447265128615498</v>
      </c>
      <c r="R3">
        <v>2.1489938448365701E-3</v>
      </c>
      <c r="S3">
        <v>8.3010597716530896E-2</v>
      </c>
      <c r="T3">
        <v>1.9074364836389201E-2</v>
      </c>
      <c r="U3">
        <v>4.3519455787155401</v>
      </c>
      <c r="V3">
        <v>1.06408525116759E-3</v>
      </c>
      <c r="W3">
        <v>0.14094294141408101</v>
      </c>
      <c r="X3">
        <v>9.8664509329399394E-3</v>
      </c>
      <c r="Y3">
        <v>14.2850699174444</v>
      </c>
      <c r="Z3">
        <v>3.2978759599989499E-9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8.7211198493948304E-5</v>
      </c>
      <c r="D4">
        <v>4.7029515617753097E-5</v>
      </c>
      <c r="E4">
        <v>1.8543928711234099</v>
      </c>
      <c r="F4">
        <v>8.3538385819714595E-2</v>
      </c>
      <c r="G4">
        <v>1.6525426641591999E-4</v>
      </c>
      <c r="H4">
        <v>7.3024123966008503E-5</v>
      </c>
      <c r="I4">
        <v>2.2630092281948202</v>
      </c>
      <c r="J4">
        <v>3.9005669707395801E-2</v>
      </c>
      <c r="K4">
        <v>2.7978465465243999E-4</v>
      </c>
      <c r="L4">
        <v>1.09979505711168E-4</v>
      </c>
      <c r="M4">
        <v>2.54397083204957</v>
      </c>
      <c r="N4">
        <v>2.2507719508847099E-2</v>
      </c>
      <c r="O4">
        <v>2.4879711946231302E-4</v>
      </c>
      <c r="P4">
        <v>1.28165657487703E-4</v>
      </c>
      <c r="Q4">
        <v>1.9412151768205499</v>
      </c>
      <c r="R4">
        <v>7.1255365077737207E-2</v>
      </c>
      <c r="S4">
        <v>1.90886910919824E-3</v>
      </c>
      <c r="T4">
        <v>2.8904545586613801E-4</v>
      </c>
      <c r="U4">
        <v>6.6040446942098798</v>
      </c>
      <c r="V4">
        <v>9.59195099998609E-6</v>
      </c>
      <c r="AB4" t="str">
        <f t="shared" si="0"/>
        <v>*</v>
      </c>
      <c r="AC4" t="str">
        <f t="shared" si="1"/>
        <v>**</v>
      </c>
      <c r="AD4" t="str">
        <f t="shared" si="2"/>
        <v>**</v>
      </c>
      <c r="AE4" t="str">
        <f t="shared" si="3"/>
        <v>*</v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2.9914442927409302E-2</v>
      </c>
      <c r="D5">
        <v>8.3663213495131297E-3</v>
      </c>
      <c r="E5">
        <v>3.57557900033928</v>
      </c>
      <c r="F5">
        <v>3.14844533119891E-3</v>
      </c>
      <c r="G5">
        <v>3.0857986994236999E-2</v>
      </c>
      <c r="H5">
        <v>7.2228908545752899E-3</v>
      </c>
      <c r="I5">
        <v>4.2722488288314899</v>
      </c>
      <c r="J5">
        <v>8.1438486399236596E-4</v>
      </c>
      <c r="K5">
        <v>3.07289280240036E-2</v>
      </c>
      <c r="L5">
        <v>9.9835470663918006E-3</v>
      </c>
      <c r="M5">
        <v>3.0779569445260702</v>
      </c>
      <c r="N5">
        <v>8.3786390388445597E-3</v>
      </c>
      <c r="O5">
        <v>2.89189169749977E-2</v>
      </c>
      <c r="P5">
        <v>1.0815116955297899E-2</v>
      </c>
      <c r="Q5">
        <v>2.67393474287225</v>
      </c>
      <c r="R5">
        <v>1.8457545406600599E-2</v>
      </c>
      <c r="S5">
        <v>9.5655380964881395E-2</v>
      </c>
      <c r="T5">
        <v>1.68755082360155E-2</v>
      </c>
      <c r="U5">
        <v>5.6682963041513004</v>
      </c>
      <c r="V5">
        <v>6.3556097471151104E-5</v>
      </c>
      <c r="AB5" t="str">
        <f t="shared" si="0"/>
        <v>***</v>
      </c>
      <c r="AC5" t="str">
        <f t="shared" si="1"/>
        <v>***</v>
      </c>
      <c r="AD5" t="str">
        <f t="shared" si="2"/>
        <v>***</v>
      </c>
      <c r="AE5" t="str">
        <f t="shared" si="3"/>
        <v>**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3.6250129051550901E-2</v>
      </c>
      <c r="D6">
        <v>1.14732849942254E-2</v>
      </c>
      <c r="E6">
        <v>3.1595248501014201</v>
      </c>
      <c r="F6">
        <v>7.3223369890433104E-3</v>
      </c>
      <c r="G6">
        <v>4.1260297465480503E-2</v>
      </c>
      <c r="H6">
        <v>8.5009730549667293E-3</v>
      </c>
      <c r="I6">
        <v>4.8535970175054297</v>
      </c>
      <c r="J6">
        <v>2.92894659430439E-4</v>
      </c>
      <c r="K6">
        <v>3.72707199801817E-2</v>
      </c>
      <c r="L6">
        <v>1.1268972149978599E-2</v>
      </c>
      <c r="M6">
        <v>3.3073752853539999</v>
      </c>
      <c r="N6">
        <v>5.4937341804209899E-3</v>
      </c>
      <c r="O6">
        <v>3.6463492598782198E-2</v>
      </c>
      <c r="P6">
        <v>1.1332160030353E-2</v>
      </c>
      <c r="Q6">
        <v>3.2177001119923698</v>
      </c>
      <c r="R6">
        <v>6.5372075315702797E-3</v>
      </c>
      <c r="S6">
        <v>0.13125030296275</v>
      </c>
      <c r="T6">
        <v>2.0349075354246401E-2</v>
      </c>
      <c r="U6">
        <v>6.4499394040211904</v>
      </c>
      <c r="V6">
        <v>1.9134221959509302E-5</v>
      </c>
      <c r="AB6" t="str">
        <f t="shared" si="0"/>
        <v>***</v>
      </c>
      <c r="AC6" t="str">
        <f t="shared" si="1"/>
        <v>***</v>
      </c>
      <c r="AD6" t="str">
        <f t="shared" si="2"/>
        <v>***</v>
      </c>
      <c r="AE6" t="str">
        <f t="shared" si="3"/>
        <v>***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1.1634544944076701E-2</v>
      </c>
      <c r="D7">
        <v>1.21425140634915E-2</v>
      </c>
      <c r="E7">
        <v>0.95816606703037199</v>
      </c>
      <c r="F7">
        <v>0.35506178439383801</v>
      </c>
      <c r="G7">
        <v>1.6873215569999898E-2</v>
      </c>
      <c r="H7">
        <v>9.14846498662443E-3</v>
      </c>
      <c r="I7">
        <v>1.8443766899331699</v>
      </c>
      <c r="J7">
        <v>8.7472854638020694E-2</v>
      </c>
      <c r="K7">
        <v>7.5419154817190004E-3</v>
      </c>
      <c r="L7">
        <v>1.0428953558101301E-2</v>
      </c>
      <c r="M7">
        <v>0.72317087612882702</v>
      </c>
      <c r="N7">
        <v>0.48208417299515199</v>
      </c>
      <c r="O7">
        <v>9.0823373685356198E-3</v>
      </c>
      <c r="P7">
        <v>9.9650929561600505E-3</v>
      </c>
      <c r="Q7">
        <v>0.91141521795050096</v>
      </c>
      <c r="R7">
        <v>0.37826535365271502</v>
      </c>
      <c r="S7">
        <v>8.8656770404939897E-2</v>
      </c>
      <c r="T7">
        <v>1.48153538024336E-2</v>
      </c>
      <c r="U7">
        <v>5.9841142902963904</v>
      </c>
      <c r="V7">
        <v>4.0794613417081598E-5</v>
      </c>
      <c r="AB7" t="str">
        <f t="shared" si="0"/>
        <v/>
      </c>
      <c r="AC7" t="str">
        <f t="shared" si="1"/>
        <v>*</v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-2.7514923534117E-3</v>
      </c>
      <c r="D8">
        <v>1.7124783643262399E-2</v>
      </c>
      <c r="E8">
        <v>-0.16067311626995301</v>
      </c>
      <c r="F8">
        <v>0.87510233483654398</v>
      </c>
      <c r="G8">
        <v>-4.7514764990543598E-4</v>
      </c>
      <c r="H8">
        <v>1.49384573622272E-2</v>
      </c>
      <c r="I8">
        <v>-3.1807009143184697E-2</v>
      </c>
      <c r="J8">
        <v>0.97516396172837705</v>
      </c>
      <c r="K8">
        <v>-1.45556355375105E-2</v>
      </c>
      <c r="L8">
        <v>1.5959576611747101E-2</v>
      </c>
      <c r="M8">
        <v>-0.91203143364071504</v>
      </c>
      <c r="N8">
        <v>0.38023014384849402</v>
      </c>
      <c r="O8">
        <v>-1.06507534096709E-2</v>
      </c>
      <c r="P8">
        <v>1.48234139337933E-2</v>
      </c>
      <c r="Q8">
        <v>-0.71850880352130697</v>
      </c>
      <c r="R8">
        <v>0.48662045228817602</v>
      </c>
      <c r="S8">
        <v>5.4314786683902098E-2</v>
      </c>
      <c r="T8">
        <v>2.3178135989515E-2</v>
      </c>
      <c r="U8">
        <v>2.34336301713271</v>
      </c>
      <c r="V8">
        <v>3.7776974569851102E-2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0.12515126273645399</v>
      </c>
      <c r="D9">
        <v>1.7490008065523401E-2</v>
      </c>
      <c r="E9">
        <v>7.1555863363581897</v>
      </c>
      <c r="F9">
        <v>1.27540490712066E-5</v>
      </c>
      <c r="G9">
        <v>0.12245727505569701</v>
      </c>
      <c r="H9">
        <v>1.6018827077236199E-2</v>
      </c>
      <c r="I9">
        <v>7.6445843672110501</v>
      </c>
      <c r="J9">
        <v>6.62457984723962E-6</v>
      </c>
      <c r="K9">
        <v>0.10983716494866699</v>
      </c>
      <c r="L9">
        <v>1.7614701100969701E-2</v>
      </c>
      <c r="M9">
        <v>6.2355395257101804</v>
      </c>
      <c r="N9">
        <v>4.6949001287094997E-5</v>
      </c>
      <c r="O9">
        <v>0.11315700832872699</v>
      </c>
      <c r="P9">
        <v>1.6845822621969601E-2</v>
      </c>
      <c r="Q9">
        <v>6.7172147581058201</v>
      </c>
      <c r="R9">
        <v>2.3608185649044201E-5</v>
      </c>
      <c r="S9">
        <v>0.219278550372492</v>
      </c>
      <c r="T9">
        <v>2.8275040678930701E-2</v>
      </c>
      <c r="U9">
        <v>7.7551984049271097</v>
      </c>
      <c r="V9">
        <v>5.8143257125036099E-6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0.16746345748404301</v>
      </c>
      <c r="D10">
        <v>1.8196885984627698E-2</v>
      </c>
      <c r="E10">
        <v>9.2028634803511302</v>
      </c>
      <c r="F10">
        <v>1.02268573434389E-6</v>
      </c>
      <c r="G10">
        <v>0.167087018898601</v>
      </c>
      <c r="H10">
        <v>1.7294735883727201E-2</v>
      </c>
      <c r="I10">
        <v>9.6611489196440896</v>
      </c>
      <c r="J10">
        <v>6.1251783694386699E-7</v>
      </c>
      <c r="K10">
        <v>0.14169779657013901</v>
      </c>
      <c r="L10">
        <v>1.8997335250523099E-2</v>
      </c>
      <c r="M10">
        <v>7.4588248668316597</v>
      </c>
      <c r="N10">
        <v>8.6134454679000304E-6</v>
      </c>
      <c r="O10">
        <v>0.13944310715615099</v>
      </c>
      <c r="P10">
        <v>1.89273448016208E-2</v>
      </c>
      <c r="Q10">
        <v>7.3672830826334197</v>
      </c>
      <c r="R10">
        <v>9.7530506084925194E-6</v>
      </c>
      <c r="S10">
        <v>0.242476254036636</v>
      </c>
      <c r="T10">
        <v>2.6335424906523498E-2</v>
      </c>
      <c r="U10">
        <v>9.2072277131390692</v>
      </c>
      <c r="V10">
        <v>1.0159178266809799E-6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0.132471969758964</v>
      </c>
      <c r="D11">
        <v>2.88785533286956E-2</v>
      </c>
      <c r="E11">
        <v>4.5872093470600301</v>
      </c>
      <c r="F11">
        <v>4.4101173011289099E-4</v>
      </c>
      <c r="G11">
        <v>0.13269898156964699</v>
      </c>
      <c r="H11">
        <v>2.7628073929658301E-2</v>
      </c>
      <c r="I11">
        <v>4.8030485913531997</v>
      </c>
      <c r="J11">
        <v>2.9424382239644399E-4</v>
      </c>
      <c r="K11">
        <v>0.102387572600356</v>
      </c>
      <c r="L11">
        <v>4.4049179313713098E-2</v>
      </c>
      <c r="M11">
        <v>2.32439228597572</v>
      </c>
      <c r="N11">
        <v>3.5931943713122298E-2</v>
      </c>
      <c r="O11">
        <v>3.2278368943722498E-2</v>
      </c>
      <c r="P11">
        <v>4.0696804219297299E-2</v>
      </c>
      <c r="Q11">
        <v>0.79314259590970604</v>
      </c>
      <c r="R11">
        <v>0.44189628556292099</v>
      </c>
      <c r="S11">
        <v>0.19459803728988301</v>
      </c>
      <c r="T11">
        <v>5.7244594309171497E-2</v>
      </c>
      <c r="U11">
        <v>3.3994133356746499</v>
      </c>
      <c r="V11">
        <v>4.74552573192045E-3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-3.1866235246665299E-2</v>
      </c>
      <c r="D12">
        <v>5.2807143345647498E-3</v>
      </c>
      <c r="E12">
        <v>-6.0344554217004003</v>
      </c>
      <c r="F12">
        <v>1.7997973934330401E-5</v>
      </c>
      <c r="G12">
        <v>-4.5695664039467197E-2</v>
      </c>
      <c r="H12">
        <v>7.8689863391493402E-3</v>
      </c>
      <c r="I12">
        <v>-5.8070585041080403</v>
      </c>
      <c r="J12">
        <v>2.88958325086061E-5</v>
      </c>
      <c r="K12">
        <v>-7.0826334019032003E-2</v>
      </c>
      <c r="L12">
        <v>9.3603709142072496E-3</v>
      </c>
      <c r="M12">
        <v>-7.5666161809390697</v>
      </c>
      <c r="N12">
        <v>1.42680342376821E-6</v>
      </c>
      <c r="O12">
        <v>-7.1028942536395107E-2</v>
      </c>
      <c r="P12">
        <v>9.3926735374015996E-3</v>
      </c>
      <c r="Q12">
        <v>-7.5621645161580497</v>
      </c>
      <c r="R12">
        <v>1.40054044467872E-6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6.5557223809788304E-2</v>
      </c>
      <c r="D13">
        <v>6.3195222772455999E-3</v>
      </c>
      <c r="E13">
        <v>10.373762593706999</v>
      </c>
      <c r="F13">
        <v>2.3897110132386099E-8</v>
      </c>
      <c r="G13">
        <v>7.5777348860117902E-2</v>
      </c>
      <c r="H13">
        <v>6.6823246776682201E-3</v>
      </c>
      <c r="I13">
        <v>11.3399681271638</v>
      </c>
      <c r="J13">
        <v>6.9886831927922803E-9</v>
      </c>
      <c r="K13">
        <v>0.103446786798914</v>
      </c>
      <c r="L13">
        <v>1.5307850222499E-2</v>
      </c>
      <c r="M13">
        <v>6.75776058005005</v>
      </c>
      <c r="N13">
        <v>5.8081114388372198E-6</v>
      </c>
      <c r="O13">
        <v>0.100917328605017</v>
      </c>
      <c r="P13">
        <v>1.5652891257164101E-2</v>
      </c>
      <c r="Q13">
        <v>6.4472005169542603</v>
      </c>
      <c r="R13">
        <v>1.0033460614432799E-5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3.9698014347111898E-2</v>
      </c>
      <c r="D14">
        <v>6.6749298040777996E-3</v>
      </c>
      <c r="E14">
        <v>5.9473306105571098</v>
      </c>
      <c r="F14">
        <v>2.6202738425655401E-5</v>
      </c>
      <c r="G14">
        <v>4.5310611019616698E-2</v>
      </c>
      <c r="H14">
        <v>8.2359414093842506E-3</v>
      </c>
      <c r="I14">
        <v>5.50157034482889</v>
      </c>
      <c r="J14">
        <v>5.9491419480897002E-5</v>
      </c>
      <c r="K14">
        <v>3.2417156674543098E-2</v>
      </c>
      <c r="L14">
        <v>8.5829318768064506E-3</v>
      </c>
      <c r="M14">
        <v>3.7769327707404501</v>
      </c>
      <c r="N14">
        <v>1.80851544854838E-3</v>
      </c>
      <c r="O14">
        <v>2.9874949670225501E-2</v>
      </c>
      <c r="P14">
        <v>1.04121141918453E-2</v>
      </c>
      <c r="Q14">
        <v>2.86924913804953</v>
      </c>
      <c r="R14">
        <v>1.1803548214404901E-2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-4.3928815671961503E-2</v>
      </c>
      <c r="D15">
        <v>9.0683137797612397E-3</v>
      </c>
      <c r="E15">
        <v>-4.8442099312886899</v>
      </c>
      <c r="F15">
        <v>1.9344350065840599E-4</v>
      </c>
      <c r="G15">
        <v>-4.9941490471843403E-2</v>
      </c>
      <c r="H15">
        <v>9.4899910283572E-3</v>
      </c>
      <c r="I15">
        <v>-5.26254348635445</v>
      </c>
      <c r="J15">
        <v>8.5660945969572494E-5</v>
      </c>
      <c r="K15">
        <v>-4.0471580495477201E-2</v>
      </c>
      <c r="L15">
        <v>2.25902383307914E-2</v>
      </c>
      <c r="M15">
        <v>-1.79155172702684</v>
      </c>
      <c r="N15">
        <v>9.2800650333020304E-2</v>
      </c>
      <c r="O15">
        <v>-4.3951383749850102E-2</v>
      </c>
      <c r="P15">
        <v>2.6240365561599199E-2</v>
      </c>
      <c r="Q15">
        <v>-1.6749531803081901</v>
      </c>
      <c r="R15">
        <v>0.11415733009781499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/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-7.2965949519107398E-2</v>
      </c>
      <c r="D16">
        <v>1.4862170276468E-2</v>
      </c>
      <c r="E16">
        <v>-4.9095083801211601</v>
      </c>
      <c r="F16">
        <v>2.7104034584780402E-4</v>
      </c>
      <c r="G16">
        <v>-9.0077376546854396E-2</v>
      </c>
      <c r="H16">
        <v>1.7247114050730001E-2</v>
      </c>
      <c r="I16">
        <v>-5.2227506748030104</v>
      </c>
      <c r="J16">
        <v>1.5537088283301199E-4</v>
      </c>
      <c r="K16">
        <v>-4.1385360993650103E-2</v>
      </c>
      <c r="L16">
        <v>4.1183057066930102E-2</v>
      </c>
      <c r="M16">
        <v>-1.00491230960322</v>
      </c>
      <c r="N16">
        <v>0.333148797797852</v>
      </c>
      <c r="O16">
        <v>-3.0976227230064501E-2</v>
      </c>
      <c r="P16">
        <v>4.4841099528238199E-2</v>
      </c>
      <c r="Q16">
        <v>-0.69079990356966003</v>
      </c>
      <c r="R16">
        <v>0.50171976728408696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1.8167655006434799E-4</v>
      </c>
      <c r="D17">
        <v>1.00001590701814E-5</v>
      </c>
      <c r="E17">
        <v>18.167366017814</v>
      </c>
      <c r="F17">
        <v>5.7466079121422503E-11</v>
      </c>
      <c r="G17">
        <v>1.9914417365790601E-4</v>
      </c>
      <c r="H17">
        <v>1.21008929663208E-5</v>
      </c>
      <c r="I17">
        <v>16.456981663432899</v>
      </c>
      <c r="J17">
        <v>2.5258953495214202E-10</v>
      </c>
      <c r="K17">
        <v>2.5086614086495602E-4</v>
      </c>
      <c r="L17">
        <v>1.7040461871807201E-5</v>
      </c>
      <c r="M17">
        <v>14.721792328880699</v>
      </c>
      <c r="N17">
        <v>1.0298190022105101E-9</v>
      </c>
      <c r="O17">
        <v>2.5795680611000199E-4</v>
      </c>
      <c r="P17">
        <v>1.62616125567315E-5</v>
      </c>
      <c r="Q17">
        <v>15.8629290428654</v>
      </c>
      <c r="R17">
        <v>3.3335630591453399E-10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-9.9867918424002703E-4</v>
      </c>
      <c r="D18">
        <v>8.1572281555582595E-4</v>
      </c>
      <c r="E18">
        <v>-1.22428742361403</v>
      </c>
      <c r="F18">
        <v>0.24096865091844799</v>
      </c>
      <c r="G18">
        <v>-1.84616971539837E-3</v>
      </c>
      <c r="H18">
        <v>9.1252977386679598E-4</v>
      </c>
      <c r="I18">
        <v>-2.0231336754912901</v>
      </c>
      <c r="J18">
        <v>6.2477179052031102E-2</v>
      </c>
      <c r="K18">
        <v>4.3207432925942597E-3</v>
      </c>
      <c r="L18">
        <v>1.9619454055561001E-3</v>
      </c>
      <c r="M18">
        <v>2.20227498704</v>
      </c>
      <c r="N18">
        <v>4.5588015621812E-2</v>
      </c>
      <c r="O18">
        <v>4.1873657015109996E-3</v>
      </c>
      <c r="P18">
        <v>1.8568283303413099E-3</v>
      </c>
      <c r="Q18">
        <v>2.2551173057238501</v>
      </c>
      <c r="R18">
        <v>4.22335420381496E-2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2.0750666118429999E-2</v>
      </c>
      <c r="D19">
        <v>9.0861368208796298E-3</v>
      </c>
      <c r="E19">
        <v>2.2837721385337</v>
      </c>
      <c r="F19">
        <v>3.9069473498579102E-2</v>
      </c>
      <c r="G19">
        <v>3.0661047059093699E-2</v>
      </c>
      <c r="H19">
        <v>1.08865622373309E-2</v>
      </c>
      <c r="I19">
        <v>2.81641223286766</v>
      </c>
      <c r="J19">
        <v>1.3833292822272501E-2</v>
      </c>
      <c r="K19">
        <v>5.3436043827968403E-3</v>
      </c>
      <c r="L19">
        <v>2.1370384719738199E-2</v>
      </c>
      <c r="M19">
        <v>0.25004717757193001</v>
      </c>
      <c r="N19">
        <v>0.80627035864216201</v>
      </c>
      <c r="O19">
        <v>4.5318488022069196E-3</v>
      </c>
      <c r="P19">
        <v>2.1448677148730399E-2</v>
      </c>
      <c r="Q19">
        <v>0.21128803286011399</v>
      </c>
      <c r="R19">
        <v>0.83583160855054195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-4.1734222154334602E-2</v>
      </c>
      <c r="D20">
        <v>1.38435148087276E-2</v>
      </c>
      <c r="E20">
        <v>-3.0147128623739001</v>
      </c>
      <c r="F20">
        <v>1.3493646858083E-2</v>
      </c>
      <c r="G20">
        <v>-5.73345169547737E-2</v>
      </c>
      <c r="H20">
        <v>1.5765823938305199E-2</v>
      </c>
      <c r="I20">
        <v>-3.6366330855358502</v>
      </c>
      <c r="J20">
        <v>4.7937247598550904E-3</v>
      </c>
      <c r="K20">
        <v>-3.2667781627338098E-2</v>
      </c>
      <c r="L20">
        <v>3.1197765494809199E-2</v>
      </c>
      <c r="M20">
        <v>-1.0471192763075801</v>
      </c>
      <c r="N20">
        <v>0.32054888369977802</v>
      </c>
      <c r="O20">
        <v>-3.3519953486723701E-2</v>
      </c>
      <c r="P20">
        <v>3.1869816736768301E-2</v>
      </c>
      <c r="Q20">
        <v>-1.05177741571547</v>
      </c>
      <c r="R20">
        <v>0.31852657200261902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0.115729502961795</v>
      </c>
      <c r="D21">
        <v>1.0234687167614699E-2</v>
      </c>
      <c r="E21">
        <v>11.3075759978277</v>
      </c>
      <c r="F21">
        <v>3.0268564562285403E-8</v>
      </c>
      <c r="G21">
        <v>0.120996313658237</v>
      </c>
      <c r="H21">
        <v>1.19075916569831E-2</v>
      </c>
      <c r="I21">
        <v>10.161275020484901</v>
      </c>
      <c r="J21">
        <v>1.11287001886224E-7</v>
      </c>
      <c r="K21">
        <v>0.15533798350899899</v>
      </c>
      <c r="L21">
        <v>2.1443902495547E-2</v>
      </c>
      <c r="M21">
        <v>7.2439232337144199</v>
      </c>
      <c r="N21">
        <v>5.3789563396501899E-6</v>
      </c>
      <c r="O21">
        <v>0.15299102235079401</v>
      </c>
      <c r="P21">
        <v>2.2151474896544499E-2</v>
      </c>
      <c r="Q21">
        <v>6.9065840114628099</v>
      </c>
      <c r="R21">
        <v>8.6802367927127604E-6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5.7640276449951899E-2</v>
      </c>
      <c r="D22">
        <v>3.9426698980392699E-3</v>
      </c>
      <c r="E22">
        <v>14.619604973426</v>
      </c>
      <c r="F22">
        <v>4.1199525610426102E-10</v>
      </c>
      <c r="G22">
        <v>6.1536211335135302E-2</v>
      </c>
      <c r="H22">
        <v>4.0962165163975E-3</v>
      </c>
      <c r="I22">
        <v>15.0226949890956</v>
      </c>
      <c r="J22">
        <v>2.8389276510913103E-10</v>
      </c>
      <c r="K22">
        <v>7.5937735325272301E-2</v>
      </c>
      <c r="L22">
        <v>9.5606735264634705E-3</v>
      </c>
      <c r="M22">
        <v>7.9427181688696296</v>
      </c>
      <c r="N22">
        <v>1.13996338422732E-6</v>
      </c>
      <c r="O22">
        <v>7.3707293673854105E-2</v>
      </c>
      <c r="P22">
        <v>1.0969007837798601E-2</v>
      </c>
      <c r="Q22">
        <v>6.7195953147068597</v>
      </c>
      <c r="R22">
        <v>7.6486665658503506E-6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-5.1455935021522403E-2</v>
      </c>
      <c r="D23">
        <v>1.03940461734326E-2</v>
      </c>
      <c r="E23">
        <v>-4.9505201499917098</v>
      </c>
      <c r="F23">
        <v>1.33079296468037E-4</v>
      </c>
      <c r="G23">
        <v>-4.7015513348333898E-2</v>
      </c>
      <c r="H23">
        <v>1.2535276069251301E-2</v>
      </c>
      <c r="I23">
        <v>-3.7506563946893698</v>
      </c>
      <c r="J23">
        <v>1.6699412291097599E-3</v>
      </c>
      <c r="K23">
        <v>-4.17430852710391E-2</v>
      </c>
      <c r="L23">
        <v>1.6658417509444499E-2</v>
      </c>
      <c r="M23">
        <v>-2.50582537311079</v>
      </c>
      <c r="N23">
        <v>2.3046582665309099E-2</v>
      </c>
      <c r="O23">
        <v>-4.1395181999782003E-2</v>
      </c>
      <c r="P23">
        <v>1.7534183824308599E-2</v>
      </c>
      <c r="Q23">
        <v>-2.36082742228318</v>
      </c>
      <c r="R23">
        <v>3.08060046686487E-2</v>
      </c>
      <c r="AB23" t="str">
        <f t="shared" si="0"/>
        <v>***</v>
      </c>
      <c r="AC23" t="str">
        <f t="shared" si="1"/>
        <v>***</v>
      </c>
      <c r="AD23" t="str">
        <f t="shared" si="2"/>
        <v>**</v>
      </c>
      <c r="AE23" t="str">
        <f t="shared" si="3"/>
        <v>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1.7646987192173599E-2</v>
      </c>
      <c r="D24">
        <v>1.4035298942630101E-2</v>
      </c>
      <c r="E24">
        <v>1.25732891506667</v>
      </c>
      <c r="F24">
        <v>0.23054050268976001</v>
      </c>
      <c r="G24">
        <v>2.32483311302417E-2</v>
      </c>
      <c r="H24">
        <v>1.42787646910817E-2</v>
      </c>
      <c r="I24">
        <v>1.62817524017062</v>
      </c>
      <c r="J24">
        <v>0.12724597204048099</v>
      </c>
      <c r="K24">
        <v>3.3098811698073299E-2</v>
      </c>
      <c r="L24">
        <v>1.7752681410457698E-2</v>
      </c>
      <c r="M24">
        <v>1.86444013345362</v>
      </c>
      <c r="N24">
        <v>8.4833024050828099E-2</v>
      </c>
      <c r="AB24" t="str">
        <f t="shared" si="0"/>
        <v/>
      </c>
      <c r="AC24" t="str">
        <f t="shared" si="1"/>
        <v/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-5.1042070416936099E-2</v>
      </c>
      <c r="D25">
        <v>2.3602833968792199E-2</v>
      </c>
      <c r="E25">
        <v>-2.1625399087425001</v>
      </c>
      <c r="F25">
        <v>9.5054110022225302E-2</v>
      </c>
      <c r="G25">
        <v>-4.9126422159212799E-2</v>
      </c>
      <c r="H25">
        <v>2.63761115004328E-2</v>
      </c>
      <c r="I25">
        <v>-1.8625346711324999</v>
      </c>
      <c r="J25">
        <v>0.13434782816951599</v>
      </c>
      <c r="K25">
        <v>-7.4368002888974799E-2</v>
      </c>
      <c r="L25">
        <v>3.2638392549556902E-2</v>
      </c>
      <c r="M25">
        <v>-2.2785436744795899</v>
      </c>
      <c r="N25">
        <v>8.3364550570261695E-2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AB26" t="str">
        <f t="shared" si="0"/>
        <v>***</v>
      </c>
      <c r="AC26" t="str">
        <f t="shared" si="1"/>
        <v>***</v>
      </c>
      <c r="AD26" t="str">
        <f t="shared" si="2"/>
        <v>***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AB27" t="str">
        <f t="shared" si="0"/>
        <v>***</v>
      </c>
      <c r="AC27" t="str">
        <f t="shared" si="1"/>
        <v>***</v>
      </c>
      <c r="AD27" t="str">
        <f t="shared" si="2"/>
        <v>***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AB28" t="str">
        <f t="shared" si="0"/>
        <v>***</v>
      </c>
      <c r="AC28" t="str">
        <f t="shared" si="1"/>
        <v>***</v>
      </c>
      <c r="AD28" t="str">
        <f t="shared" si="2"/>
        <v>***</v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AB29" t="str">
        <f t="shared" si="0"/>
        <v>***</v>
      </c>
      <c r="AC29" t="str">
        <f t="shared" si="1"/>
        <v>***</v>
      </c>
      <c r="AD29" t="str">
        <f t="shared" si="2"/>
        <v>***</v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-3.2281650011238103E-2</v>
      </c>
      <c r="D30">
        <v>1.7834648303050399E-2</v>
      </c>
      <c r="E30">
        <v>-1.8100525147847599</v>
      </c>
      <c r="F30">
        <v>8.9778298590060104E-2</v>
      </c>
      <c r="G30">
        <v>-3.7953899215153901E-2</v>
      </c>
      <c r="H30">
        <v>2.23621171775088E-2</v>
      </c>
      <c r="I30">
        <v>-1.6972408700785599</v>
      </c>
      <c r="J30">
        <v>0.10966589581663699</v>
      </c>
      <c r="K30">
        <v>-3.90965805589319E-2</v>
      </c>
      <c r="L30">
        <v>2.4575809051269899E-2</v>
      </c>
      <c r="M30">
        <v>-1.59085629601731</v>
      </c>
      <c r="N30">
        <v>0.13188092501843601</v>
      </c>
      <c r="AB30" t="str">
        <f t="shared" si="0"/>
        <v>*</v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AB31" t="str">
        <f t="shared" si="0"/>
        <v>***</v>
      </c>
      <c r="AC31" t="str">
        <f t="shared" si="1"/>
        <v>***</v>
      </c>
      <c r="AD31" t="str">
        <f t="shared" si="2"/>
        <v>***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7.4499138533442893E-2</v>
      </c>
      <c r="D32">
        <v>1.7006171548610199E-2</v>
      </c>
      <c r="E32">
        <v>4.3807119268728698</v>
      </c>
      <c r="F32">
        <v>9.5544877275856701E-4</v>
      </c>
      <c r="G32">
        <v>9.2164012560607897E-2</v>
      </c>
      <c r="H32">
        <v>2.0223391629309299E-2</v>
      </c>
      <c r="I32">
        <v>4.5572975220949896</v>
      </c>
      <c r="J32">
        <v>7.0350535585029096E-4</v>
      </c>
      <c r="K32">
        <v>7.9185902709861894E-2</v>
      </c>
      <c r="L32">
        <v>3.9228095015417103E-2</v>
      </c>
      <c r="M32">
        <v>2.01860178728385</v>
      </c>
      <c r="N32">
        <v>6.7710342232500095E-2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7.5902908637577897E-3</v>
      </c>
      <c r="D33">
        <v>9.2135634072970804E-2</v>
      </c>
      <c r="E33">
        <v>8.2381707578485106E-2</v>
      </c>
      <c r="F33">
        <v>0.94046256618858703</v>
      </c>
      <c r="G33">
        <v>-1.9986909784191698E-2</v>
      </c>
      <c r="H33">
        <v>9.5569458952017794E-2</v>
      </c>
      <c r="I33">
        <v>-0.209134905683902</v>
      </c>
      <c r="J33">
        <v>0.85047055519669501</v>
      </c>
      <c r="K33">
        <v>-5.2167738355208701E-2</v>
      </c>
      <c r="L33">
        <v>6.1476177906596902E-2</v>
      </c>
      <c r="M33">
        <v>-0.84858460840667604</v>
      </c>
      <c r="N33">
        <v>0.49030172133317501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0.183772713339309</v>
      </c>
      <c r="D34">
        <v>7.4474799567165101E-2</v>
      </c>
      <c r="E34">
        <v>2.4675825166011101</v>
      </c>
      <c r="F34">
        <v>0.243825801726304</v>
      </c>
      <c r="G34">
        <v>0.23218006344660599</v>
      </c>
      <c r="H34">
        <v>0.10331603296082401</v>
      </c>
      <c r="I34">
        <v>2.2472800860893001</v>
      </c>
      <c r="J34">
        <v>0.26535773460991402</v>
      </c>
      <c r="K34">
        <v>0.311270993890368</v>
      </c>
      <c r="L34">
        <v>0.105274160109692</v>
      </c>
      <c r="M34">
        <v>2.95676539775795</v>
      </c>
      <c r="N34">
        <v>0.20654195131918199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238</v>
      </c>
      <c r="C35">
        <v>-7.96253262939281E-2</v>
      </c>
      <c r="D35">
        <v>3.7892676644280303E-2</v>
      </c>
      <c r="E35">
        <v>-2.1013381303573602</v>
      </c>
      <c r="F35">
        <v>0.12880347266691899</v>
      </c>
      <c r="G35">
        <v>-4.3814067256375301E-2</v>
      </c>
      <c r="H35">
        <v>4.3171162083047498E-2</v>
      </c>
      <c r="I35">
        <v>-1.0148920052717401</v>
      </c>
      <c r="J35">
        <v>0.38735659963249902</v>
      </c>
      <c r="K35">
        <v>-5.3341911913947E-2</v>
      </c>
      <c r="L35">
        <v>5.9353381928824403E-2</v>
      </c>
      <c r="M35">
        <v>-0.89871731282159695</v>
      </c>
      <c r="N35">
        <v>0.43932196201297002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240</v>
      </c>
      <c r="C36">
        <v>-4.66617509253597E-3</v>
      </c>
      <c r="D36">
        <v>3.1003736516317201E-2</v>
      </c>
      <c r="E36">
        <v>-0.150503636556199</v>
      </c>
      <c r="F36">
        <v>0.883857036475173</v>
      </c>
      <c r="G36">
        <v>1.2369529670765E-2</v>
      </c>
      <c r="H36">
        <v>2.8695391427726698E-2</v>
      </c>
      <c r="I36">
        <v>0.431063284218281</v>
      </c>
      <c r="J36">
        <v>0.67731956836858098</v>
      </c>
      <c r="K36">
        <v>2.2822394499958801E-3</v>
      </c>
      <c r="L36">
        <v>4.6604073502643999E-2</v>
      </c>
      <c r="M36">
        <v>4.8970814747908202E-2</v>
      </c>
      <c r="N36">
        <v>0.96211493167906403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-1.7707805975391601E-3</v>
      </c>
      <c r="D37">
        <v>0.14355278684540901</v>
      </c>
      <c r="E37">
        <v>-1.2335396870045401E-2</v>
      </c>
      <c r="F37">
        <v>0.99054339018479398</v>
      </c>
      <c r="G37">
        <v>-2.52379393904953E-2</v>
      </c>
      <c r="H37">
        <v>0.14556391892380599</v>
      </c>
      <c r="I37">
        <v>-0.17338046115470199</v>
      </c>
      <c r="J37">
        <v>0.86786530468714496</v>
      </c>
      <c r="K37">
        <v>-3.4208921735064103E-2</v>
      </c>
      <c r="L37">
        <v>0.143916078300417</v>
      </c>
      <c r="M37">
        <v>-0.23770048585992501</v>
      </c>
      <c r="N37">
        <v>0.81976707207919497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2.8238810922844301E-2</v>
      </c>
      <c r="D38">
        <v>4.2902900125594098E-2</v>
      </c>
      <c r="E38">
        <v>0.65820284503326998</v>
      </c>
      <c r="F38">
        <v>0.54476058771278901</v>
      </c>
      <c r="G38">
        <v>3.8249284050123802E-2</v>
      </c>
      <c r="H38">
        <v>5.1212662722476501E-2</v>
      </c>
      <c r="I38">
        <v>0.74687161371394095</v>
      </c>
      <c r="J38">
        <v>0.49480893826441602</v>
      </c>
      <c r="K38">
        <v>-9.3401283368095694E-2</v>
      </c>
      <c r="L38">
        <v>0.103957320653775</v>
      </c>
      <c r="M38">
        <v>-0.89845797083558998</v>
      </c>
      <c r="N38">
        <v>0.42692808587311198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0.36738778991506799</v>
      </c>
      <c r="D39">
        <v>0.27636785716045098</v>
      </c>
      <c r="E39">
        <v>1.32934341095164</v>
      </c>
      <c r="F39">
        <v>0.40928933788253802</v>
      </c>
      <c r="G39">
        <v>0.51532152768338801</v>
      </c>
      <c r="H39">
        <v>0.20227721665180301</v>
      </c>
      <c r="I39">
        <v>2.5476004476097498</v>
      </c>
      <c r="J39">
        <v>0.23680095510442201</v>
      </c>
      <c r="K39">
        <v>0.35976763300294501</v>
      </c>
      <c r="L39">
        <v>0.240563086638416</v>
      </c>
      <c r="M39">
        <v>1.4955230165619799</v>
      </c>
      <c r="N39">
        <v>0.37423154223180399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3.4550174313050297E-2</v>
      </c>
      <c r="D40">
        <v>5.0079218015889097E-2</v>
      </c>
      <c r="E40">
        <v>0.68991041956941501</v>
      </c>
      <c r="F40">
        <v>0.50277352088131899</v>
      </c>
      <c r="G40">
        <v>4.3797569068394403E-2</v>
      </c>
      <c r="H40">
        <v>5.4508473085518601E-2</v>
      </c>
      <c r="I40">
        <v>0.80350020077943096</v>
      </c>
      <c r="J40">
        <v>0.43660007766811099</v>
      </c>
      <c r="K40">
        <v>7.7072367341408904E-2</v>
      </c>
      <c r="L40">
        <v>6.7843762928924897E-2</v>
      </c>
      <c r="M40">
        <v>1.13602730765615</v>
      </c>
      <c r="N40">
        <v>0.277142600900664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9.9015469484232205E-2</v>
      </c>
      <c r="D41">
        <v>5.2061859947383403E-2</v>
      </c>
      <c r="E41">
        <v>1.90188113878956</v>
      </c>
      <c r="F41">
        <v>8.1391700296935807E-2</v>
      </c>
      <c r="G41">
        <v>0.10816563866314501</v>
      </c>
      <c r="H41">
        <v>5.6116236349604498E-2</v>
      </c>
      <c r="I41">
        <v>1.9275283892752999</v>
      </c>
      <c r="J41">
        <v>7.7854341912077296E-2</v>
      </c>
      <c r="K41">
        <v>0.117238402161449</v>
      </c>
      <c r="L41">
        <v>6.5486148455630999E-2</v>
      </c>
      <c r="M41">
        <v>1.79027786679012</v>
      </c>
      <c r="N41">
        <v>9.86104703042575E-2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9.7030524954747996E-2</v>
      </c>
      <c r="D42">
        <v>5.4547358786429502E-2</v>
      </c>
      <c r="E42">
        <v>1.7788308565892901</v>
      </c>
      <c r="F42">
        <v>0.10028381821644</v>
      </c>
      <c r="G42">
        <v>0.106830206109932</v>
      </c>
      <c r="H42">
        <v>5.82999262139864E-2</v>
      </c>
      <c r="I42">
        <v>1.8324243793691699</v>
      </c>
      <c r="J42">
        <v>9.1508980017012007E-2</v>
      </c>
      <c r="K42">
        <v>0.119742292884294</v>
      </c>
      <c r="L42">
        <v>7.0736383225028093E-2</v>
      </c>
      <c r="M42">
        <v>1.69279637189488</v>
      </c>
      <c r="N42">
        <v>0.115990746512624</v>
      </c>
      <c r="AB42" t="str">
        <f t="shared" si="0"/>
        <v/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0.12639042252997301</v>
      </c>
      <c r="D43">
        <v>5.4559635976475201E-2</v>
      </c>
      <c r="E43">
        <v>2.31655545840646</v>
      </c>
      <c r="F43">
        <v>3.8805060849099203E-2</v>
      </c>
      <c r="G43">
        <v>0.13781316713657399</v>
      </c>
      <c r="H43">
        <v>6.0437027734205499E-2</v>
      </c>
      <c r="I43">
        <v>2.2802770470887399</v>
      </c>
      <c r="J43">
        <v>4.14579179111342E-2</v>
      </c>
      <c r="K43">
        <v>0.141704226136453</v>
      </c>
      <c r="L43">
        <v>6.7138956389923898E-2</v>
      </c>
      <c r="M43">
        <v>2.11061109311076</v>
      </c>
      <c r="N43">
        <v>5.6277878376760598E-2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0.13044127890896801</v>
      </c>
      <c r="D44">
        <v>5.2743915808601202E-2</v>
      </c>
      <c r="E44">
        <v>2.47310570156219</v>
      </c>
      <c r="F44">
        <v>2.8791666996053501E-2</v>
      </c>
      <c r="G44">
        <v>0.14100887670338999</v>
      </c>
      <c r="H44">
        <v>5.7754246207190003E-2</v>
      </c>
      <c r="I44">
        <v>2.44153263116843</v>
      </c>
      <c r="J44">
        <v>3.05287344911572E-2</v>
      </c>
      <c r="K44">
        <v>0.14409634513849201</v>
      </c>
      <c r="L44">
        <v>6.3409204750209405E-2</v>
      </c>
      <c r="M44">
        <v>2.2724830835860002</v>
      </c>
      <c r="N44">
        <v>4.1648286167381303E-2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1.7519545136016E-4</v>
      </c>
      <c r="D45">
        <v>1.21682960755962E-4</v>
      </c>
      <c r="E45">
        <v>1.43976979415811</v>
      </c>
      <c r="F45">
        <v>0.20343875184343299</v>
      </c>
      <c r="G45">
        <v>2.8705528411078799E-4</v>
      </c>
      <c r="H45">
        <v>1.07214959976368E-4</v>
      </c>
      <c r="I45">
        <v>2.67738088205284</v>
      </c>
      <c r="J45">
        <v>4.0569872370267601E-2</v>
      </c>
      <c r="K45">
        <v>2.1513809642253399E-4</v>
      </c>
      <c r="L45">
        <v>2.41089498018952E-4</v>
      </c>
      <c r="M45">
        <v>0.89235780981891799</v>
      </c>
      <c r="N45">
        <v>0.41150744701379899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-6.3460187647593801E-3</v>
      </c>
      <c r="D46">
        <v>5.5420358757884399E-3</v>
      </c>
      <c r="E46">
        <v>-1.14506995389245</v>
      </c>
      <c r="F46">
        <v>0.27175533772739502</v>
      </c>
      <c r="G46">
        <v>-6.1137707251667896E-3</v>
      </c>
      <c r="H46">
        <v>5.9385277110557003E-3</v>
      </c>
      <c r="I46">
        <v>-1.02950950515645</v>
      </c>
      <c r="J46">
        <v>0.321032342206026</v>
      </c>
      <c r="K46">
        <v>-1.7903128086835401E-2</v>
      </c>
      <c r="L46">
        <v>1.00750574190199E-2</v>
      </c>
      <c r="M46">
        <v>-1.7769752907847001</v>
      </c>
      <c r="N46">
        <v>9.7629993967056405E-2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-5.2175652158715197E-2</v>
      </c>
      <c r="D47">
        <v>1.2757385141036401E-2</v>
      </c>
      <c r="E47">
        <v>-4.08983906826509</v>
      </c>
      <c r="F47">
        <v>1.0611304767119501E-3</v>
      </c>
      <c r="G47">
        <v>-6.0284767353999902E-2</v>
      </c>
      <c r="H47">
        <v>1.3767787434167201E-2</v>
      </c>
      <c r="I47">
        <v>-4.3786823149515302</v>
      </c>
      <c r="J47">
        <v>6.0195197069240404E-4</v>
      </c>
      <c r="K47">
        <v>-6.9616510154417097E-2</v>
      </c>
      <c r="L47">
        <v>1.68365017308463E-2</v>
      </c>
      <c r="M47">
        <v>-4.13485599724509</v>
      </c>
      <c r="N47">
        <v>9.7016043657364005E-4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1.7624207721787201E-3</v>
      </c>
      <c r="D48">
        <v>9.2180703829383807E-3</v>
      </c>
      <c r="E48">
        <v>0.19119194136776901</v>
      </c>
      <c r="F48">
        <v>0.85267059029016401</v>
      </c>
      <c r="G48">
        <v>1.6073166054247101E-4</v>
      </c>
      <c r="H48">
        <v>1.0673670047493901E-2</v>
      </c>
      <c r="I48">
        <v>1.50587061270654E-2</v>
      </c>
      <c r="J48">
        <v>0.98832163696637498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-6.2904133075880997E-2</v>
      </c>
      <c r="D49">
        <v>3.1073412275057399E-2</v>
      </c>
      <c r="E49">
        <v>-2.0243715919919798</v>
      </c>
      <c r="F49">
        <v>6.4565060425677598E-2</v>
      </c>
      <c r="G49">
        <v>-8.4179956572350306E-2</v>
      </c>
      <c r="H49">
        <v>3.9949541722726398E-2</v>
      </c>
      <c r="I49">
        <v>-2.1071570021155499</v>
      </c>
      <c r="J49">
        <v>5.5416342199883603E-2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4.1542318009117098E-4</v>
      </c>
      <c r="D50">
        <v>8.3646511998251398E-3</v>
      </c>
      <c r="E50">
        <v>4.9664136634873103E-2</v>
      </c>
      <c r="F50">
        <v>0.96137196648357603</v>
      </c>
      <c r="G50">
        <v>1.91169599972823E-3</v>
      </c>
      <c r="H50">
        <v>9.6561124816015101E-3</v>
      </c>
      <c r="I50">
        <v>0.19797780974183199</v>
      </c>
      <c r="J50">
        <v>0.84760057615490703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-5.0621528361554403E-3</v>
      </c>
      <c r="D51">
        <v>7.0483899328505897E-3</v>
      </c>
      <c r="E51">
        <v>-0.71819988456685002</v>
      </c>
      <c r="F51">
        <v>0.485557551056854</v>
      </c>
      <c r="G51">
        <v>-7.2058488585120001E-3</v>
      </c>
      <c r="H51">
        <v>9.3770602874417904E-3</v>
      </c>
      <c r="I51">
        <v>-0.76845499950154095</v>
      </c>
      <c r="J51">
        <v>0.45749464217355401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2.3166263565669001E-2</v>
      </c>
      <c r="D52">
        <v>1.27363812938097E-2</v>
      </c>
      <c r="E52">
        <v>1.81890468189175</v>
      </c>
      <c r="F52">
        <v>0.10790558140432201</v>
      </c>
      <c r="G52">
        <v>3.8453609131081902E-2</v>
      </c>
      <c r="H52">
        <v>1.5456944463447701E-2</v>
      </c>
      <c r="I52">
        <v>2.4877885290987698</v>
      </c>
      <c r="J52">
        <v>3.8594748463410697E-2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-7.6740082442759401E-3</v>
      </c>
      <c r="D53">
        <v>1.1188406241758E-2</v>
      </c>
      <c r="E53">
        <v>-0.68588931063609004</v>
      </c>
      <c r="F53">
        <v>0.50684121042011498</v>
      </c>
      <c r="G53">
        <v>-5.9663789945783802E-3</v>
      </c>
      <c r="H53">
        <v>1.4472616924120199E-2</v>
      </c>
      <c r="I53">
        <v>-0.412252948161348</v>
      </c>
      <c r="J53">
        <v>0.687875520994082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1.3695894380472E-2</v>
      </c>
      <c r="D54">
        <v>7.6024351422316998E-3</v>
      </c>
      <c r="E54">
        <v>1.8015141364891101</v>
      </c>
      <c r="F54">
        <v>9.5263814610471897E-2</v>
      </c>
      <c r="G54">
        <v>1.3458801348558799E-2</v>
      </c>
      <c r="H54">
        <v>1.07029280155558E-2</v>
      </c>
      <c r="I54">
        <v>1.2574877948349801</v>
      </c>
      <c r="J54">
        <v>0.230835759843566</v>
      </c>
      <c r="AB54" t="str">
        <f t="shared" si="0"/>
        <v>*</v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2.48393326100802E-6</v>
      </c>
      <c r="D55">
        <v>5.81278742360709E-6</v>
      </c>
      <c r="E55">
        <v>0.42732222598063402</v>
      </c>
      <c r="F55">
        <v>0.67800918333518601</v>
      </c>
      <c r="G55">
        <v>5.4512891920922601E-6</v>
      </c>
      <c r="H55">
        <v>7.2180727737136403E-6</v>
      </c>
      <c r="I55">
        <v>0.75522779597684997</v>
      </c>
      <c r="J55">
        <v>0.47139539386354201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1.2533497779562E-5</v>
      </c>
      <c r="D56">
        <v>2.92964250107637E-6</v>
      </c>
      <c r="E56">
        <v>4.2781662864861802</v>
      </c>
      <c r="F56">
        <v>8.62958125567344E-4</v>
      </c>
      <c r="G56">
        <v>1.5693506323176101E-5</v>
      </c>
      <c r="H56">
        <v>3.5648320360472499E-6</v>
      </c>
      <c r="I56">
        <v>4.40231297421166</v>
      </c>
      <c r="J56">
        <v>8.4045391279644196E-4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-0.29812643258571597</v>
      </c>
      <c r="D57">
        <v>0.23577270400602299</v>
      </c>
      <c r="E57">
        <v>-1.2644654258963799</v>
      </c>
      <c r="F57">
        <v>0.26934447402252099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-0.20047535454421</v>
      </c>
      <c r="D58">
        <v>6.1503107273749899E-2</v>
      </c>
      <c r="E58">
        <v>-3.2595971720891499</v>
      </c>
      <c r="F58">
        <v>7.4085767786830096E-3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-0.64216964995457804</v>
      </c>
      <c r="D59">
        <v>0.15008409914196899</v>
      </c>
      <c r="E59">
        <v>-4.2787320817186103</v>
      </c>
      <c r="F59">
        <v>9.1675508733998399E-4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8.5802932731407405E-2</v>
      </c>
      <c r="D60">
        <v>4.6876632863430197E-2</v>
      </c>
      <c r="E60">
        <v>1.83039880405627</v>
      </c>
      <c r="F60">
        <v>8.6640411836573894E-2</v>
      </c>
      <c r="AB60" t="str">
        <f t="shared" si="0"/>
        <v>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-0.72238265371789101</v>
      </c>
      <c r="D61">
        <v>0.11089256969468</v>
      </c>
      <c r="E61">
        <v>-6.5142565972347999</v>
      </c>
      <c r="F61">
        <v>1.77374226168156E-5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1548-9780-4D37-9CC0-FD18615336BD}">
  <sheetPr codeName="Sheet20"/>
  <dimension ref="A1:AG66"/>
  <sheetViews>
    <sheetView topLeftCell="J1" workbookViewId="0">
      <selection activeCell="AB2" sqref="AB2"/>
    </sheetView>
  </sheetViews>
  <sheetFormatPr defaultColWidth="11.42578125" defaultRowHeight="15" x14ac:dyDescent="0.25"/>
  <sheetData>
    <row r="1" spans="1:33" x14ac:dyDescent="0.25"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281</v>
      </c>
      <c r="J1" t="s">
        <v>282</v>
      </c>
      <c r="K1" t="s">
        <v>283</v>
      </c>
      <c r="L1" t="s">
        <v>284</v>
      </c>
      <c r="M1" t="s">
        <v>285</v>
      </c>
      <c r="N1" t="s">
        <v>286</v>
      </c>
      <c r="O1" t="s">
        <v>287</v>
      </c>
      <c r="P1" t="s">
        <v>288</v>
      </c>
      <c r="Q1" t="s">
        <v>289</v>
      </c>
      <c r="R1" t="s">
        <v>290</v>
      </c>
      <c r="S1" t="s">
        <v>291</v>
      </c>
      <c r="T1" t="s">
        <v>292</v>
      </c>
      <c r="U1" t="s">
        <v>293</v>
      </c>
      <c r="V1" t="s">
        <v>294</v>
      </c>
      <c r="W1" t="s">
        <v>295</v>
      </c>
      <c r="X1" t="s">
        <v>296</v>
      </c>
      <c r="Y1" t="s">
        <v>297</v>
      </c>
      <c r="Z1" t="s">
        <v>298</v>
      </c>
    </row>
    <row r="2" spans="1:33" x14ac:dyDescent="0.25">
      <c r="A2">
        <v>119</v>
      </c>
      <c r="B2" t="s">
        <v>273</v>
      </c>
      <c r="C2">
        <v>-0.88429526902436295</v>
      </c>
      <c r="D2">
        <v>15.6303090194415</v>
      </c>
      <c r="E2">
        <v>-5.6575674090924698E-2</v>
      </c>
      <c r="F2">
        <v>0.95591139863184404</v>
      </c>
      <c r="G2">
        <v>-9.9358247885956406</v>
      </c>
      <c r="H2">
        <v>19.259272743899601</v>
      </c>
      <c r="I2">
        <v>-0.51589823357908704</v>
      </c>
      <c r="J2">
        <v>0.61908393841341103</v>
      </c>
      <c r="K2">
        <v>12.870647830517999</v>
      </c>
      <c r="L2">
        <v>0.18639138068246999</v>
      </c>
      <c r="M2">
        <v>69.051732882669896</v>
      </c>
      <c r="N2">
        <v>7.1165301294670902E-17</v>
      </c>
      <c r="O2">
        <v>13.087279153428501</v>
      </c>
      <c r="P2">
        <v>8.1448541910204605E-2</v>
      </c>
      <c r="Q2">
        <v>160.68156466026099</v>
      </c>
      <c r="R2">
        <v>1.2840524547732801E-22</v>
      </c>
      <c r="S2">
        <v>13.6813549724876</v>
      </c>
      <c r="T2">
        <v>7.5068912306226102E-2</v>
      </c>
      <c r="U2">
        <v>182.250608836287</v>
      </c>
      <c r="V2">
        <v>6.2983671637933005E-23</v>
      </c>
      <c r="W2">
        <v>13.849427339645599</v>
      </c>
      <c r="X2">
        <v>8.8342803431386896E-2</v>
      </c>
      <c r="Y2">
        <v>156.76916287133699</v>
      </c>
      <c r="Z2">
        <v>4.9181143530236398E-21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3.7347934370099999E-2</v>
      </c>
      <c r="D3">
        <v>1.07675107033929E-2</v>
      </c>
      <c r="E3">
        <v>3.4685764796436702</v>
      </c>
      <c r="F3">
        <v>5.0101980102146802E-3</v>
      </c>
      <c r="G3">
        <v>4.4167854721487598E-2</v>
      </c>
      <c r="H3">
        <v>1.1265387217427E-2</v>
      </c>
      <c r="I3">
        <v>3.9206690253098402</v>
      </c>
      <c r="J3">
        <v>2.2460071692531102E-3</v>
      </c>
      <c r="K3">
        <v>5.4860296759163103E-2</v>
      </c>
      <c r="L3">
        <v>1.56089484061625E-2</v>
      </c>
      <c r="M3">
        <v>3.51466961973582</v>
      </c>
      <c r="N3">
        <v>4.6077008516496303E-3</v>
      </c>
      <c r="O3">
        <v>5.3808447141227199E-2</v>
      </c>
      <c r="P3">
        <v>1.45030759680497E-2</v>
      </c>
      <c r="Q3">
        <v>3.7101403357306499</v>
      </c>
      <c r="R3">
        <v>3.2572389982839902E-3</v>
      </c>
      <c r="S3">
        <v>8.9352599972584101E-2</v>
      </c>
      <c r="T3">
        <v>2.0175374905004099E-2</v>
      </c>
      <c r="U3">
        <v>4.4287950233044704</v>
      </c>
      <c r="V3">
        <v>9.3699113717484101E-4</v>
      </c>
      <c r="W3">
        <v>0.16406812260794801</v>
      </c>
      <c r="X3">
        <v>1.6515855461472499E-2</v>
      </c>
      <c r="Y3">
        <v>9.9339766559885003</v>
      </c>
      <c r="Z3">
        <v>1.55449179177802E-7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1.0907007007679101E-4</v>
      </c>
      <c r="D4">
        <v>5.0114589536892802E-5</v>
      </c>
      <c r="E4">
        <v>2.17641351719538</v>
      </c>
      <c r="F4">
        <v>4.6661003734351898E-2</v>
      </c>
      <c r="G4">
        <v>1.9087794030093699E-4</v>
      </c>
      <c r="H4">
        <v>7.7001923765093895E-5</v>
      </c>
      <c r="I4">
        <v>2.47887235756914</v>
      </c>
      <c r="J4">
        <v>2.6216910753662E-2</v>
      </c>
      <c r="K4">
        <v>2.8901020328856401E-4</v>
      </c>
      <c r="L4">
        <v>1.31276797834055E-4</v>
      </c>
      <c r="M4">
        <v>2.2015330055041198</v>
      </c>
      <c r="N4">
        <v>4.45313618572672E-2</v>
      </c>
      <c r="O4">
        <v>2.6170746529762602E-4</v>
      </c>
      <c r="P4">
        <v>1.5176548283411801E-4</v>
      </c>
      <c r="Q4">
        <v>1.7244202068244801</v>
      </c>
      <c r="R4">
        <v>0.10601415488638601</v>
      </c>
      <c r="S4">
        <v>1.8224259498767199E-3</v>
      </c>
      <c r="T4">
        <v>2.8204150802145001E-4</v>
      </c>
      <c r="U4">
        <v>6.4615522823616303</v>
      </c>
      <c r="V4">
        <v>1.4722457996067201E-5</v>
      </c>
      <c r="AB4" t="str">
        <f t="shared" si="0"/>
        <v>**</v>
      </c>
      <c r="AC4" t="str">
        <f t="shared" si="1"/>
        <v>**</v>
      </c>
      <c r="AD4" t="str">
        <f t="shared" si="2"/>
        <v>**</v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2.7189223133972699E-2</v>
      </c>
      <c r="D5">
        <v>7.4201186098001104E-3</v>
      </c>
      <c r="E5">
        <v>3.6642572125548698</v>
      </c>
      <c r="F5">
        <v>3.2806687879493499E-3</v>
      </c>
      <c r="G5">
        <v>2.8469056355033499E-2</v>
      </c>
      <c r="H5">
        <v>6.2213910546256596E-3</v>
      </c>
      <c r="I5">
        <v>4.5759953208320603</v>
      </c>
      <c r="J5">
        <v>6.47638471166634E-4</v>
      </c>
      <c r="K5">
        <v>2.36967465468138E-2</v>
      </c>
      <c r="L5">
        <v>1.0364097595516399E-2</v>
      </c>
      <c r="M5">
        <v>2.2864264185494698</v>
      </c>
      <c r="N5">
        <v>4.13470865276429E-2</v>
      </c>
      <c r="O5">
        <v>2.24732323900757E-2</v>
      </c>
      <c r="P5">
        <v>1.1929699546504E-2</v>
      </c>
      <c r="Q5">
        <v>1.88380539698182</v>
      </c>
      <c r="R5">
        <v>8.4231284258297304E-2</v>
      </c>
      <c r="S5">
        <v>8.7431597224728097E-2</v>
      </c>
      <c r="T5">
        <v>1.6188405366132402E-2</v>
      </c>
      <c r="U5">
        <v>5.4008776804936396</v>
      </c>
      <c r="V5">
        <v>1.6435915985146501E-4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3.1420218554456397E-2</v>
      </c>
      <c r="D6">
        <v>1.13260262526323E-2</v>
      </c>
      <c r="E6">
        <v>2.77416084455517</v>
      </c>
      <c r="F6">
        <v>1.67627269235033E-2</v>
      </c>
      <c r="G6">
        <v>3.62543170516978E-2</v>
      </c>
      <c r="H6">
        <v>8.2050884490411508E-3</v>
      </c>
      <c r="I6">
        <v>4.4185162995938798</v>
      </c>
      <c r="J6">
        <v>8.3439722574224604E-4</v>
      </c>
      <c r="K6">
        <v>3.0977255850109998E-2</v>
      </c>
      <c r="L6">
        <v>1.23081361168129E-2</v>
      </c>
      <c r="M6">
        <v>2.5168112828875202</v>
      </c>
      <c r="N6">
        <v>2.7049003512961599E-2</v>
      </c>
      <c r="O6">
        <v>3.1592559026956797E-2</v>
      </c>
      <c r="P6">
        <v>1.2818326090964401E-2</v>
      </c>
      <c r="Q6">
        <v>2.4646399851870102</v>
      </c>
      <c r="R6">
        <v>2.9773248486440501E-2</v>
      </c>
      <c r="S6">
        <v>0.120051156518278</v>
      </c>
      <c r="T6">
        <v>1.6598343589269499E-2</v>
      </c>
      <c r="U6">
        <v>7.23271908866188</v>
      </c>
      <c r="V6">
        <v>1.03659037047662E-5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1.14370288648385E-2</v>
      </c>
      <c r="D7">
        <v>1.16424448214172E-2</v>
      </c>
      <c r="E7">
        <v>0.98235628686846999</v>
      </c>
      <c r="F7">
        <v>0.34473956035382203</v>
      </c>
      <c r="G7">
        <v>1.49844440632934E-2</v>
      </c>
      <c r="H7">
        <v>8.8116058414838602E-3</v>
      </c>
      <c r="I7">
        <v>1.7005349913348</v>
      </c>
      <c r="J7">
        <v>0.114041935096451</v>
      </c>
      <c r="K7">
        <v>5.8520201796497303E-3</v>
      </c>
      <c r="L7">
        <v>9.7512953542976798E-3</v>
      </c>
      <c r="M7">
        <v>0.60012746686731899</v>
      </c>
      <c r="N7">
        <v>0.55927664317245496</v>
      </c>
      <c r="O7">
        <v>8.7298094602291706E-3</v>
      </c>
      <c r="P7">
        <v>9.9457465454261904E-3</v>
      </c>
      <c r="Q7">
        <v>0.87774300504810299</v>
      </c>
      <c r="R7">
        <v>0.396862047684852</v>
      </c>
      <c r="S7">
        <v>8.9360242854670202E-2</v>
      </c>
      <c r="T7">
        <v>1.20932668657226E-2</v>
      </c>
      <c r="U7">
        <v>7.3892558435103002</v>
      </c>
      <c r="V7">
        <v>7.1740419022419897E-6</v>
      </c>
      <c r="AB7" t="str">
        <f t="shared" si="0"/>
        <v/>
      </c>
      <c r="AC7" t="str">
        <f t="shared" si="1"/>
        <v/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-8.9368493352300603E-4</v>
      </c>
      <c r="D8">
        <v>1.6895364762187701E-2</v>
      </c>
      <c r="E8">
        <v>-5.2895273117932302E-2</v>
      </c>
      <c r="F8">
        <v>0.95874349201708697</v>
      </c>
      <c r="G8">
        <v>-1.1868214018988599E-3</v>
      </c>
      <c r="H8">
        <v>1.5364751380197401E-2</v>
      </c>
      <c r="I8">
        <v>-7.7243124378079397E-2</v>
      </c>
      <c r="J8">
        <v>0.93978753727467201</v>
      </c>
      <c r="K8">
        <v>-1.42286677622746E-2</v>
      </c>
      <c r="L8">
        <v>1.6589790445051801E-2</v>
      </c>
      <c r="M8">
        <v>-0.85767615988895696</v>
      </c>
      <c r="N8">
        <v>0.40898700933127202</v>
      </c>
      <c r="O8">
        <v>-1.05741719997986E-2</v>
      </c>
      <c r="P8">
        <v>1.6532875098906399E-2</v>
      </c>
      <c r="Q8">
        <v>-0.63958458141972196</v>
      </c>
      <c r="R8">
        <v>0.53528326670622495</v>
      </c>
      <c r="S8">
        <v>6.1255198078430502E-2</v>
      </c>
      <c r="T8">
        <v>2.4102201387116901E-2</v>
      </c>
      <c r="U8">
        <v>2.5414773154776</v>
      </c>
      <c r="V8">
        <v>2.7076265294447101E-2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0.12742827002985199</v>
      </c>
      <c r="D9">
        <v>1.9260896869430302E-2</v>
      </c>
      <c r="E9">
        <v>6.6159053181006602</v>
      </c>
      <c r="F9">
        <v>2.7504308945954898E-5</v>
      </c>
      <c r="G9">
        <v>0.122139303078221</v>
      </c>
      <c r="H9">
        <v>1.7628814585595801E-2</v>
      </c>
      <c r="I9">
        <v>6.9283900222093804</v>
      </c>
      <c r="J9">
        <v>1.76875259734401E-5</v>
      </c>
      <c r="K9">
        <v>0.110527855103196</v>
      </c>
      <c r="L9">
        <v>1.7154514723493899E-2</v>
      </c>
      <c r="M9">
        <v>6.4430767576201697</v>
      </c>
      <c r="N9">
        <v>3.5170135544389301E-5</v>
      </c>
      <c r="O9">
        <v>0.114724884041131</v>
      </c>
      <c r="P9">
        <v>1.6862348225098699E-2</v>
      </c>
      <c r="Q9">
        <v>6.8036125520388504</v>
      </c>
      <c r="R9">
        <v>2.1193917692900199E-5</v>
      </c>
      <c r="S9">
        <v>0.23626922722760299</v>
      </c>
      <c r="T9">
        <v>2.7564002081958E-2</v>
      </c>
      <c r="U9">
        <v>8.5716590256047098</v>
      </c>
      <c r="V9">
        <v>2.1804528403207698E-6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0.17255465530487499</v>
      </c>
      <c r="D10">
        <v>2.0261434437535301E-2</v>
      </c>
      <c r="E10">
        <v>8.5164086401113508</v>
      </c>
      <c r="F10">
        <v>2.1344053300673098E-6</v>
      </c>
      <c r="G10">
        <v>0.16874746088208001</v>
      </c>
      <c r="H10">
        <v>1.92128016749669E-2</v>
      </c>
      <c r="I10">
        <v>8.7830741053215302</v>
      </c>
      <c r="J10">
        <v>1.5495965842059599E-6</v>
      </c>
      <c r="K10">
        <v>0.13790312930741</v>
      </c>
      <c r="L10">
        <v>1.99485131742786E-2</v>
      </c>
      <c r="M10">
        <v>6.9129527650823004</v>
      </c>
      <c r="N10">
        <v>1.7230503427018699E-5</v>
      </c>
      <c r="O10">
        <v>0.13527478865227099</v>
      </c>
      <c r="P10">
        <v>2.03385997514316E-2</v>
      </c>
      <c r="Q10">
        <v>6.6511357864127003</v>
      </c>
      <c r="R10">
        <v>2.5207960287199301E-5</v>
      </c>
      <c r="S10">
        <v>0.24978643319803201</v>
      </c>
      <c r="T10">
        <v>2.3899761009616299E-2</v>
      </c>
      <c r="U10">
        <v>10.4514197065622</v>
      </c>
      <c r="V10">
        <v>2.5422422185333399E-7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212</v>
      </c>
      <c r="C11">
        <v>0.14320314365838299</v>
      </c>
      <c r="D11">
        <v>3.5640016573290301E-2</v>
      </c>
      <c r="E11">
        <v>4.0180436887255304</v>
      </c>
      <c r="F11">
        <v>1.11197308149039E-3</v>
      </c>
      <c r="G11">
        <v>0.14291525101484401</v>
      </c>
      <c r="H11">
        <v>3.2708397557999799E-2</v>
      </c>
      <c r="I11">
        <v>4.3693748910022698</v>
      </c>
      <c r="J11">
        <v>5.4574446332356899E-4</v>
      </c>
      <c r="K11">
        <v>0.113179342585931</v>
      </c>
      <c r="L11">
        <v>5.0109995712236698E-2</v>
      </c>
      <c r="M11">
        <v>2.25861808561866</v>
      </c>
      <c r="N11">
        <v>3.9173754064734702E-2</v>
      </c>
      <c r="O11">
        <v>1.8016153532402501E-2</v>
      </c>
      <c r="P11">
        <v>4.1800192177375801E-2</v>
      </c>
      <c r="Q11">
        <v>0.431006476141363</v>
      </c>
      <c r="R11">
        <v>0.67318172096117701</v>
      </c>
      <c r="S11">
        <v>0.192230992762667</v>
      </c>
      <c r="T11">
        <v>5.0518725045571797E-2</v>
      </c>
      <c r="U11">
        <v>3.8051433916683299</v>
      </c>
      <c r="V11">
        <v>2.0147206217763598E-3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-3.3629813808461299E-2</v>
      </c>
      <c r="D12">
        <v>5.28698292103226E-3</v>
      </c>
      <c r="E12">
        <v>-6.3608705211960999</v>
      </c>
      <c r="F12">
        <v>9.8834379158441493E-6</v>
      </c>
      <c r="G12">
        <v>-4.6673836053725201E-2</v>
      </c>
      <c r="H12">
        <v>7.8377605449917297E-3</v>
      </c>
      <c r="I12">
        <v>-5.9549964286098902</v>
      </c>
      <c r="J12">
        <v>2.1845130771747599E-5</v>
      </c>
      <c r="K12">
        <v>-7.1735827902873403E-2</v>
      </c>
      <c r="L12">
        <v>9.3750679810342807E-3</v>
      </c>
      <c r="M12">
        <v>-7.6517661576422302</v>
      </c>
      <c r="N12">
        <v>1.23905620518845E-6</v>
      </c>
      <c r="O12">
        <v>-7.1408413462483999E-2</v>
      </c>
      <c r="P12">
        <v>9.4544214252639605E-3</v>
      </c>
      <c r="Q12">
        <v>-7.5529120451165399</v>
      </c>
      <c r="R12">
        <v>1.4189251123316099E-6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7.0386728414756503E-2</v>
      </c>
      <c r="D13">
        <v>6.2587286596237999E-3</v>
      </c>
      <c r="E13">
        <v>11.246170307531299</v>
      </c>
      <c r="F13">
        <v>9.8155009721862601E-9</v>
      </c>
      <c r="G13">
        <v>7.9723634246414599E-2</v>
      </c>
      <c r="H13">
        <v>6.9772400224952496E-3</v>
      </c>
      <c r="I13">
        <v>11.426242180199999</v>
      </c>
      <c r="J13">
        <v>7.8991864647075203E-9</v>
      </c>
      <c r="K13">
        <v>0.10775842660216201</v>
      </c>
      <c r="L13">
        <v>1.6147734230589499E-2</v>
      </c>
      <c r="M13">
        <v>6.6732846270178001</v>
      </c>
      <c r="N13">
        <v>7.4948217621411002E-6</v>
      </c>
      <c r="O13">
        <v>0.10543715562033699</v>
      </c>
      <c r="P13">
        <v>1.6537581461516099E-2</v>
      </c>
      <c r="Q13">
        <v>6.37560914609519</v>
      </c>
      <c r="R13">
        <v>1.26983295497501E-5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4.2486547257482299E-2</v>
      </c>
      <c r="D14">
        <v>6.68445577666015E-3</v>
      </c>
      <c r="E14">
        <v>6.3560218927367096</v>
      </c>
      <c r="F14">
        <v>1.29183356763321E-5</v>
      </c>
      <c r="G14">
        <v>4.7372069581897699E-2</v>
      </c>
      <c r="H14">
        <v>8.2482586136614199E-3</v>
      </c>
      <c r="I14">
        <v>5.7432813155781002</v>
      </c>
      <c r="J14">
        <v>3.87230994304426E-5</v>
      </c>
      <c r="K14">
        <v>3.4621912902494001E-2</v>
      </c>
      <c r="L14">
        <v>8.5543335501291392E-3</v>
      </c>
      <c r="M14">
        <v>4.04729517496677</v>
      </c>
      <c r="N14">
        <v>1.05127848490891E-3</v>
      </c>
      <c r="O14">
        <v>3.2502304224539397E-2</v>
      </c>
      <c r="P14">
        <v>1.0402247365194401E-2</v>
      </c>
      <c r="Q14">
        <v>3.1245463680561198</v>
      </c>
      <c r="R14">
        <v>7.0771920883691301E-3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-4.52947100251299E-2</v>
      </c>
      <c r="D15">
        <v>9.1603618301987003E-3</v>
      </c>
      <c r="E15">
        <v>-4.9446420201228403</v>
      </c>
      <c r="F15">
        <v>1.5766070094309901E-4</v>
      </c>
      <c r="G15">
        <v>-5.25371233038237E-2</v>
      </c>
      <c r="H15">
        <v>1.00144305061799E-2</v>
      </c>
      <c r="I15">
        <v>-5.2461418820973398</v>
      </c>
      <c r="J15">
        <v>8.8242695379457602E-5</v>
      </c>
      <c r="K15">
        <v>-4.2736036581792002E-2</v>
      </c>
      <c r="L15">
        <v>2.17789432659624E-2</v>
      </c>
      <c r="M15">
        <v>-1.9622640116145</v>
      </c>
      <c r="N15">
        <v>6.7987096715571294E-2</v>
      </c>
      <c r="O15">
        <v>-4.6479475558055601E-2</v>
      </c>
      <c r="P15">
        <v>2.5439529868521198E-2</v>
      </c>
      <c r="Q15">
        <v>-1.8270571743375299</v>
      </c>
      <c r="R15">
        <v>8.7171615301733896E-2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-7.9190260711616695E-2</v>
      </c>
      <c r="D16">
        <v>1.8400375337623499E-2</v>
      </c>
      <c r="E16">
        <v>-4.3037307260626996</v>
      </c>
      <c r="F16">
        <v>8.0964233028599599E-4</v>
      </c>
      <c r="G16">
        <v>-9.6042967038684299E-2</v>
      </c>
      <c r="H16">
        <v>2.05878888296511E-2</v>
      </c>
      <c r="I16">
        <v>-4.66502261758676</v>
      </c>
      <c r="J16">
        <v>4.1349890042872002E-4</v>
      </c>
      <c r="K16">
        <v>-4.5997912659071501E-2</v>
      </c>
      <c r="L16">
        <v>4.0931874006162501E-2</v>
      </c>
      <c r="M16">
        <v>-1.12376757174974</v>
      </c>
      <c r="N16">
        <v>0.28112549569058298</v>
      </c>
      <c r="O16">
        <v>-3.4016201833714801E-2</v>
      </c>
      <c r="P16">
        <v>4.5378935618996301E-2</v>
      </c>
      <c r="Q16">
        <v>-0.74960334282223895</v>
      </c>
      <c r="R16">
        <v>0.46659824578444098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1.7922224111133401E-4</v>
      </c>
      <c r="D17">
        <v>9.60578749839701E-6</v>
      </c>
      <c r="E17">
        <v>18.657735364356299</v>
      </c>
      <c r="F17">
        <v>5.2296478129945298E-11</v>
      </c>
      <c r="G17">
        <v>1.9646975674877899E-4</v>
      </c>
      <c r="H17">
        <v>1.15766645955097E-5</v>
      </c>
      <c r="I17">
        <v>16.971188473835898</v>
      </c>
      <c r="J17">
        <v>2.1047399251932999E-10</v>
      </c>
      <c r="K17">
        <v>2.47691951821666E-4</v>
      </c>
      <c r="L17">
        <v>1.6839110768959502E-5</v>
      </c>
      <c r="M17">
        <v>14.709324929333601</v>
      </c>
      <c r="N17">
        <v>1.22822694642292E-9</v>
      </c>
      <c r="O17">
        <v>2.5501673807123401E-4</v>
      </c>
      <c r="P17">
        <v>1.6089227645586698E-5</v>
      </c>
      <c r="Q17">
        <v>15.8501541334824</v>
      </c>
      <c r="R17">
        <v>3.9440209440108699E-10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-1.1075805671209699E-3</v>
      </c>
      <c r="D18">
        <v>9.0770133087756104E-4</v>
      </c>
      <c r="E18">
        <v>-1.2202037492334299</v>
      </c>
      <c r="F18">
        <v>0.242531041526831</v>
      </c>
      <c r="G18">
        <v>-1.86658002417884E-3</v>
      </c>
      <c r="H18">
        <v>9.912891822715091E-4</v>
      </c>
      <c r="I18">
        <v>-1.8829823401296699</v>
      </c>
      <c r="J18">
        <v>8.0558665361540896E-2</v>
      </c>
      <c r="K18">
        <v>4.6489439328905296E-3</v>
      </c>
      <c r="L18">
        <v>1.97433261408E-3</v>
      </c>
      <c r="M18">
        <v>2.3546913522759398</v>
      </c>
      <c r="N18">
        <v>3.4292190754659002E-2</v>
      </c>
      <c r="O18">
        <v>4.3943417809774099E-3</v>
      </c>
      <c r="P18">
        <v>1.86240568579264E-3</v>
      </c>
      <c r="Q18">
        <v>2.3594976188591201</v>
      </c>
      <c r="R18">
        <v>3.5013992228413802E-2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2.24791592253685E-2</v>
      </c>
      <c r="D19">
        <v>9.65808317854259E-3</v>
      </c>
      <c r="E19">
        <v>2.3274969587454599</v>
      </c>
      <c r="F19">
        <v>3.60365296609928E-2</v>
      </c>
      <c r="G19">
        <v>3.1804527856145098E-2</v>
      </c>
      <c r="H19">
        <v>1.1209568758280299E-2</v>
      </c>
      <c r="I19">
        <v>2.8372659592860501</v>
      </c>
      <c r="J19">
        <v>1.32877512341048E-2</v>
      </c>
      <c r="K19">
        <v>4.0799719567445897E-3</v>
      </c>
      <c r="L19">
        <v>2.14521534684365E-2</v>
      </c>
      <c r="M19">
        <v>0.19018938880647199</v>
      </c>
      <c r="N19">
        <v>0.85195996413483599</v>
      </c>
      <c r="O19">
        <v>3.92484980387267E-3</v>
      </c>
      <c r="P19">
        <v>2.1552413659285698E-2</v>
      </c>
      <c r="Q19">
        <v>0.18210720459987501</v>
      </c>
      <c r="R19">
        <v>0.85822411569821699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-4.3779068869582903E-2</v>
      </c>
      <c r="D20">
        <v>1.29801273923878E-2</v>
      </c>
      <c r="E20">
        <v>-3.37277651799144</v>
      </c>
      <c r="F20">
        <v>7.7772695741324697E-3</v>
      </c>
      <c r="G20">
        <v>-5.72649099917273E-2</v>
      </c>
      <c r="H20">
        <v>1.4416959959057399E-2</v>
      </c>
      <c r="I20">
        <v>-3.9720516776320101</v>
      </c>
      <c r="J20">
        <v>2.9813013116696801E-3</v>
      </c>
      <c r="K20">
        <v>-2.7119115982292701E-2</v>
      </c>
      <c r="L20">
        <v>3.16344652829922E-2</v>
      </c>
      <c r="M20">
        <v>-0.85726487676315699</v>
      </c>
      <c r="N20">
        <v>0.41274373357835897</v>
      </c>
      <c r="O20">
        <v>-2.8694124238112399E-2</v>
      </c>
      <c r="P20">
        <v>3.22843959832948E-2</v>
      </c>
      <c r="Q20">
        <v>-0.88879235197585205</v>
      </c>
      <c r="R20">
        <v>0.39644883688169902</v>
      </c>
      <c r="AB20" t="str">
        <f t="shared" si="0"/>
        <v>***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224</v>
      </c>
      <c r="C21">
        <v>0.113807920736773</v>
      </c>
      <c r="D21">
        <v>1.0349030341249401E-2</v>
      </c>
      <c r="E21">
        <v>10.9969646415234</v>
      </c>
      <c r="F21">
        <v>5.5256018073430803E-8</v>
      </c>
      <c r="G21">
        <v>0.117923002940317</v>
      </c>
      <c r="H21">
        <v>1.15384829966029E-2</v>
      </c>
      <c r="I21">
        <v>10.219974582017</v>
      </c>
      <c r="J21">
        <v>1.3212156897076201E-7</v>
      </c>
      <c r="K21">
        <v>0.15591462563349401</v>
      </c>
      <c r="L21">
        <v>2.0935218718495199E-2</v>
      </c>
      <c r="M21">
        <v>7.4474801400451396</v>
      </c>
      <c r="N21">
        <v>4.6681933056569098E-6</v>
      </c>
      <c r="O21">
        <v>0.152294273419773</v>
      </c>
      <c r="P21">
        <v>2.18510664191389E-2</v>
      </c>
      <c r="Q21">
        <v>6.96964946691946</v>
      </c>
      <c r="R21">
        <v>9.0623041540568605E-6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226</v>
      </c>
      <c r="C22">
        <v>5.9540284925809303E-2</v>
      </c>
      <c r="D22">
        <v>4.45024334398764E-3</v>
      </c>
      <c r="E22">
        <v>13.379107685481801</v>
      </c>
      <c r="F22">
        <v>1.4172621942817201E-9</v>
      </c>
      <c r="G22">
        <v>6.2587389099236404E-2</v>
      </c>
      <c r="H22">
        <v>4.37460970174639E-3</v>
      </c>
      <c r="I22">
        <v>14.306965276068199</v>
      </c>
      <c r="J22">
        <v>5.7075800146338599E-10</v>
      </c>
      <c r="K22">
        <v>8.0329580408675799E-2</v>
      </c>
      <c r="L22">
        <v>1.1854712373853301E-2</v>
      </c>
      <c r="M22">
        <v>6.7761728733166402</v>
      </c>
      <c r="N22">
        <v>7.3576575775032998E-6</v>
      </c>
      <c r="O22">
        <v>7.7225340175866394E-2</v>
      </c>
      <c r="P22">
        <v>1.3610519782121199E-2</v>
      </c>
      <c r="Q22">
        <v>5.6739449640497899</v>
      </c>
      <c r="R22">
        <v>4.8845794251053697E-5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230</v>
      </c>
      <c r="C23">
        <v>-6.7870018640101198E-2</v>
      </c>
      <c r="D23">
        <v>9.2889579897227799E-3</v>
      </c>
      <c r="E23">
        <v>-7.3065266002055296</v>
      </c>
      <c r="F23">
        <v>1.64948030183688E-6</v>
      </c>
      <c r="G23">
        <v>-6.45172521517237E-2</v>
      </c>
      <c r="H23">
        <v>1.07824928923107E-2</v>
      </c>
      <c r="I23">
        <v>-5.9835190986059201</v>
      </c>
      <c r="J23">
        <v>1.8228309441194699E-5</v>
      </c>
      <c r="K23">
        <v>-6.3149932358207303E-2</v>
      </c>
      <c r="L23">
        <v>1.7509870655004801E-2</v>
      </c>
      <c r="M23">
        <v>-3.6065333435319902</v>
      </c>
      <c r="N23">
        <v>2.3298275855394299E-3</v>
      </c>
      <c r="O23">
        <v>-6.4205819013628498E-2</v>
      </c>
      <c r="P23">
        <v>1.8579026318923001E-2</v>
      </c>
      <c r="Q23">
        <v>-3.45582259863823</v>
      </c>
      <c r="R23">
        <v>3.1945934156696301E-3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1.9964187472603701E-2</v>
      </c>
      <c r="D24">
        <v>1.33254998179206E-2</v>
      </c>
      <c r="E24">
        <v>1.4981942700382</v>
      </c>
      <c r="F24">
        <v>0.15811819809987501</v>
      </c>
      <c r="G24">
        <v>2.5840165238934801E-2</v>
      </c>
      <c r="H24">
        <v>1.3853754080112701E-2</v>
      </c>
      <c r="I24">
        <v>1.86521033140244</v>
      </c>
      <c r="J24">
        <v>8.5032804155626404E-2</v>
      </c>
      <c r="K24">
        <v>3.8305459147965702E-2</v>
      </c>
      <c r="L24">
        <v>1.8301589343820899E-2</v>
      </c>
      <c r="M24">
        <v>2.09301271208441</v>
      </c>
      <c r="N24">
        <v>5.6734704791136202E-2</v>
      </c>
      <c r="AB24" t="str">
        <f t="shared" si="0"/>
        <v/>
      </c>
      <c r="AC24" t="str">
        <f t="shared" si="1"/>
        <v>*</v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-5.3308666631196801E-2</v>
      </c>
      <c r="D25">
        <v>2.3816820087390299E-2</v>
      </c>
      <c r="E25">
        <v>-2.2382780923562802</v>
      </c>
      <c r="F25">
        <v>8.3787507021112401E-2</v>
      </c>
      <c r="G25">
        <v>-5.20284001765247E-2</v>
      </c>
      <c r="H25">
        <v>2.62137520039512E-2</v>
      </c>
      <c r="I25">
        <v>-1.98477502070983</v>
      </c>
      <c r="J25">
        <v>0.11287708443247101</v>
      </c>
      <c r="K25">
        <v>-7.7266700376637604E-2</v>
      </c>
      <c r="L25">
        <v>3.2632770357822201E-2</v>
      </c>
      <c r="M25">
        <v>-2.36776404606164</v>
      </c>
      <c r="N25">
        <v>7.2171348464987198E-2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</row>
    <row r="27" spans="1:33" x14ac:dyDescent="0.25">
      <c r="A27">
        <v>49</v>
      </c>
    </row>
    <row r="28" spans="1:33" x14ac:dyDescent="0.25">
      <c r="A28">
        <v>51</v>
      </c>
    </row>
    <row r="29" spans="1:33" x14ac:dyDescent="0.25">
      <c r="A29">
        <v>53</v>
      </c>
    </row>
    <row r="30" spans="1:33" x14ac:dyDescent="0.25">
      <c r="A30">
        <v>55</v>
      </c>
      <c r="B30" t="s">
        <v>29</v>
      </c>
      <c r="C30">
        <v>-2.8212106019341699E-2</v>
      </c>
      <c r="D30">
        <v>2.0680500238875101E-2</v>
      </c>
      <c r="E30">
        <v>-1.36418876204497</v>
      </c>
      <c r="F30">
        <v>0.19227563624035601</v>
      </c>
      <c r="G30">
        <v>-3.11308618657248E-2</v>
      </c>
      <c r="H30">
        <v>2.5039136822502601E-2</v>
      </c>
      <c r="I30">
        <v>-1.2432881407376499</v>
      </c>
      <c r="J30">
        <v>0.232475661990201</v>
      </c>
      <c r="K30">
        <v>-3.2961997338419299E-2</v>
      </c>
      <c r="L30">
        <v>2.63160293331424E-2</v>
      </c>
      <c r="M30">
        <v>-1.2525444823435801</v>
      </c>
      <c r="N30">
        <v>0.229161557396209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</row>
    <row r="32" spans="1:33" x14ac:dyDescent="0.25">
      <c r="A32">
        <v>59</v>
      </c>
      <c r="B32" t="s">
        <v>28</v>
      </c>
      <c r="C32">
        <v>7.6110535785082201E-2</v>
      </c>
      <c r="D32">
        <v>1.9210832393933001E-2</v>
      </c>
      <c r="E32">
        <v>3.9618551775569499</v>
      </c>
      <c r="F32">
        <v>2.05583994967704E-3</v>
      </c>
      <c r="G32">
        <v>9.3268983645604903E-2</v>
      </c>
      <c r="H32">
        <v>2.2787929161371599E-2</v>
      </c>
      <c r="I32">
        <v>4.0929117773328603</v>
      </c>
      <c r="J32">
        <v>1.6298877588952099E-3</v>
      </c>
      <c r="K32">
        <v>8.11034988365094E-2</v>
      </c>
      <c r="L32">
        <v>4.3525316973431503E-2</v>
      </c>
      <c r="M32">
        <v>1.86336377253763</v>
      </c>
      <c r="N32">
        <v>8.87668790995291E-2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235</v>
      </c>
      <c r="C33">
        <v>1.07975092236693E-2</v>
      </c>
      <c r="D33">
        <v>9.6869375537277605E-2</v>
      </c>
      <c r="E33">
        <v>0.111464631249885</v>
      </c>
      <c r="F33">
        <v>0.91942213522854399</v>
      </c>
      <c r="G33">
        <v>-1.6617764908777598E-2</v>
      </c>
      <c r="H33">
        <v>9.85707249152665E-2</v>
      </c>
      <c r="I33">
        <v>-0.16858722428046</v>
      </c>
      <c r="J33">
        <v>0.87882477781532997</v>
      </c>
      <c r="K33">
        <v>-4.7714477998341102E-2</v>
      </c>
      <c r="L33">
        <v>6.2167903255100902E-2</v>
      </c>
      <c r="M33">
        <v>-0.76750984833039404</v>
      </c>
      <c r="N33">
        <v>0.52649761573634601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236</v>
      </c>
      <c r="C34">
        <v>0.191849167998315</v>
      </c>
      <c r="D34">
        <v>7.69849717832084E-2</v>
      </c>
      <c r="E34">
        <v>2.49203401072312</v>
      </c>
      <c r="F34">
        <v>0.241686415758224</v>
      </c>
      <c r="G34">
        <v>0.24289819359890399</v>
      </c>
      <c r="H34">
        <v>0.107367603151983</v>
      </c>
      <c r="I34">
        <v>2.2623043308051898</v>
      </c>
      <c r="J34">
        <v>0.26382669508193002</v>
      </c>
      <c r="K34">
        <v>0.33001131004966</v>
      </c>
      <c r="L34">
        <v>0.109671678446932</v>
      </c>
      <c r="M34">
        <v>3.0090841566662698</v>
      </c>
      <c r="N34">
        <v>0.20321990542474799</v>
      </c>
      <c r="AB34" t="str">
        <f>IF(F34&lt;0.01,"***",IF(F34&lt;0.05,"**",IF(F34&lt;0.1,"*","")))</f>
        <v/>
      </c>
      <c r="AC34" t="str">
        <f>IF(J34&lt;0.01,"***",IF(J34&lt;0.05,"**",IF(J34&lt;0.1,"*","")))</f>
        <v/>
      </c>
      <c r="AD34" t="str">
        <f>IF(N34&lt;0.01,"***",IF(N34&lt;0.05,"**",IF(N34&lt;0.1,"*","")))</f>
        <v/>
      </c>
      <c r="AE34" t="str">
        <f>IF(R34&lt;0.01,"***",IF(R34&lt;0.05,"**",IF(R34&lt;0.1,"*","")))</f>
        <v>***</v>
      </c>
      <c r="AF34" t="str">
        <f>IF(V34&lt;0.01,"***",IF(V34&lt;0.05,"**",IF(V34&lt;0.1,"*","")))</f>
        <v>***</v>
      </c>
      <c r="AG34" t="str">
        <f>IF(Z34&lt;0.01,"***",IF(Z34&lt;0.05,"**",IF(Z34&lt;0.1,"*","")))</f>
        <v>***</v>
      </c>
    </row>
    <row r="35" spans="1:33" x14ac:dyDescent="0.25">
      <c r="A35">
        <v>65</v>
      </c>
      <c r="B35" t="s">
        <v>238</v>
      </c>
      <c r="C35">
        <v>-7.6520101622393602E-2</v>
      </c>
      <c r="D35">
        <v>3.5738021401691099E-2</v>
      </c>
      <c r="E35">
        <v>-2.1411398454972299</v>
      </c>
      <c r="F35">
        <v>0.123206859660399</v>
      </c>
      <c r="G35">
        <v>-4.1895592665946703E-2</v>
      </c>
      <c r="H35">
        <v>4.28399169544669E-2</v>
      </c>
      <c r="I35">
        <v>-0.97795690665031298</v>
      </c>
      <c r="J35">
        <v>0.401884982115087</v>
      </c>
      <c r="K35">
        <v>-4.8671398561927599E-2</v>
      </c>
      <c r="L35">
        <v>6.00037845422264E-2</v>
      </c>
      <c r="M35">
        <v>-0.81113881288064704</v>
      </c>
      <c r="N35">
        <v>0.47993557284843702</v>
      </c>
    </row>
    <row r="36" spans="1:33" x14ac:dyDescent="0.25">
      <c r="A36">
        <v>67</v>
      </c>
      <c r="B36" t="s">
        <v>240</v>
      </c>
      <c r="C36">
        <v>-2.8935508276521399E-3</v>
      </c>
      <c r="D36">
        <v>3.1823122059555099E-2</v>
      </c>
      <c r="E36">
        <v>-9.0926051260370705E-2</v>
      </c>
      <c r="F36">
        <v>0.92964430699077005</v>
      </c>
      <c r="G36">
        <v>1.7808382331151201E-2</v>
      </c>
      <c r="H36">
        <v>2.92425227779184E-2</v>
      </c>
      <c r="I36">
        <v>0.60898926082392202</v>
      </c>
      <c r="J36">
        <v>0.55875697441313799</v>
      </c>
      <c r="K36">
        <v>9.2219008320419404E-3</v>
      </c>
      <c r="L36">
        <v>4.9041689927192003E-2</v>
      </c>
      <c r="M36">
        <v>0.18804206881395999</v>
      </c>
      <c r="N36">
        <v>0.85543569315835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241</v>
      </c>
      <c r="C37">
        <v>-3.7397926638046502E-3</v>
      </c>
      <c r="D37">
        <v>0.145596712304423</v>
      </c>
      <c r="E37">
        <v>-2.5685969172059699E-2</v>
      </c>
      <c r="F37">
        <v>0.98031047959962903</v>
      </c>
      <c r="G37">
        <v>-2.47229162420801E-2</v>
      </c>
      <c r="H37">
        <v>0.146368075258512</v>
      </c>
      <c r="I37">
        <v>-0.168909211919436</v>
      </c>
      <c r="J37">
        <v>0.87123533311410695</v>
      </c>
      <c r="K37">
        <v>-2.8056636834573299E-2</v>
      </c>
      <c r="L37">
        <v>0.146138763549648</v>
      </c>
      <c r="M37">
        <v>-0.19198627491494799</v>
      </c>
      <c r="N37">
        <v>0.85388166956214495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243</v>
      </c>
      <c r="C38">
        <v>2.4856919488976399E-2</v>
      </c>
      <c r="D38">
        <v>4.3763673992131602E-2</v>
      </c>
      <c r="E38">
        <v>0.56798063831307799</v>
      </c>
      <c r="F38">
        <v>0.59849014918876098</v>
      </c>
      <c r="G38">
        <v>3.08695144209329E-2</v>
      </c>
      <c r="H38">
        <v>5.2513972941181999E-2</v>
      </c>
      <c r="I38">
        <v>0.58783429803545995</v>
      </c>
      <c r="J38">
        <v>0.58621640103679296</v>
      </c>
      <c r="K38">
        <v>-0.10053103728396701</v>
      </c>
      <c r="L38">
        <v>0.104288231441808</v>
      </c>
      <c r="M38">
        <v>-0.96397298040347201</v>
      </c>
      <c r="N38">
        <v>0.39623631038013502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245</v>
      </c>
      <c r="C39">
        <v>0.37253986636907399</v>
      </c>
      <c r="D39">
        <v>0.27445127905016597</v>
      </c>
      <c r="E39">
        <v>1.3573989075889099</v>
      </c>
      <c r="F39">
        <v>0.40276157891137399</v>
      </c>
      <c r="G39">
        <v>0.52161267026323999</v>
      </c>
      <c r="H39">
        <v>0.194994635177099</v>
      </c>
      <c r="I39">
        <v>2.6750103652313202</v>
      </c>
      <c r="J39">
        <v>0.22625691045282301</v>
      </c>
      <c r="K39">
        <v>0.364566941345151</v>
      </c>
      <c r="L39">
        <v>0.23717174231821</v>
      </c>
      <c r="M39">
        <v>1.5371432438861801</v>
      </c>
      <c r="N39">
        <v>0.366047278039141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3.8846941635624799E-2</v>
      </c>
      <c r="D40">
        <v>5.0971979591989701E-2</v>
      </c>
      <c r="E40">
        <v>0.76212346364765604</v>
      </c>
      <c r="F40">
        <v>0.460952332135113</v>
      </c>
      <c r="G40">
        <v>5.1788410702554702E-2</v>
      </c>
      <c r="H40">
        <v>5.4171167210162803E-2</v>
      </c>
      <c r="I40">
        <v>0.95601430372796103</v>
      </c>
      <c r="J40">
        <v>0.35824268759233102</v>
      </c>
      <c r="K40">
        <v>8.9560281791479998E-2</v>
      </c>
      <c r="L40">
        <v>7.5210894230547401E-2</v>
      </c>
      <c r="M40">
        <v>1.19078868437526</v>
      </c>
      <c r="N40">
        <v>0.25717462613967002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0.106654893503925</v>
      </c>
      <c r="D41">
        <v>5.2176084883325001E-2</v>
      </c>
      <c r="E41">
        <v>2.0441337011472598</v>
      </c>
      <c r="F41">
        <v>6.5115161993574006E-2</v>
      </c>
      <c r="G41">
        <v>0.12024489280940601</v>
      </c>
      <c r="H41">
        <v>5.5380480426512099E-2</v>
      </c>
      <c r="I41">
        <v>2.1712504457047199</v>
      </c>
      <c r="J41">
        <v>5.2168904813715097E-2</v>
      </c>
      <c r="K41">
        <v>0.13858266803236499</v>
      </c>
      <c r="L41">
        <v>7.5210385432341001E-2</v>
      </c>
      <c r="M41">
        <v>1.8426001573550399</v>
      </c>
      <c r="N41">
        <v>9.1949883309269606E-2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0.107933628000436</v>
      </c>
      <c r="D42">
        <v>5.4895241681168702E-2</v>
      </c>
      <c r="E42">
        <v>1.9661745662276999</v>
      </c>
      <c r="F42">
        <v>7.41083903050683E-2</v>
      </c>
      <c r="G42">
        <v>0.121008780356843</v>
      </c>
      <c r="H42">
        <v>5.8245423549824003E-2</v>
      </c>
      <c r="I42">
        <v>2.0775671800777702</v>
      </c>
      <c r="J42">
        <v>6.1081491875414298E-2</v>
      </c>
      <c r="K42">
        <v>0.14603035047983501</v>
      </c>
      <c r="L42">
        <v>8.1573383142317005E-2</v>
      </c>
      <c r="M42">
        <v>1.79017155908642</v>
      </c>
      <c r="N42">
        <v>0.100022253364228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0.13718899235052801</v>
      </c>
      <c r="D43">
        <v>5.5534862278382197E-2</v>
      </c>
      <c r="E43">
        <v>2.4703220053528701</v>
      </c>
      <c r="F43">
        <v>3.0510316065864702E-2</v>
      </c>
      <c r="G43">
        <v>0.15283132390854001</v>
      </c>
      <c r="H43">
        <v>6.1073839597130301E-2</v>
      </c>
      <c r="I43">
        <v>2.50240241839521</v>
      </c>
      <c r="J43">
        <v>2.8801238767155998E-2</v>
      </c>
      <c r="K43">
        <v>0.16686045688447201</v>
      </c>
      <c r="L43">
        <v>7.9232845054375806E-2</v>
      </c>
      <c r="M43">
        <v>2.1059505911968599</v>
      </c>
      <c r="N43">
        <v>5.8279882403626901E-2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0.14716240637470099</v>
      </c>
      <c r="D44">
        <v>5.2854154316139698E-2</v>
      </c>
      <c r="E44">
        <v>2.7843110589655802</v>
      </c>
      <c r="F44">
        <v>1.6921773261674E-2</v>
      </c>
      <c r="G44">
        <v>0.16249959767497399</v>
      </c>
      <c r="H44">
        <v>5.75914497996282E-2</v>
      </c>
      <c r="I44">
        <v>2.8215924106849499</v>
      </c>
      <c r="J44">
        <v>1.5803567620184301E-2</v>
      </c>
      <c r="K44">
        <v>0.17518643789403099</v>
      </c>
      <c r="L44">
        <v>7.5969715582856104E-2</v>
      </c>
      <c r="M44">
        <v>2.3060036035407299</v>
      </c>
      <c r="N44">
        <v>4.0369437098653899E-2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1.5850819956896901E-4</v>
      </c>
      <c r="D45">
        <v>1.3722265412188401E-4</v>
      </c>
      <c r="E45">
        <v>1.1551168470198701</v>
      </c>
      <c r="F45">
        <v>0.29478565387998901</v>
      </c>
      <c r="G45">
        <v>2.93526355941089E-4</v>
      </c>
      <c r="H45">
        <v>1.15458927502365E-4</v>
      </c>
      <c r="I45">
        <v>2.54225777331144</v>
      </c>
      <c r="J45">
        <v>4.8044936833991601E-2</v>
      </c>
      <c r="K45">
        <v>2.2578229634515301E-4</v>
      </c>
      <c r="L45">
        <v>2.5328003051135E-4</v>
      </c>
      <c r="M45">
        <v>0.89143346946586399</v>
      </c>
      <c r="N45">
        <v>0.41189983656236501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-6.7556029798826796E-3</v>
      </c>
      <c r="D46">
        <v>5.68595023177182E-3</v>
      </c>
      <c r="E46">
        <v>-1.1881220736217299</v>
      </c>
      <c r="F46">
        <v>0.25436362140566598</v>
      </c>
      <c r="G46">
        <v>-6.7340421236136002E-3</v>
      </c>
      <c r="H46">
        <v>6.5317922135363603E-3</v>
      </c>
      <c r="I46">
        <v>-1.0309639228354699</v>
      </c>
      <c r="J46">
        <v>0.31986538105243301</v>
      </c>
      <c r="K46">
        <v>-2.10918893779799E-2</v>
      </c>
      <c r="L46">
        <v>1.15545811720285E-2</v>
      </c>
      <c r="M46">
        <v>-1.8254135795972899</v>
      </c>
      <c r="N46">
        <v>8.9028280563262105E-2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-7.1014983220060598E-2</v>
      </c>
      <c r="D47">
        <v>1.7383232644961302E-2</v>
      </c>
      <c r="E47">
        <v>-4.0852575968167102</v>
      </c>
      <c r="F47">
        <v>8.8653141325400803E-4</v>
      </c>
      <c r="G47">
        <v>-7.8431062715125496E-2</v>
      </c>
      <c r="H47">
        <v>1.71690576679983E-2</v>
      </c>
      <c r="I47">
        <v>-4.5681635085491301</v>
      </c>
      <c r="J47">
        <v>3.2698086459768998E-4</v>
      </c>
      <c r="K47">
        <v>-9.3019634404005597E-2</v>
      </c>
      <c r="L47">
        <v>2.330509226734E-2</v>
      </c>
      <c r="M47">
        <v>-3.9913866607755999</v>
      </c>
      <c r="N47">
        <v>1.07800098596471E-3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2.0753998418529202E-3</v>
      </c>
      <c r="D48">
        <v>9.4529883645557908E-3</v>
      </c>
      <c r="E48">
        <v>0.219549602920774</v>
      </c>
      <c r="F48">
        <v>0.83118295592381397</v>
      </c>
      <c r="G48">
        <v>4.3577770828366901E-4</v>
      </c>
      <c r="H48">
        <v>1.0836299920004899E-2</v>
      </c>
      <c r="I48">
        <v>4.02146222881095E-2</v>
      </c>
      <c r="J48">
        <v>0.96881906953497299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-6.5111458153707599E-2</v>
      </c>
      <c r="D49">
        <v>3.18667288923647E-2</v>
      </c>
      <c r="E49">
        <v>-2.04324260496371</v>
      </c>
      <c r="F49">
        <v>6.2403478796327301E-2</v>
      </c>
      <c r="G49">
        <v>-8.6169549218834907E-2</v>
      </c>
      <c r="H49">
        <v>4.0842766709857502E-2</v>
      </c>
      <c r="I49">
        <v>-2.1097872685994501</v>
      </c>
      <c r="J49">
        <v>5.5167149818796397E-2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1.64044585172291E-6</v>
      </c>
      <c r="D50">
        <v>8.7287615121992308E-3</v>
      </c>
      <c r="E50">
        <v>1.87935693904598E-4</v>
      </c>
      <c r="F50">
        <v>0.99985374408188499</v>
      </c>
      <c r="G50">
        <v>1.31056651638913E-3</v>
      </c>
      <c r="H50">
        <v>9.9027197876253598E-3</v>
      </c>
      <c r="I50">
        <v>0.13234409783328799</v>
      </c>
      <c r="J50">
        <v>0.89771213823895202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-5.5644262595327901E-3</v>
      </c>
      <c r="D51">
        <v>7.2938642978453297E-3</v>
      </c>
      <c r="E51">
        <v>-0.76289138820098001</v>
      </c>
      <c r="F51">
        <v>0.45940039018283901</v>
      </c>
      <c r="G51">
        <v>-7.6324967403433499E-3</v>
      </c>
      <c r="H51">
        <v>9.5352921674019195E-3</v>
      </c>
      <c r="I51">
        <v>-0.80044707664400605</v>
      </c>
      <c r="J51">
        <v>0.43947459977084002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2.38785826757303E-2</v>
      </c>
      <c r="D52">
        <v>1.31329421877196E-2</v>
      </c>
      <c r="E52">
        <v>1.8182203450235901</v>
      </c>
      <c r="F52">
        <v>0.107862952120463</v>
      </c>
      <c r="G52">
        <v>3.8988732136297798E-2</v>
      </c>
      <c r="H52">
        <v>1.57271627964507E-2</v>
      </c>
      <c r="I52">
        <v>2.4790696606190701</v>
      </c>
      <c r="J52">
        <v>3.9119153558683298E-2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-7.2612665298051899E-3</v>
      </c>
      <c r="D53">
        <v>1.12648392036819E-2</v>
      </c>
      <c r="E53">
        <v>-0.64459566608210594</v>
      </c>
      <c r="F53">
        <v>0.53229418786633398</v>
      </c>
      <c r="G53">
        <v>-5.4213701966059598E-3</v>
      </c>
      <c r="H53">
        <v>1.43740366243378E-2</v>
      </c>
      <c r="I53">
        <v>-0.37716407285526199</v>
      </c>
      <c r="J53">
        <v>0.71304300512690799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1.32332898631441E-2</v>
      </c>
      <c r="D54">
        <v>7.6760961928720901E-3</v>
      </c>
      <c r="E54">
        <v>1.7239609211036699</v>
      </c>
      <c r="F54">
        <v>0.10878407416288</v>
      </c>
      <c r="G54">
        <v>1.34479806505368E-2</v>
      </c>
      <c r="H54">
        <v>1.07539280605471E-2</v>
      </c>
      <c r="I54">
        <v>1.2505180037304999</v>
      </c>
      <c r="J54">
        <v>0.233288516824491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2.9617043988263099E-6</v>
      </c>
      <c r="D55">
        <v>5.9430698135192799E-6</v>
      </c>
      <c r="E55">
        <v>0.49834588718595102</v>
      </c>
      <c r="F55">
        <v>0.62871841349759106</v>
      </c>
      <c r="G55">
        <v>5.6814951641777198E-6</v>
      </c>
      <c r="H55">
        <v>7.3377822428598096E-6</v>
      </c>
      <c r="I55">
        <v>0.77427960876138302</v>
      </c>
      <c r="J55">
        <v>0.460510522067412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1.29306214958123E-5</v>
      </c>
      <c r="D56">
        <v>2.9907512164326601E-6</v>
      </c>
      <c r="E56">
        <v>4.3235363158142697</v>
      </c>
      <c r="F56">
        <v>7.8238804558261902E-4</v>
      </c>
      <c r="G56">
        <v>1.5915920446143599E-5</v>
      </c>
      <c r="H56">
        <v>3.60029784211322E-6</v>
      </c>
      <c r="I56">
        <v>4.42072326905088</v>
      </c>
      <c r="J56">
        <v>8.1680198777253296E-4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-0.24823949778172499</v>
      </c>
      <c r="D57">
        <v>0.233884484002893</v>
      </c>
      <c r="E57">
        <v>-1.0613765117426699</v>
      </c>
      <c r="F57">
        <v>0.346126144528355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-0.17472295053954001</v>
      </c>
      <c r="D58">
        <v>6.2796499692602203E-2</v>
      </c>
      <c r="E58">
        <v>-2.7823676700904301</v>
      </c>
      <c r="F58">
        <v>1.7639212596636401E-2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-0.62686371218196901</v>
      </c>
      <c r="D59">
        <v>0.15797990743500301</v>
      </c>
      <c r="E59">
        <v>-3.9679964519530802</v>
      </c>
      <c r="F59">
        <v>1.51290043831197E-3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8.5861435681401102E-2</v>
      </c>
      <c r="D60">
        <v>5.1451975996128399E-2</v>
      </c>
      <c r="E60">
        <v>1.66876847816033</v>
      </c>
      <c r="F60">
        <v>0.114668157337765</v>
      </c>
      <c r="AB60" t="str">
        <f t="shared" si="0"/>
        <v/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-0.75243461466603201</v>
      </c>
      <c r="D61">
        <v>0.114006757123781</v>
      </c>
      <c r="E61">
        <v>-6.59991244070814</v>
      </c>
      <c r="F61">
        <v>1.48469362709478E-5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8912-95E2-479A-9706-D8CFD2413081}">
  <sheetPr codeName="Sheet22"/>
  <dimension ref="A1:K134"/>
  <sheetViews>
    <sheetView topLeftCell="C48" workbookViewId="0">
      <selection activeCell="C66" sqref="C66:I130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1" max="11" width="12.7109375" bestFit="1" customWidth="1"/>
  </cols>
  <sheetData>
    <row r="1" spans="1:11" ht="15.75" thickBot="1" x14ac:dyDescent="0.3">
      <c r="B1" t="s">
        <v>195</v>
      </c>
      <c r="D1" s="3">
        <v>3</v>
      </c>
      <c r="E1" s="3">
        <v>3</v>
      </c>
      <c r="F1" s="3">
        <v>3</v>
      </c>
      <c r="G1" s="3">
        <v>3</v>
      </c>
      <c r="H1" s="3">
        <v>3</v>
      </c>
      <c r="I1" s="3">
        <v>3</v>
      </c>
    </row>
    <row r="2" spans="1:11" ht="29.25" thickTop="1" x14ac:dyDescent="0.45">
      <c r="C2" s="47" t="s">
        <v>311</v>
      </c>
      <c r="D2" s="47"/>
      <c r="E2" s="47"/>
      <c r="F2" s="47"/>
      <c r="G2" s="47"/>
      <c r="H2" s="47"/>
      <c r="I2" s="47"/>
    </row>
    <row r="3" spans="1:11" ht="21" x14ac:dyDescent="0.35">
      <c r="C3" s="48" t="s">
        <v>441</v>
      </c>
      <c r="D3" s="48"/>
      <c r="E3" s="48"/>
      <c r="F3" s="48"/>
      <c r="G3" s="48"/>
      <c r="H3" s="48"/>
      <c r="I3" s="48"/>
    </row>
    <row r="4" spans="1:11" ht="21" x14ac:dyDescent="0.35">
      <c r="C4" s="17"/>
      <c r="D4" s="48" t="s">
        <v>445</v>
      </c>
      <c r="E4" s="48"/>
      <c r="F4" s="48"/>
      <c r="G4" s="48" t="s">
        <v>499</v>
      </c>
      <c r="H4" s="48"/>
      <c r="I4" s="48"/>
    </row>
    <row r="5" spans="1:11" x14ac:dyDescent="0.25">
      <c r="C5" s="19" t="s">
        <v>392</v>
      </c>
      <c r="D5" s="20" t="s">
        <v>442</v>
      </c>
      <c r="E5" s="20" t="s">
        <v>443</v>
      </c>
      <c r="F5" s="20" t="s">
        <v>444</v>
      </c>
      <c r="G5" s="20" t="s">
        <v>442</v>
      </c>
      <c r="H5" s="20" t="s">
        <v>443</v>
      </c>
      <c r="I5" s="20" t="s">
        <v>444</v>
      </c>
    </row>
    <row r="6" spans="1:11" x14ac:dyDescent="0.25">
      <c r="A6">
        <v>1</v>
      </c>
      <c r="B6" t="s">
        <v>11</v>
      </c>
      <c r="C6" t="s">
        <v>11</v>
      </c>
      <c r="D6" s="3" t="str">
        <f>_xlfn.CONCAT(FIXED(VLOOKUP($A6,Reg1_ct_Robust!$A:$AG,D$1,0),4),VLOOKUP($A6,Reg1_ct_Robust!$A:$AG,D$1+25,0))</f>
        <v>0.0126</v>
      </c>
      <c r="E6" s="3" t="str">
        <f>_xlfn.CONCAT(FIXED(VLOOKUP($A6,Reg2_ct_last_rob!$A:$AG,E$1,0),4),VLOOKUP($A6,Reg2_ct_last_rob!$A:$AG,E$1+25,0))</f>
        <v>0.0043</v>
      </c>
      <c r="F6" s="3" t="str">
        <f>_xlfn.CONCAT(FIXED(VLOOKUP($A6,Reg2_ct_first_rob!$A:$AG,F$1,0),4),VLOOKUP($A6,Reg2_ct_first_rob!$A:$AG,F$1+25,0))</f>
        <v>0.0063</v>
      </c>
      <c r="G6" s="3" t="str">
        <f>_xlfn.CONCAT(FIXED(VLOOKUP($A6,Reg1_sf_Robust!$A:$AG,G$1,0),4),VLOOKUP($A6,Reg1_sf_Robust!$A:$AG,G$1+25,0))</f>
        <v>0.0375***</v>
      </c>
      <c r="H6" s="3" t="str">
        <f>_xlfn.CONCAT(FIXED(VLOOKUP($A6,Reg2_sf_last_rob!$A:$AG,H$1,0),4),VLOOKUP($A6,Reg2_sf_last_rob!$A:$AG,H$1+25,0))</f>
        <v>0.0397***</v>
      </c>
      <c r="I6" s="3" t="str">
        <f>_xlfn.CONCAT(FIXED(VLOOKUP($A6,Reg2_sf_first_rob!$A:$AG,I$1,0),4),VLOOKUP($A6,Reg2_sf_first_rob!$A:$AG,I$1+25,0))</f>
        <v>0.0373***</v>
      </c>
      <c r="K6">
        <f>EXP(0.0129)-1</f>
        <v>1.2983563938328668E-2</v>
      </c>
    </row>
    <row r="7" spans="1:11" x14ac:dyDescent="0.25">
      <c r="A7">
        <v>2</v>
      </c>
      <c r="D7" s="3" t="str">
        <f>_xlfn.CONCAT("(",FIXED(ABS(VLOOKUP($A6,Reg1_ct_Robust!$A:$AG,D$1+1,0)),4),")")</f>
        <v>(0.0085)</v>
      </c>
      <c r="E7" s="3" t="str">
        <f>_xlfn.CONCAT("(",FIXED(ABS(VLOOKUP($A6,Reg2_ct_last_rob!$A:$AG,E$1+1,0)),4),")")</f>
        <v>(0.0085)</v>
      </c>
      <c r="F7" s="3" t="str">
        <f>_xlfn.CONCAT("(",FIXED(ABS(VLOOKUP($A6,Reg2_ct_first_rob!$A:$AG,F$1+1,0)),4),")")</f>
        <v>(0.0108)</v>
      </c>
      <c r="G7" s="3" t="str">
        <f>_xlfn.CONCAT("(",FIXED(ABS(VLOOKUP($A6,Reg1_sf_Robust!$A:$AG,G$1+1,0)),4),")")</f>
        <v>(0.0095)</v>
      </c>
      <c r="H7" s="3" t="str">
        <f>_xlfn.CONCAT("(",FIXED(ABS(VLOOKUP($A6,Reg2_sf_last_rob!$A:$AG,H$1+1,0)),4),")")</f>
        <v>(0.0100)</v>
      </c>
      <c r="I7" s="3" t="str">
        <f>_xlfn.CONCAT("(",FIXED(ABS(VLOOKUP($A6,Reg2_sf_first_rob!$A:$AG,I$1+1,0)),4),")")</f>
        <v>(0.0108)</v>
      </c>
      <c r="K7" s="26">
        <f>K6*'Full Sample-Townhouse'!C14</f>
        <v>8526.7089287825238</v>
      </c>
    </row>
    <row r="8" spans="1:11" x14ac:dyDescent="0.25">
      <c r="A8">
        <v>3</v>
      </c>
      <c r="B8" t="s">
        <v>16</v>
      </c>
      <c r="C8" t="s">
        <v>16</v>
      </c>
      <c r="D8" s="3" t="str">
        <f>_xlfn.CONCAT(FIXED(VLOOKUP($A8,Reg1_ct_Robust!$A:$AG,D$1,0),5),VLOOKUP($A8,Reg1_ct_Robust!$A:$AG,D$1+25,0))</f>
        <v>-0.00002</v>
      </c>
      <c r="E8" s="3" t="str">
        <f>_xlfn.CONCAT(FIXED(VLOOKUP($A8,Reg2_ct_last_rob!$A:$AG,E$1,0),5),VLOOKUP($A8,Reg2_ct_last_rob!$A:$AG,E$1+25,0))</f>
        <v>-0.00001</v>
      </c>
      <c r="F8" s="3" t="str">
        <f>_xlfn.CONCAT(FIXED(VLOOKUP($A8,Reg2_ct_first_rob!$A:$AG,F$1,0),5),VLOOKUP($A8,Reg2_ct_first_rob!$A:$AG,F$1+25,0))</f>
        <v>0.00000</v>
      </c>
      <c r="G8" s="3" t="str">
        <f>_xlfn.CONCAT(FIXED(VLOOKUP($A8,Reg1_sf_Robust!$A:$AG,G$1,0),5),VLOOKUP($A8,Reg1_sf_Robust!$A:$AG,G$1+25,0))</f>
        <v>0.00009*</v>
      </c>
      <c r="H8" s="3" t="str">
        <f>_xlfn.CONCAT(FIXED(VLOOKUP($A8,Reg2_sf_last_rob!$A:$AG,H$1,0),5),VLOOKUP($A8,Reg2_sf_last_rob!$A:$AG,H$1+25,0))</f>
        <v>0.00009*</v>
      </c>
      <c r="I8" s="3" t="str">
        <f>_xlfn.CONCAT(FIXED(VLOOKUP($A8,Reg2_sf_first_rob!$A:$AG,I$1,0),5),VLOOKUP($A8,Reg2_sf_first_rob!$A:$AG,I$1+25,0))</f>
        <v>0.00011**</v>
      </c>
    </row>
    <row r="9" spans="1:11" x14ac:dyDescent="0.25">
      <c r="A9">
        <v>4</v>
      </c>
      <c r="D9" s="3" t="str">
        <f>_xlfn.CONCAT("(",FIXED(ABS(VLOOKUP($A8,Reg1_ct_Robust!$A:$AG,D$1+1,0)),4),")")</f>
        <v>(0.0001)</v>
      </c>
      <c r="E9" s="3" t="str">
        <f>_xlfn.CONCAT("(",FIXED(ABS(VLOOKUP($A8,Reg2_ct_last_rob!$A:$AG,E$1+1,0)),4),")")</f>
        <v>(0.0001)</v>
      </c>
      <c r="F9" s="3" t="str">
        <f>_xlfn.CONCAT("(",FIXED(ABS(VLOOKUP($A8,Reg2_ct_first_rob!$A:$AG,F$1+1,0)),4),")")</f>
        <v>(0.0001)</v>
      </c>
      <c r="G9" s="3" t="str">
        <f>_xlfn.CONCAT("(",FIXED(ABS(VLOOKUP($A8,Reg1_sf_Robust!$A:$AG,G$1+1,0)),4),")")</f>
        <v>(0.0000)</v>
      </c>
      <c r="H9" s="3" t="str">
        <f>_xlfn.CONCAT("(",FIXED(ABS(VLOOKUP($A8,Reg2_sf_last_rob!$A:$AG,H$1+1,0)),4),")")</f>
        <v>(0.0000)</v>
      </c>
      <c r="I9" s="3" t="str">
        <f>_xlfn.CONCAT("(",FIXED(ABS(VLOOKUP($A8,Reg2_sf_first_rob!$A:$AG,I$1+1,0)),4),")")</f>
        <v>(0.0001)</v>
      </c>
    </row>
    <row r="10" spans="1:11" hidden="1" x14ac:dyDescent="0.25">
      <c r="A10">
        <v>5</v>
      </c>
      <c r="B10" t="s">
        <v>197</v>
      </c>
      <c r="D10" s="3" t="str">
        <f>_xlfn.CONCAT(FIXED(VLOOKUP($A10,Reg1_ct_Robust!$A:$AG,D$1,0),4),VLOOKUP($A10,Reg1_ct_Robust!$A:$AG,D$1+25,0))</f>
        <v>0.0412**</v>
      </c>
      <c r="E10" s="3" t="str">
        <f>_xlfn.CONCAT(FIXED(VLOOKUP($A10,Reg2_ct_last_rob!$A:$AG,E$1,0),4),VLOOKUP($A10,Reg2_ct_last_rob!$A:$AG,E$1+25,0))</f>
        <v>0.0397**</v>
      </c>
      <c r="F10" s="3" t="str">
        <f>_xlfn.CONCAT(FIXED(VLOOKUP($A10,Reg2_ct_first_rob!$A:$AG,F$1,0),4),VLOOKUP($A10,Reg2_ct_first_rob!$A:$AG,F$1+25,0))</f>
        <v>0.0420**</v>
      </c>
      <c r="G10" s="3" t="str">
        <f>_xlfn.CONCAT(FIXED(VLOOKUP($A10,Reg1_sf_Robust!$A:$AG,G$1,0),4),VLOOKUP($A10,Reg1_sf_Robust!$A:$AG,G$1+25,0))</f>
        <v>0.0262***</v>
      </c>
      <c r="H10" s="3" t="str">
        <f>_xlfn.CONCAT(FIXED(VLOOKUP($A10,Reg2_sf_last_rob!$A:$AG,H$1,0),4),VLOOKUP($A10,Reg2_sf_last_rob!$A:$AG,H$1+25,0))</f>
        <v>0.0299***</v>
      </c>
      <c r="I10" s="3" t="str">
        <f>_xlfn.CONCAT(FIXED(VLOOKUP($A10,Reg2_sf_first_rob!$A:$AG,I$1,0),4),VLOOKUP($A10,Reg2_sf_first_rob!$A:$AG,I$1+25,0))</f>
        <v>0.0272***</v>
      </c>
    </row>
    <row r="11" spans="1:11" hidden="1" x14ac:dyDescent="0.25">
      <c r="A11">
        <v>6</v>
      </c>
      <c r="D11" s="3" t="str">
        <f>_xlfn.CONCAT("(",FIXED(ABS(VLOOKUP($A10,Reg1_ct_Robust!$A:$AG,D$1+1,0)),4),")")</f>
        <v>(0.0142)</v>
      </c>
      <c r="E11" s="3" t="str">
        <f>_xlfn.CONCAT("(",FIXED(ABS(VLOOKUP($A10,Reg2_ct_last_rob!$A:$AG,E$1+1,0)),4),")")</f>
        <v>(0.0172)</v>
      </c>
      <c r="F11" s="3" t="str">
        <f>_xlfn.CONCAT("(",FIXED(ABS(VLOOKUP($A10,Reg2_ct_first_rob!$A:$AG,F$1+1,0)),4),")")</f>
        <v>(0.0142)</v>
      </c>
      <c r="G11" s="3" t="str">
        <f>_xlfn.CONCAT("(",FIXED(ABS(VLOOKUP($A10,Reg1_sf_Robust!$A:$AG,G$1+1,0)),4),")")</f>
        <v>(0.0075)</v>
      </c>
      <c r="H11" s="3" t="str">
        <f>_xlfn.CONCAT("(",FIXED(ABS(VLOOKUP($A10,Reg2_sf_last_rob!$A:$AG,H$1+1,0)),4),")")</f>
        <v>(0.0084)</v>
      </c>
      <c r="I11" s="3" t="str">
        <f>_xlfn.CONCAT("(",FIXED(ABS(VLOOKUP($A10,Reg2_sf_first_rob!$A:$AG,I$1+1,0)),4),")")</f>
        <v>(0.0074)</v>
      </c>
    </row>
    <row r="12" spans="1:11" hidden="1" x14ac:dyDescent="0.25">
      <c r="A12">
        <v>7</v>
      </c>
      <c r="B12" t="s">
        <v>200</v>
      </c>
      <c r="D12" s="3" t="str">
        <f>_xlfn.CONCAT(FIXED(VLOOKUP($A12,Reg1_ct_Robust!$A:$AG,D$1,0),4),VLOOKUP($A12,Reg1_ct_Robust!$A:$AG,D$1+25,0))</f>
        <v>0.0539**</v>
      </c>
      <c r="E12" s="3" t="str">
        <f>_xlfn.CONCAT(FIXED(VLOOKUP($A12,Reg2_ct_last_rob!$A:$AG,E$1,0),4),VLOOKUP($A12,Reg2_ct_last_rob!$A:$AG,E$1+25,0))</f>
        <v>0.0486*</v>
      </c>
      <c r="F12" s="3" t="str">
        <f>_xlfn.CONCAT(FIXED(VLOOKUP($A12,Reg2_ct_first_rob!$A:$AG,F$1,0),4),VLOOKUP($A12,Reg2_ct_first_rob!$A:$AG,F$1+25,0))</f>
        <v>0.0552**</v>
      </c>
      <c r="G12" s="3" t="str">
        <f>_xlfn.CONCAT(FIXED(VLOOKUP($A12,Reg1_sf_Robust!$A:$AG,G$1,0),4),VLOOKUP($A12,Reg1_sf_Robust!$A:$AG,G$1+25,0))</f>
        <v>0.0307**</v>
      </c>
      <c r="H12" s="3" t="str">
        <f>_xlfn.CONCAT(FIXED(VLOOKUP($A12,Reg2_sf_last_rob!$A:$AG,H$1,0),4),VLOOKUP($A12,Reg2_sf_last_rob!$A:$AG,H$1+25,0))</f>
        <v>0.0363***</v>
      </c>
      <c r="I12" s="3" t="str">
        <f>_xlfn.CONCAT(FIXED(VLOOKUP($A12,Reg2_sf_first_rob!$A:$AG,I$1,0),4),VLOOKUP($A12,Reg2_sf_first_rob!$A:$AG,I$1+25,0))</f>
        <v>0.0314**</v>
      </c>
    </row>
    <row r="13" spans="1:11" hidden="1" x14ac:dyDescent="0.25">
      <c r="A13">
        <v>8</v>
      </c>
      <c r="D13" s="3" t="str">
        <f>_xlfn.CONCAT("(",FIXED(ABS(VLOOKUP($A12,Reg1_ct_Robust!$A:$AG,D$1+1,0)),4),")")</f>
        <v>(0.0213)</v>
      </c>
      <c r="E13" s="3" t="str">
        <f>_xlfn.CONCAT("(",FIXED(ABS(VLOOKUP($A12,Reg2_ct_last_rob!$A:$AG,E$1+1,0)),4),")")</f>
        <v>(0.0249)</v>
      </c>
      <c r="F13" s="3" t="str">
        <f>_xlfn.CONCAT("(",FIXED(ABS(VLOOKUP($A12,Reg2_ct_first_rob!$A:$AG,F$1+1,0)),4),")")</f>
        <v>(0.0208)</v>
      </c>
      <c r="G13" s="3" t="str">
        <f>_xlfn.CONCAT("(",FIXED(ABS(VLOOKUP($A12,Reg1_sf_Robust!$A:$AG,G$1+1,0)),4),")")</f>
        <v>(0.0109)</v>
      </c>
      <c r="H13" s="3" t="str">
        <f>_xlfn.CONCAT("(",FIXED(ABS(VLOOKUP($A12,Reg2_sf_last_rob!$A:$AG,H$1+1,0)),4),")")</f>
        <v>(0.0115)</v>
      </c>
      <c r="I13" s="3" t="str">
        <f>_xlfn.CONCAT("(",FIXED(ABS(VLOOKUP($A12,Reg2_sf_first_rob!$A:$AG,I$1+1,0)),4),")")</f>
        <v>(0.0113)</v>
      </c>
    </row>
    <row r="14" spans="1:11" hidden="1" x14ac:dyDescent="0.25">
      <c r="A14">
        <v>9</v>
      </c>
      <c r="B14" t="s">
        <v>204</v>
      </c>
      <c r="D14" s="3" t="str">
        <f>_xlfn.CONCAT(FIXED(VLOOKUP($A14,Reg1_ct_Robust!$A:$AG,D$1,0),4),VLOOKUP($A14,Reg1_ct_Robust!$A:$AG,D$1+25,0))</f>
        <v>0.0508**</v>
      </c>
      <c r="E14" s="3" t="str">
        <f>_xlfn.CONCAT(FIXED(VLOOKUP($A14,Reg2_ct_last_rob!$A:$AG,E$1,0),4),VLOOKUP($A14,Reg2_ct_last_rob!$A:$AG,E$1+25,0))</f>
        <v>0.0418</v>
      </c>
      <c r="F14" s="3" t="str">
        <f>_xlfn.CONCAT(FIXED(VLOOKUP($A14,Reg2_ct_first_rob!$A:$AG,F$1,0),4),VLOOKUP($A14,Reg2_ct_first_rob!$A:$AG,F$1+25,0))</f>
        <v>0.0522**</v>
      </c>
      <c r="G14" s="3" t="str">
        <f>_xlfn.CONCAT(FIXED(VLOOKUP($A14,Reg1_sf_Robust!$A:$AG,G$1,0),4),VLOOKUP($A14,Reg1_sf_Robust!$A:$AG,G$1+25,0))</f>
        <v>0.0116</v>
      </c>
      <c r="H14" s="3" t="str">
        <f>_xlfn.CONCAT(FIXED(VLOOKUP($A14,Reg2_sf_last_rob!$A:$AG,H$1,0),4),VLOOKUP($A14,Reg2_sf_last_rob!$A:$AG,H$1+25,0))</f>
        <v>0.0116</v>
      </c>
      <c r="I14" s="3" t="str">
        <f>_xlfn.CONCAT(FIXED(VLOOKUP($A14,Reg2_sf_first_rob!$A:$AG,I$1,0),4),VLOOKUP($A14,Reg2_sf_first_rob!$A:$AG,I$1+25,0))</f>
        <v>0.0114</v>
      </c>
    </row>
    <row r="15" spans="1:11" hidden="1" x14ac:dyDescent="0.25">
      <c r="A15">
        <v>10</v>
      </c>
      <c r="D15" s="3" t="str">
        <f>_xlfn.CONCAT("(",FIXED(ABS(VLOOKUP($A14,Reg1_ct_Robust!$A:$AG,D$1+1,0)),4),")")</f>
        <v>(0.0209)</v>
      </c>
      <c r="E15" s="3" t="str">
        <f>_xlfn.CONCAT("(",FIXED(ABS(VLOOKUP($A14,Reg2_ct_last_rob!$A:$AG,E$1+1,0)),4),")")</f>
        <v>(0.0246)</v>
      </c>
      <c r="F15" s="3" t="str">
        <f>_xlfn.CONCAT("(",FIXED(ABS(VLOOKUP($A14,Reg2_ct_first_rob!$A:$AG,F$1+1,0)),4),")")</f>
        <v>(0.0203)</v>
      </c>
      <c r="G15" s="3" t="str">
        <f>_xlfn.CONCAT("(",FIXED(ABS(VLOOKUP($A14,Reg1_sf_Robust!$A:$AG,G$1+1,0)),4),")")</f>
        <v>(0.0120)</v>
      </c>
      <c r="H15" s="3" t="str">
        <f>_xlfn.CONCAT("(",FIXED(ABS(VLOOKUP($A14,Reg2_sf_last_rob!$A:$AG,H$1+1,0)),4),")")</f>
        <v>(0.0121)</v>
      </c>
      <c r="I15" s="3" t="str">
        <f>_xlfn.CONCAT("(",FIXED(ABS(VLOOKUP($A14,Reg2_sf_first_rob!$A:$AG,I$1+1,0)),4),")")</f>
        <v>(0.0116)</v>
      </c>
    </row>
    <row r="16" spans="1:11" hidden="1" x14ac:dyDescent="0.25">
      <c r="A16">
        <v>11</v>
      </c>
      <c r="B16" t="s">
        <v>206</v>
      </c>
      <c r="D16" s="3" t="str">
        <f>_xlfn.CONCAT(FIXED(VLOOKUP($A16,Reg1_ct_Robust!$A:$AG,D$1,0),4),VLOOKUP($A16,Reg1_ct_Robust!$A:$AG,D$1+25,0))</f>
        <v>0.0179</v>
      </c>
      <c r="E16" s="3" t="str">
        <f>_xlfn.CONCAT(FIXED(VLOOKUP($A16,Reg2_ct_last_rob!$A:$AG,E$1,0),4),VLOOKUP($A16,Reg2_ct_last_rob!$A:$AG,E$1+25,0))</f>
        <v>0.0134</v>
      </c>
      <c r="F16" s="3" t="str">
        <f>_xlfn.CONCAT(FIXED(VLOOKUP($A16,Reg2_ct_first_rob!$A:$AG,F$1,0),4),VLOOKUP($A16,Reg2_ct_first_rob!$A:$AG,F$1+25,0))</f>
        <v>0.0199</v>
      </c>
      <c r="G16" s="3" t="str">
        <f>_xlfn.CONCAT(FIXED(VLOOKUP($A16,Reg1_sf_Robust!$A:$AG,G$1,0),4),VLOOKUP($A16,Reg1_sf_Robust!$A:$AG,G$1+25,0))</f>
        <v>0.0004</v>
      </c>
      <c r="H16" s="3" t="str">
        <f>_xlfn.CONCAT(FIXED(VLOOKUP($A16,Reg2_sf_last_rob!$A:$AG,H$1,0),4),VLOOKUP($A16,Reg2_sf_last_rob!$A:$AG,H$1+25,0))</f>
        <v>-0.0028</v>
      </c>
      <c r="I16" s="3" t="str">
        <f>_xlfn.CONCAT(FIXED(VLOOKUP($A16,Reg2_sf_first_rob!$A:$AG,I$1,0),4),VLOOKUP($A16,Reg2_sf_first_rob!$A:$AG,I$1+25,0))</f>
        <v>-0.0009</v>
      </c>
    </row>
    <row r="17" spans="1:9" hidden="1" x14ac:dyDescent="0.25">
      <c r="A17">
        <v>12</v>
      </c>
      <c r="D17" s="3" t="str">
        <f>_xlfn.CONCAT("(",FIXED(ABS(VLOOKUP($A16,Reg1_ct_Robust!$A:$AG,D$1+1,0)),4),")")</f>
        <v>(0.0308)</v>
      </c>
      <c r="E17" s="3" t="str">
        <f>_xlfn.CONCAT("(",FIXED(ABS(VLOOKUP($A16,Reg2_ct_last_rob!$A:$AG,E$1+1,0)),4),")")</f>
        <v>(0.0333)</v>
      </c>
      <c r="F17" s="3" t="str">
        <f>_xlfn.CONCAT("(",FIXED(ABS(VLOOKUP($A16,Reg2_ct_first_rob!$A:$AG,F$1+1,0)),4),")")</f>
        <v>(0.0320)</v>
      </c>
      <c r="G17" s="3" t="str">
        <f>_xlfn.CONCAT("(",FIXED(ABS(VLOOKUP($A16,Reg1_sf_Robust!$A:$AG,G$1+1,0)),4),")")</f>
        <v>(0.0158)</v>
      </c>
      <c r="H17" s="3" t="str">
        <f>_xlfn.CONCAT("(",FIXED(ABS(VLOOKUP($A16,Reg2_sf_last_rob!$A:$AG,H$1+1,0)),4),")")</f>
        <v>(0.0171)</v>
      </c>
      <c r="I17" s="3" t="str">
        <f>_xlfn.CONCAT("(",FIXED(ABS(VLOOKUP($A16,Reg2_sf_first_rob!$A:$AG,I$1+1,0)),4),")")</f>
        <v>(0.0169)</v>
      </c>
    </row>
    <row r="18" spans="1:9" hidden="1" x14ac:dyDescent="0.25">
      <c r="A18">
        <v>13</v>
      </c>
      <c r="B18" t="s">
        <v>207</v>
      </c>
      <c r="D18" s="3" t="str">
        <f>_xlfn.CONCAT(FIXED(VLOOKUP($A18,Reg1_ct_Robust!$A:$AG,D$1,0),4),VLOOKUP($A18,Reg1_ct_Robust!$A:$AG,D$1+25,0))</f>
        <v>0.0505</v>
      </c>
      <c r="E18" s="3" t="str">
        <f>_xlfn.CONCAT(FIXED(VLOOKUP($A18,Reg2_ct_last_rob!$A:$AG,E$1,0),4),VLOOKUP($A18,Reg2_ct_last_rob!$A:$AG,E$1+25,0))</f>
        <v>0.0456</v>
      </c>
      <c r="F18" s="3" t="str">
        <f>_xlfn.CONCAT(FIXED(VLOOKUP($A18,Reg2_ct_first_rob!$A:$AG,F$1,0),4),VLOOKUP($A18,Reg2_ct_first_rob!$A:$AG,F$1+25,0))</f>
        <v>0.0478</v>
      </c>
      <c r="G18" s="3" t="str">
        <f>_xlfn.CONCAT(FIXED(VLOOKUP($A18,Reg1_sf_Robust!$A:$AG,G$1,0),4),VLOOKUP($A18,Reg1_sf_Robust!$A:$AG,G$1+25,0))</f>
        <v>0.1300***</v>
      </c>
      <c r="H18" s="3" t="str">
        <f>_xlfn.CONCAT(FIXED(VLOOKUP($A18,Reg2_sf_last_rob!$A:$AG,H$1,0),4),VLOOKUP($A18,Reg2_sf_last_rob!$A:$AG,H$1+25,0))</f>
        <v>0.1252***</v>
      </c>
      <c r="I18" s="3" t="str">
        <f>_xlfn.CONCAT(FIXED(VLOOKUP($A18,Reg2_sf_first_rob!$A:$AG,I$1,0),4),VLOOKUP($A18,Reg2_sf_first_rob!$A:$AG,I$1+25,0))</f>
        <v>0.1274***</v>
      </c>
    </row>
    <row r="19" spans="1:9" hidden="1" x14ac:dyDescent="0.25">
      <c r="A19">
        <v>14</v>
      </c>
      <c r="D19" s="3" t="str">
        <f>_xlfn.CONCAT("(",FIXED(ABS(VLOOKUP($A18,Reg1_ct_Robust!$A:$AG,D$1+1,0)),4),")")</f>
        <v>(0.0403)</v>
      </c>
      <c r="E19" s="3" t="str">
        <f>_xlfn.CONCAT("(",FIXED(ABS(VLOOKUP($A18,Reg2_ct_last_rob!$A:$AG,E$1+1,0)),4),")")</f>
        <v>(0.0427)</v>
      </c>
      <c r="F19" s="3" t="str">
        <f>_xlfn.CONCAT("(",FIXED(ABS(VLOOKUP($A18,Reg2_ct_first_rob!$A:$AG,F$1+1,0)),4),")")</f>
        <v>(0.0389)</v>
      </c>
      <c r="G19" s="3" t="str">
        <f>_xlfn.CONCAT("(",FIXED(ABS(VLOOKUP($A18,Reg1_sf_Robust!$A:$AG,G$1+1,0)),4),")")</f>
        <v>(0.0164)</v>
      </c>
      <c r="H19" s="3" t="str">
        <f>_xlfn.CONCAT("(",FIXED(ABS(VLOOKUP($A18,Reg2_sf_last_rob!$A:$AG,H$1+1,0)),4),")")</f>
        <v>(0.0175)</v>
      </c>
      <c r="I19" s="3" t="str">
        <f>_xlfn.CONCAT("(",FIXED(ABS(VLOOKUP($A18,Reg2_sf_first_rob!$A:$AG,I$1+1,0)),4),")")</f>
        <v>(0.0193)</v>
      </c>
    </row>
    <row r="20" spans="1:9" hidden="1" x14ac:dyDescent="0.25">
      <c r="A20">
        <v>15</v>
      </c>
      <c r="B20" t="s">
        <v>209</v>
      </c>
      <c r="D20" s="3" t="str">
        <f>_xlfn.CONCAT(FIXED(VLOOKUP($A20,Reg1_ct_Robust!$A:$AG,D$1,0),4),VLOOKUP($A20,Reg1_ct_Robust!$A:$AG,D$1+25,0))</f>
        <v>0.0948**</v>
      </c>
      <c r="E20" s="3" t="str">
        <f>_xlfn.CONCAT(FIXED(VLOOKUP($A20,Reg2_ct_last_rob!$A:$AG,E$1,0),4),VLOOKUP($A20,Reg2_ct_last_rob!$A:$AG,E$1+25,0))</f>
        <v>0.0891*</v>
      </c>
      <c r="F20" s="3" t="str">
        <f>_xlfn.CONCAT(FIXED(VLOOKUP($A20,Reg2_ct_first_rob!$A:$AG,F$1,0),4),VLOOKUP($A20,Reg2_ct_first_rob!$A:$AG,F$1+25,0))</f>
        <v>0.0899**</v>
      </c>
      <c r="G20" s="3" t="str">
        <f>_xlfn.CONCAT(FIXED(VLOOKUP($A20,Reg1_sf_Robust!$A:$AG,G$1,0),4),VLOOKUP($A20,Reg1_sf_Robust!$A:$AG,G$1+25,0))</f>
        <v>0.1730***</v>
      </c>
      <c r="H20" s="3" t="str">
        <f>_xlfn.CONCAT(FIXED(VLOOKUP($A20,Reg2_sf_last_rob!$A:$AG,H$1,0),4),VLOOKUP($A20,Reg2_sf_last_rob!$A:$AG,H$1+25,0))</f>
        <v>0.1675***</v>
      </c>
      <c r="I20" s="3" t="str">
        <f>_xlfn.CONCAT(FIXED(VLOOKUP($A20,Reg2_sf_first_rob!$A:$AG,I$1,0),4),VLOOKUP($A20,Reg2_sf_first_rob!$A:$AG,I$1+25,0))</f>
        <v>0.1726***</v>
      </c>
    </row>
    <row r="21" spans="1:9" hidden="1" x14ac:dyDescent="0.25">
      <c r="A21">
        <v>16</v>
      </c>
      <c r="D21" s="3" t="str">
        <f>_xlfn.CONCAT("(",FIXED(ABS(VLOOKUP($A20,Reg1_ct_Robust!$A:$AG,D$1+1,0)),4),")")</f>
        <v>(0.0416)</v>
      </c>
      <c r="E21" s="3" t="str">
        <f>_xlfn.CONCAT("(",FIXED(ABS(VLOOKUP($A20,Reg2_ct_last_rob!$A:$AG,E$1+1,0)),4),")")</f>
        <v>(0.0433)</v>
      </c>
      <c r="F21" s="3" t="str">
        <f>_xlfn.CONCAT("(",FIXED(ABS(VLOOKUP($A20,Reg2_ct_first_rob!$A:$AG,F$1+1,0)),4),")")</f>
        <v>(0.0387)</v>
      </c>
      <c r="G21" s="3" t="str">
        <f>_xlfn.CONCAT("(",FIXED(ABS(VLOOKUP($A20,Reg1_sf_Robust!$A:$AG,G$1+1,0)),4),")")</f>
        <v>(0.0173)</v>
      </c>
      <c r="H21" s="3" t="str">
        <f>_xlfn.CONCAT("(",FIXED(ABS(VLOOKUP($A20,Reg2_sf_last_rob!$A:$AG,H$1+1,0)),4),")")</f>
        <v>(0.0182)</v>
      </c>
      <c r="I21" s="3" t="str">
        <f>_xlfn.CONCAT("(",FIXED(ABS(VLOOKUP($A20,Reg2_sf_first_rob!$A:$AG,I$1+1,0)),4),")")</f>
        <v>(0.0203)</v>
      </c>
    </row>
    <row r="22" spans="1:9" hidden="1" x14ac:dyDescent="0.25">
      <c r="A22">
        <v>17</v>
      </c>
      <c r="B22" t="s">
        <v>212</v>
      </c>
      <c r="D22" s="3" t="str">
        <f>_xlfn.CONCAT(FIXED(VLOOKUP($A22,Reg1_ct_Robust!$A:$AG,D$1,0),4),VLOOKUP($A22,Reg1_ct_Robust!$A:$AG,D$1+25,0))</f>
        <v>0.0567</v>
      </c>
      <c r="E22" s="3" t="str">
        <f>_xlfn.CONCAT(FIXED(VLOOKUP($A22,Reg2_ct_last_rob!$A:$AG,E$1,0),4),VLOOKUP($A22,Reg2_ct_last_rob!$A:$AG,E$1+25,0))</f>
        <v>0.0407</v>
      </c>
      <c r="F22" s="3" t="str">
        <f>_xlfn.CONCAT(FIXED(VLOOKUP($A22,Reg2_ct_first_rob!$A:$AG,F$1,0),4),VLOOKUP($A22,Reg2_ct_first_rob!$A:$AG,F$1+25,0))</f>
        <v>0.0635</v>
      </c>
      <c r="G22" s="3" t="str">
        <f>_xlfn.CONCAT(FIXED(VLOOKUP($A22,Reg1_sf_Robust!$A:$AG,G$1,0),4),VLOOKUP($A22,Reg1_sf_Robust!$A:$AG,G$1+25,0))</f>
        <v>0.1393***</v>
      </c>
      <c r="H22" s="3" t="str">
        <f>_xlfn.CONCAT(FIXED(VLOOKUP($A22,Reg2_sf_last_rob!$A:$AG,H$1,0),4),VLOOKUP($A22,Reg2_sf_last_rob!$A:$AG,H$1+25,0))</f>
        <v>0.1325***</v>
      </c>
      <c r="I22" s="3" t="str">
        <f>_xlfn.CONCAT(FIXED(VLOOKUP($A22,Reg2_sf_first_rob!$A:$AG,I$1,0),4),VLOOKUP($A22,Reg2_sf_first_rob!$A:$AG,I$1+25,0))</f>
        <v>0.1432***</v>
      </c>
    </row>
    <row r="23" spans="1:9" hidden="1" x14ac:dyDescent="0.25">
      <c r="A23">
        <v>18</v>
      </c>
      <c r="D23" s="3" t="str">
        <f>_xlfn.CONCAT("(",FIXED(ABS(VLOOKUP($A22,Reg1_ct_Robust!$A:$AG,D$1+1,0)),4),")")</f>
        <v>(0.0852)</v>
      </c>
      <c r="E23" s="3" t="str">
        <f>_xlfn.CONCAT("(",FIXED(ABS(VLOOKUP($A22,Reg2_ct_last_rob!$A:$AG,E$1+1,0)),4),")")</f>
        <v>(0.0868)</v>
      </c>
      <c r="F23" s="3" t="str">
        <f>_xlfn.CONCAT("(",FIXED(ABS(VLOOKUP($A22,Reg2_ct_first_rob!$A:$AG,F$1+1,0)),4),")")</f>
        <v>(0.1029)</v>
      </c>
      <c r="G23" s="3" t="str">
        <f>_xlfn.CONCAT("(",FIXED(ABS(VLOOKUP($A22,Reg1_sf_Robust!$A:$AG,G$1+1,0)),4),")")</f>
        <v>(0.0289)</v>
      </c>
      <c r="H23" s="3" t="str">
        <f>_xlfn.CONCAT("(",FIXED(ABS(VLOOKUP($A22,Reg2_sf_last_rob!$A:$AG,H$1+1,0)),4),")")</f>
        <v>(0.0289)</v>
      </c>
      <c r="I23" s="3" t="str">
        <f>_xlfn.CONCAT("(",FIXED(ABS(VLOOKUP($A22,Reg2_sf_first_rob!$A:$AG,I$1+1,0)),4),")")</f>
        <v>(0.0356)</v>
      </c>
    </row>
    <row r="24" spans="1:9" x14ac:dyDescent="0.25">
      <c r="A24">
        <v>19</v>
      </c>
      <c r="B24" t="s">
        <v>15</v>
      </c>
      <c r="C24" t="s">
        <v>351</v>
      </c>
      <c r="D24" s="3" t="str">
        <f>_xlfn.CONCAT(FIXED(VLOOKUP($A24,Reg1_ct_Robust!$A:$AG,D$1,0),4),VLOOKUP($A24,Reg1_ct_Robust!$A:$AG,D$1+25,0))</f>
        <v>0.0594*</v>
      </c>
      <c r="E24" s="3" t="str">
        <f>_xlfn.CONCAT(FIXED(VLOOKUP($A24,Reg2_ct_last_rob!$A:$AG,E$1,0),4),VLOOKUP($A24,Reg2_ct_last_rob!$A:$AG,E$1+25,0))</f>
        <v>0.0595*</v>
      </c>
      <c r="F24" s="3" t="str">
        <f>_xlfn.CONCAT(FIXED(VLOOKUP($A24,Reg2_ct_first_rob!$A:$AG,F$1,0),4),VLOOKUP($A24,Reg2_ct_first_rob!$A:$AG,F$1+25,0))</f>
        <v>0.0580*</v>
      </c>
      <c r="G24" s="3" t="str">
        <f>_xlfn.CONCAT(FIXED(VLOOKUP($A24,Reg1_sf_Robust!$A:$AG,G$1,0),4),VLOOKUP($A24,Reg1_sf_Robust!$A:$AG,G$1+25,0))</f>
        <v>-0.0319***</v>
      </c>
      <c r="H24" s="3" t="str">
        <f>_xlfn.CONCAT(FIXED(VLOOKUP($A24,Reg2_sf_last_rob!$A:$AG,H$1,0),4),VLOOKUP($A24,Reg2_sf_last_rob!$A:$AG,H$1+25,0))</f>
        <v>-0.0319***</v>
      </c>
      <c r="I24" s="3" t="str">
        <f>_xlfn.CONCAT(FIXED(VLOOKUP($A24,Reg2_sf_first_rob!$A:$AG,I$1,0),4),VLOOKUP($A24,Reg2_sf_first_rob!$A:$AG,I$1+25,0))</f>
        <v>-0.0336***</v>
      </c>
    </row>
    <row r="25" spans="1:9" x14ac:dyDescent="0.25">
      <c r="A25">
        <v>20</v>
      </c>
      <c r="D25" s="3" t="str">
        <f>_xlfn.CONCAT("(",FIXED(ABS(VLOOKUP($A24,Reg1_ct_Robust!$A:$AG,D$1+1,0)),4),")")</f>
        <v>(0.0297)</v>
      </c>
      <c r="E25" s="3" t="str">
        <f>_xlfn.CONCAT("(",FIXED(ABS(VLOOKUP($A24,Reg2_ct_last_rob!$A:$AG,E$1+1,0)),4),")")</f>
        <v>(0.0302)</v>
      </c>
      <c r="F25" s="3" t="str">
        <f>_xlfn.CONCAT("(",FIXED(ABS(VLOOKUP($A24,Reg2_ct_first_rob!$A:$AG,F$1+1,0)),4),")")</f>
        <v>(0.0304)</v>
      </c>
      <c r="G25" s="3" t="str">
        <f>_xlfn.CONCAT("(",FIXED(ABS(VLOOKUP($A24,Reg1_sf_Robust!$A:$AG,G$1+1,0)),4),")")</f>
        <v>(0.0055)</v>
      </c>
      <c r="H25" s="3" t="str">
        <f>_xlfn.CONCAT("(",FIXED(ABS(VLOOKUP($A24,Reg2_sf_last_rob!$A:$AG,H$1+1,0)),4),")")</f>
        <v>(0.0053)</v>
      </c>
      <c r="I25" s="3" t="str">
        <f>_xlfn.CONCAT("(",FIXED(ABS(VLOOKUP($A24,Reg2_sf_first_rob!$A:$AG,I$1+1,0)),4),")")</f>
        <v>(0.0053)</v>
      </c>
    </row>
    <row r="26" spans="1:9" x14ac:dyDescent="0.25">
      <c r="A26">
        <v>21</v>
      </c>
      <c r="B26" t="s">
        <v>13</v>
      </c>
      <c r="C26" t="s">
        <v>352</v>
      </c>
      <c r="D26" s="3" t="str">
        <f>_xlfn.CONCAT(FIXED(VLOOKUP($A26,Reg1_ct_Robust!$A:$AG,D$1,0),4),VLOOKUP($A26,Reg1_ct_Robust!$A:$AG,D$1+25,0))</f>
        <v>0.0610*</v>
      </c>
      <c r="E26" s="3" t="str">
        <f>_xlfn.CONCAT(FIXED(VLOOKUP($A26,Reg2_ct_last_rob!$A:$AG,E$1,0),4),VLOOKUP($A26,Reg2_ct_last_rob!$A:$AG,E$1+25,0))</f>
        <v>0.0639*</v>
      </c>
      <c r="F26" s="3" t="str">
        <f>_xlfn.CONCAT(FIXED(VLOOKUP($A26,Reg2_ct_first_rob!$A:$AG,F$1,0),4),VLOOKUP($A26,Reg2_ct_first_rob!$A:$AG,F$1+25,0))</f>
        <v>0.0615*</v>
      </c>
      <c r="G26" s="3" t="str">
        <f>_xlfn.CONCAT(FIXED(VLOOKUP($A26,Reg1_sf_Robust!$A:$AG,G$1,0),4),VLOOKUP($A26,Reg1_sf_Robust!$A:$AG,G$1+25,0))</f>
        <v>0.0649***</v>
      </c>
      <c r="H26" s="3" t="str">
        <f>_xlfn.CONCAT(FIXED(VLOOKUP($A26,Reg2_sf_last_rob!$A:$AG,H$1,0),4),VLOOKUP($A26,Reg2_sf_last_rob!$A:$AG,H$1+25,0))</f>
        <v>0.0656***</v>
      </c>
      <c r="I26" s="3" t="str">
        <f>_xlfn.CONCAT(FIXED(VLOOKUP($A26,Reg2_sf_first_rob!$A:$AG,I$1,0),4),VLOOKUP($A26,Reg2_sf_first_rob!$A:$AG,I$1+25,0))</f>
        <v>0.0704***</v>
      </c>
    </row>
    <row r="27" spans="1:9" x14ac:dyDescent="0.25">
      <c r="A27">
        <v>22</v>
      </c>
      <c r="D27" s="3" t="str">
        <f>_xlfn.CONCAT("(",FIXED(ABS(VLOOKUP($A26,Reg1_ct_Robust!$A:$AG,D$1+1,0)),4),")")</f>
        <v>(0.0298)</v>
      </c>
      <c r="E27" s="3" t="str">
        <f>_xlfn.CONCAT("(",FIXED(ABS(VLOOKUP($A26,Reg2_ct_last_rob!$A:$AG,E$1+1,0)),4),")")</f>
        <v>(0.0298)</v>
      </c>
      <c r="F27" s="3" t="str">
        <f>_xlfn.CONCAT("(",FIXED(ABS(VLOOKUP($A26,Reg2_ct_first_rob!$A:$AG,F$1+1,0)),4),")")</f>
        <v>(0.0305)</v>
      </c>
      <c r="G27" s="3" t="str">
        <f>_xlfn.CONCAT("(",FIXED(ABS(VLOOKUP($A26,Reg1_sf_Robust!$A:$AG,G$1+1,0)),4),")")</f>
        <v>(0.0065)</v>
      </c>
      <c r="H27" s="3" t="str">
        <f>_xlfn.CONCAT("(",FIXED(ABS(VLOOKUP($A26,Reg2_sf_last_rob!$A:$AG,H$1+1,0)),4),")")</f>
        <v>(0.0063)</v>
      </c>
      <c r="I27" s="3" t="str">
        <f>_xlfn.CONCAT("(",FIXED(ABS(VLOOKUP($A26,Reg2_sf_first_rob!$A:$AG,I$1+1,0)),4),")")</f>
        <v>(0.0063)</v>
      </c>
    </row>
    <row r="28" spans="1:9" x14ac:dyDescent="0.25">
      <c r="A28">
        <v>23</v>
      </c>
      <c r="B28" t="s">
        <v>14</v>
      </c>
      <c r="C28" t="s">
        <v>353</v>
      </c>
      <c r="D28" s="3" t="str">
        <f>_xlfn.CONCAT(FIXED(VLOOKUP($A28,Reg1_ct_Robust!$A:$AG,D$1,0),4),VLOOKUP($A28,Reg1_ct_Robust!$A:$AG,D$1+25,0))</f>
        <v>0.0293</v>
      </c>
      <c r="E28" s="3" t="str">
        <f>_xlfn.CONCAT(FIXED(VLOOKUP($A28,Reg2_ct_last_rob!$A:$AG,E$1,0),4),VLOOKUP($A28,Reg2_ct_last_rob!$A:$AG,E$1+25,0))</f>
        <v>0.0275</v>
      </c>
      <c r="F28" s="3" t="str">
        <f>_xlfn.CONCAT(FIXED(VLOOKUP($A28,Reg2_ct_first_rob!$A:$AG,F$1,0),4),VLOOKUP($A28,Reg2_ct_first_rob!$A:$AG,F$1+25,0))</f>
        <v>0.0247</v>
      </c>
      <c r="G28" s="3" t="str">
        <f>_xlfn.CONCAT(FIXED(VLOOKUP($A28,Reg1_sf_Robust!$A:$AG,G$1,0),4),VLOOKUP($A28,Reg1_sf_Robust!$A:$AG,G$1+25,0))</f>
        <v>0.0394***</v>
      </c>
      <c r="H28" s="3" t="str">
        <f>_xlfn.CONCAT(FIXED(VLOOKUP($A28,Reg2_sf_last_rob!$A:$AG,H$1,0),4),VLOOKUP($A28,Reg2_sf_last_rob!$A:$AG,H$1+25,0))</f>
        <v>0.0397***</v>
      </c>
      <c r="I28" s="3" t="str">
        <f>_xlfn.CONCAT(FIXED(VLOOKUP($A28,Reg2_sf_first_rob!$A:$AG,I$1,0),4),VLOOKUP($A28,Reg2_sf_first_rob!$A:$AG,I$1+25,0))</f>
        <v>0.0425***</v>
      </c>
    </row>
    <row r="29" spans="1:9" x14ac:dyDescent="0.25">
      <c r="A29">
        <v>24</v>
      </c>
      <c r="D29" s="3" t="str">
        <f>_xlfn.CONCAT("(",FIXED(ABS(VLOOKUP($A28,Reg1_ct_Robust!$A:$AG,D$1+1,0)),4),")")</f>
        <v>(0.0238)</v>
      </c>
      <c r="E29" s="3" t="str">
        <f>_xlfn.CONCAT("(",FIXED(ABS(VLOOKUP($A28,Reg2_ct_last_rob!$A:$AG,E$1+1,0)),4),")")</f>
        <v>(0.0254)</v>
      </c>
      <c r="F29" s="3" t="str">
        <f>_xlfn.CONCAT("(",FIXED(ABS(VLOOKUP($A28,Reg2_ct_first_rob!$A:$AG,F$1+1,0)),4),")")</f>
        <v>(0.0247)</v>
      </c>
      <c r="G29" s="3" t="str">
        <f>_xlfn.CONCAT("(",FIXED(ABS(VLOOKUP($A28,Reg1_sf_Robust!$A:$AG,G$1+1,0)),4),")")</f>
        <v>(0.0074)</v>
      </c>
      <c r="H29" s="3" t="str">
        <f>_xlfn.CONCAT("(",FIXED(ABS(VLOOKUP($A28,Reg2_sf_last_rob!$A:$AG,H$1+1,0)),4),")")</f>
        <v>(0.0067)</v>
      </c>
      <c r="I29" s="3" t="str">
        <f>_xlfn.CONCAT("(",FIXED(ABS(VLOOKUP($A28,Reg2_sf_first_rob!$A:$AG,I$1+1,0)),4),")")</f>
        <v>(0.0067)</v>
      </c>
    </row>
    <row r="30" spans="1:9" x14ac:dyDescent="0.25">
      <c r="A30">
        <v>25</v>
      </c>
      <c r="B30" t="s">
        <v>59</v>
      </c>
      <c r="C30" t="s">
        <v>354</v>
      </c>
      <c r="D30" s="3" t="str">
        <f>_xlfn.CONCAT(FIXED(VLOOKUP($A30,Reg1_ct_Robust!$A:$AG,D$1,0),4),VLOOKUP($A30,Reg1_ct_Robust!$A:$AG,D$1+25,0))</f>
        <v>-0.0328</v>
      </c>
      <c r="E30" s="3" t="str">
        <f>_xlfn.CONCAT(FIXED(VLOOKUP($A30,Reg2_ct_last_rob!$A:$AG,E$1,0),4),VLOOKUP($A30,Reg2_ct_last_rob!$A:$AG,E$1+25,0))</f>
        <v>-0.0309</v>
      </c>
      <c r="F30" s="3" t="str">
        <f>_xlfn.CONCAT(FIXED(VLOOKUP($A30,Reg2_ct_first_rob!$A:$AG,F$1,0),4),VLOOKUP($A30,Reg2_ct_first_rob!$A:$AG,F$1+25,0))</f>
        <v>-0.0335</v>
      </c>
      <c r="G30" s="3" t="str">
        <f>_xlfn.CONCAT(FIXED(VLOOKUP($A30,Reg1_sf_Robust!$A:$AG,G$1,0),4),VLOOKUP($A30,Reg1_sf_Robust!$A:$AG,G$1+25,0))</f>
        <v>-0.0446***</v>
      </c>
      <c r="H30" s="3" t="str">
        <f>_xlfn.CONCAT(FIXED(VLOOKUP($A30,Reg2_sf_last_rob!$A:$AG,H$1,0),4),VLOOKUP($A30,Reg2_sf_last_rob!$A:$AG,H$1+25,0))</f>
        <v>-0.0439***</v>
      </c>
      <c r="I30" s="3" t="str">
        <f>_xlfn.CONCAT(FIXED(VLOOKUP($A30,Reg2_sf_first_rob!$A:$AG,I$1,0),4),VLOOKUP($A30,Reg2_sf_first_rob!$A:$AG,I$1+25,0))</f>
        <v>-0.0453***</v>
      </c>
    </row>
    <row r="31" spans="1:9" x14ac:dyDescent="0.25">
      <c r="A31">
        <v>26</v>
      </c>
      <c r="D31" s="3" t="str">
        <f>_xlfn.CONCAT("(",FIXED(ABS(VLOOKUP($A30,Reg1_ct_Robust!$A:$AG,D$1+1,0)),4),")")</f>
        <v>(0.0219)</v>
      </c>
      <c r="E31" s="3" t="str">
        <f>_xlfn.CONCAT("(",FIXED(ABS(VLOOKUP($A30,Reg2_ct_last_rob!$A:$AG,E$1+1,0)),4),")")</f>
        <v>(0.0226)</v>
      </c>
      <c r="F31" s="3" t="str">
        <f>_xlfn.CONCAT("(",FIXED(ABS(VLOOKUP($A30,Reg2_ct_first_rob!$A:$AG,F$1+1,0)),4),")")</f>
        <v>(0.0231)</v>
      </c>
      <c r="G31" s="3" t="str">
        <f>_xlfn.CONCAT("(",FIXED(ABS(VLOOKUP($A30,Reg1_sf_Robust!$A:$AG,G$1+1,0)),4),")")</f>
        <v>(0.0092)</v>
      </c>
      <c r="H31" s="3" t="str">
        <f>_xlfn.CONCAT("(",FIXED(ABS(VLOOKUP($A30,Reg2_sf_last_rob!$A:$AG,H$1+1,0)),4),")")</f>
        <v>(0.0091)</v>
      </c>
      <c r="I31" s="3" t="str">
        <f>_xlfn.CONCAT("(",FIXED(ABS(VLOOKUP($A30,Reg2_sf_first_rob!$A:$AG,I$1+1,0)),4),")")</f>
        <v>(0.0092)</v>
      </c>
    </row>
    <row r="32" spans="1:9" x14ac:dyDescent="0.25">
      <c r="A32">
        <v>27</v>
      </c>
      <c r="B32" t="s">
        <v>60</v>
      </c>
      <c r="C32" t="s">
        <v>355</v>
      </c>
      <c r="D32" s="3" t="str">
        <f>_xlfn.CONCAT(FIXED(VLOOKUP($A32,Reg1_ct_Robust!$A:$AG,D$1,0),4),VLOOKUP($A32,Reg1_ct_Robust!$A:$AG,D$1+25,0))</f>
        <v>-0.0098</v>
      </c>
      <c r="E32" s="3" t="str">
        <f>_xlfn.CONCAT(FIXED(VLOOKUP($A32,Reg2_ct_last_rob!$A:$AG,E$1,0),4),VLOOKUP($A32,Reg2_ct_last_rob!$A:$AG,E$1+25,0))</f>
        <v>-0.0065</v>
      </c>
      <c r="F32" s="3" t="str">
        <f>_xlfn.CONCAT(FIXED(VLOOKUP($A32,Reg2_ct_first_rob!$A:$AG,F$1,0),4),VLOOKUP($A32,Reg2_ct_first_rob!$A:$AG,F$1+25,0))</f>
        <v>-0.0081</v>
      </c>
      <c r="G32" s="3" t="str">
        <f>_xlfn.CONCAT(FIXED(VLOOKUP($A32,Reg1_sf_Robust!$A:$AG,G$1,0),4),VLOOKUP($A32,Reg1_sf_Robust!$A:$AG,G$1+25,0))</f>
        <v>-0.0791***</v>
      </c>
      <c r="H32" s="3" t="str">
        <f>_xlfn.CONCAT(FIXED(VLOOKUP($A32,Reg2_sf_last_rob!$A:$AG,H$1,0),4),VLOOKUP($A32,Reg2_sf_last_rob!$A:$AG,H$1+25,0))</f>
        <v>-0.0730***</v>
      </c>
      <c r="I32" s="3" t="str">
        <f>_xlfn.CONCAT(FIXED(VLOOKUP($A32,Reg2_sf_first_rob!$A:$AG,I$1,0),4),VLOOKUP($A32,Reg2_sf_first_rob!$A:$AG,I$1+25,0))</f>
        <v>-0.0792***</v>
      </c>
    </row>
    <row r="33" spans="1:9" x14ac:dyDescent="0.25">
      <c r="A33">
        <v>28</v>
      </c>
      <c r="D33" s="3" t="str">
        <f>_xlfn.CONCAT("(",FIXED(ABS(VLOOKUP($A32,Reg1_ct_Robust!$A:$AG,D$1+1,0)),4),")")</f>
        <v>(0.0103)</v>
      </c>
      <c r="E33" s="3" t="str">
        <f>_xlfn.CONCAT("(",FIXED(ABS(VLOOKUP($A32,Reg2_ct_last_rob!$A:$AG,E$1+1,0)),4),")")</f>
        <v>(0.0110)</v>
      </c>
      <c r="F33" s="3" t="str">
        <f>_xlfn.CONCAT("(",FIXED(ABS(VLOOKUP($A32,Reg2_ct_first_rob!$A:$AG,F$1+1,0)),4),")")</f>
        <v>(0.0101)</v>
      </c>
      <c r="G33" s="3" t="str">
        <f>_xlfn.CONCAT("(",FIXED(ABS(VLOOKUP($A32,Reg1_sf_Robust!$A:$AG,G$1+1,0)),4),")")</f>
        <v>(0.0147)</v>
      </c>
      <c r="H33" s="3" t="str">
        <f>_xlfn.CONCAT("(",FIXED(ABS(VLOOKUP($A32,Reg2_sf_last_rob!$A:$AG,H$1+1,0)),4),")")</f>
        <v>(0.0149)</v>
      </c>
      <c r="I33" s="3" t="str">
        <f>_xlfn.CONCAT("(",FIXED(ABS(VLOOKUP($A32,Reg2_sf_first_rob!$A:$AG,I$1+1,0)),4),")")</f>
        <v>(0.0184)</v>
      </c>
    </row>
    <row r="34" spans="1:9" x14ac:dyDescent="0.25">
      <c r="A34">
        <v>29</v>
      </c>
      <c r="B34" t="s">
        <v>18</v>
      </c>
      <c r="C34" t="s">
        <v>356</v>
      </c>
      <c r="D34" s="3" t="str">
        <f>_xlfn.CONCAT(FIXED(VLOOKUP($A34,Reg1_ct_Robust!$A:$AG,D$1,0),4),VLOOKUP($A34,Reg1_ct_Robust!$A:$AG,D$1+25,0))</f>
        <v>0.0005***</v>
      </c>
      <c r="E34" s="3" t="str">
        <f>_xlfn.CONCAT(FIXED(VLOOKUP($A34,Reg2_ct_last_rob!$A:$AG,E$1,0),4),VLOOKUP($A34,Reg2_ct_last_rob!$A:$AG,E$1+25,0))</f>
        <v>0.0005***</v>
      </c>
      <c r="F34" s="3" t="str">
        <f>_xlfn.CONCAT(FIXED(VLOOKUP($A34,Reg2_ct_first_rob!$A:$AG,F$1,0),4),VLOOKUP($A34,Reg2_ct_first_rob!$A:$AG,F$1+25,0))</f>
        <v>0.0005***</v>
      </c>
      <c r="G34" s="3" t="str">
        <f>_xlfn.CONCAT(FIXED(VLOOKUP($A34,Reg1_sf_Robust!$A:$AG,G$1,0),4),VLOOKUP($A34,Reg1_sf_Robust!$A:$AG,G$1+25,0))</f>
        <v>0.0002***</v>
      </c>
      <c r="H34" s="3" t="str">
        <f>_xlfn.CONCAT(FIXED(VLOOKUP($A34,Reg2_sf_last_rob!$A:$AG,H$1,0),4),VLOOKUP($A34,Reg2_sf_last_rob!$A:$AG,H$1+25,0))</f>
        <v>0.0002***</v>
      </c>
      <c r="I34" s="3" t="str">
        <f>_xlfn.CONCAT(FIXED(VLOOKUP($A34,Reg2_sf_first_rob!$A:$AG,I$1,0),4),VLOOKUP($A34,Reg2_sf_first_rob!$A:$AG,I$1+25,0))</f>
        <v>0.0002***</v>
      </c>
    </row>
    <row r="35" spans="1:9" x14ac:dyDescent="0.25">
      <c r="A35">
        <v>30</v>
      </c>
      <c r="D35" s="3" t="str">
        <f>_xlfn.CONCAT("(",FIXED(ABS(VLOOKUP($A34,Reg1_ct_Robust!$A:$AG,D$1+1,0)),4),")")</f>
        <v>(0.0001)</v>
      </c>
      <c r="E35" s="3" t="str">
        <f>_xlfn.CONCAT("(",FIXED(ABS(VLOOKUP($A34,Reg2_ct_last_rob!$A:$AG,E$1+1,0)),4),")")</f>
        <v>(0.0001)</v>
      </c>
      <c r="F35" s="3" t="str">
        <f>_xlfn.CONCAT("(",FIXED(ABS(VLOOKUP($A34,Reg2_ct_first_rob!$A:$AG,F$1+1,0)),4),")")</f>
        <v>(0.0001)</v>
      </c>
      <c r="G35" s="3" t="str">
        <f>_xlfn.CONCAT("(",FIXED(ABS(VLOOKUP($A34,Reg1_sf_Robust!$A:$AG,G$1+1,0)),4),")")</f>
        <v>(0.0000)</v>
      </c>
      <c r="H35" s="3" t="str">
        <f>_xlfn.CONCAT("(",FIXED(ABS(VLOOKUP($A34,Reg2_sf_last_rob!$A:$AG,H$1+1,0)),4),")")</f>
        <v>(0.0000)</v>
      </c>
      <c r="I35" s="3" t="str">
        <f>_xlfn.CONCAT("(",FIXED(ABS(VLOOKUP($A34,Reg2_sf_first_rob!$A:$AG,I$1+1,0)),4),")")</f>
        <v>(0.0000)</v>
      </c>
    </row>
    <row r="36" spans="1:9" x14ac:dyDescent="0.25">
      <c r="A36">
        <v>31</v>
      </c>
      <c r="B36" t="s">
        <v>33</v>
      </c>
      <c r="C36" t="s">
        <v>33</v>
      </c>
      <c r="D36" s="3" t="str">
        <f>_xlfn.CONCAT(FIXED(VLOOKUP($A36,Reg1_ct_Robust!$A:$AG,D$1,0),4),VLOOKUP($A36,Reg1_ct_Robust!$A:$AG,D$1+25,0))</f>
        <v>-0.0216**</v>
      </c>
      <c r="E36" s="3" t="str">
        <f>_xlfn.CONCAT(FIXED(VLOOKUP($A36,Reg2_ct_last_rob!$A:$AG,E$1,0),4),VLOOKUP($A36,Reg2_ct_last_rob!$A:$AG,E$1+25,0))</f>
        <v>-0.0225**</v>
      </c>
      <c r="F36" s="3" t="str">
        <f>_xlfn.CONCAT(FIXED(VLOOKUP($A36,Reg2_ct_first_rob!$A:$AG,F$1,0),4),VLOOKUP($A36,Reg2_ct_first_rob!$A:$AG,F$1+25,0))</f>
        <v>-0.0224**</v>
      </c>
      <c r="G36" s="3" t="str">
        <f>_xlfn.CONCAT(FIXED(VLOOKUP($A36,Reg1_sf_Robust!$A:$AG,G$1,0),4),VLOOKUP($A36,Reg1_sf_Robust!$A:$AG,G$1+25,0))</f>
        <v>-0.0011</v>
      </c>
      <c r="H36" s="3" t="str">
        <f>_xlfn.CONCAT(FIXED(VLOOKUP($A36,Reg2_sf_last_rob!$A:$AG,H$1,0),4),VLOOKUP($A36,Reg2_sf_last_rob!$A:$AG,H$1+25,0))</f>
        <v>-0.0010</v>
      </c>
      <c r="I36" s="3" t="str">
        <f>_xlfn.CONCAT(FIXED(VLOOKUP($A36,Reg2_sf_first_rob!$A:$AG,I$1,0),4),VLOOKUP($A36,Reg2_sf_first_rob!$A:$AG,I$1+25,0))</f>
        <v>-0.0011</v>
      </c>
    </row>
    <row r="37" spans="1:9" x14ac:dyDescent="0.25">
      <c r="A37">
        <v>32</v>
      </c>
      <c r="D37" s="3" t="str">
        <f>_xlfn.CONCAT("(",FIXED(ABS(VLOOKUP($A36,Reg1_ct_Robust!$A:$AG,D$1+1,0)),4),")")</f>
        <v>(0.0067)</v>
      </c>
      <c r="E37" s="3" t="str">
        <f>_xlfn.CONCAT("(",FIXED(ABS(VLOOKUP($A36,Reg2_ct_last_rob!$A:$AG,E$1+1,0)),4),")")</f>
        <v>(0.0070)</v>
      </c>
      <c r="F37" s="3" t="str">
        <f>_xlfn.CONCAT("(",FIXED(ABS(VLOOKUP($A36,Reg2_ct_first_rob!$A:$AG,F$1+1,0)),4),")")</f>
        <v>(0.0067)</v>
      </c>
      <c r="G37" s="3" t="str">
        <f>_xlfn.CONCAT("(",FIXED(ABS(VLOOKUP($A36,Reg1_sf_Robust!$A:$AG,G$1+1,0)),4),")")</f>
        <v>(0.0009)</v>
      </c>
      <c r="H37" s="3" t="str">
        <f>_xlfn.CONCAT("(",FIXED(ABS(VLOOKUP($A36,Reg2_sf_last_rob!$A:$AG,H$1+1,0)),4),")")</f>
        <v>(0.0008)</v>
      </c>
      <c r="I37" s="3" t="str">
        <f>_xlfn.CONCAT("(",FIXED(ABS(VLOOKUP($A36,Reg2_sf_first_rob!$A:$AG,I$1+1,0)),4),")")</f>
        <v>(0.0009)</v>
      </c>
    </row>
    <row r="38" spans="1:9" x14ac:dyDescent="0.25">
      <c r="A38">
        <v>33</v>
      </c>
      <c r="B38" t="s">
        <v>34</v>
      </c>
      <c r="C38" t="s">
        <v>34</v>
      </c>
      <c r="D38" s="3" t="str">
        <f>_xlfn.CONCAT(FIXED(VLOOKUP($A38,Reg1_ct_Robust!$A:$AG,D$1,0),4),VLOOKUP($A38,Reg1_ct_Robust!$A:$AG,D$1+25,0))</f>
        <v>0.2094*</v>
      </c>
      <c r="E38" s="3" t="str">
        <f>_xlfn.CONCAT(FIXED(VLOOKUP($A38,Reg2_ct_last_rob!$A:$AG,E$1,0),4),VLOOKUP($A38,Reg2_ct_last_rob!$A:$AG,E$1+25,0))</f>
        <v>0.2221**</v>
      </c>
      <c r="F38" s="3" t="str">
        <f>_xlfn.CONCAT(FIXED(VLOOKUP($A38,Reg2_ct_first_rob!$A:$AG,F$1,0),4),VLOOKUP($A38,Reg2_ct_first_rob!$A:$AG,F$1+25,0))</f>
        <v>0.2241**</v>
      </c>
      <c r="G38" s="3" t="str">
        <f>_xlfn.CONCAT(FIXED(VLOOKUP($A38,Reg1_sf_Robust!$A:$AG,G$1,0),4),VLOOKUP($A38,Reg1_sf_Robust!$A:$AG,G$1+25,0))</f>
        <v>0.0217**</v>
      </c>
      <c r="H38" s="3" t="str">
        <f>_xlfn.CONCAT(FIXED(VLOOKUP($A38,Reg2_sf_last_rob!$A:$AG,H$1,0),4),VLOOKUP($A38,Reg2_sf_last_rob!$A:$AG,H$1+25,0))</f>
        <v>0.0208**</v>
      </c>
      <c r="I38" s="3" t="str">
        <f>_xlfn.CONCAT(FIXED(VLOOKUP($A38,Reg2_sf_first_rob!$A:$AG,I$1,0),4),VLOOKUP($A38,Reg2_sf_first_rob!$A:$AG,I$1+25,0))</f>
        <v>0.0225**</v>
      </c>
    </row>
    <row r="39" spans="1:9" x14ac:dyDescent="0.25">
      <c r="A39">
        <v>34</v>
      </c>
      <c r="D39" s="3" t="str">
        <f>_xlfn.CONCAT("(",FIXED(ABS(VLOOKUP($A38,Reg1_ct_Robust!$A:$AG,D$1+1,0)),4),")")</f>
        <v>(0.0908)</v>
      </c>
      <c r="E39" s="3" t="str">
        <f>_xlfn.CONCAT("(",FIXED(ABS(VLOOKUP($A38,Reg2_ct_last_rob!$A:$AG,E$1+1,0)),4),")")</f>
        <v>(0.0935)</v>
      </c>
      <c r="F39" s="3" t="str">
        <f>_xlfn.CONCAT("(",FIXED(ABS(VLOOKUP($A38,Reg2_ct_first_rob!$A:$AG,F$1+1,0)),4),")")</f>
        <v>(0.0913)</v>
      </c>
      <c r="G39" s="3" t="str">
        <f>_xlfn.CONCAT("(",FIXED(ABS(VLOOKUP($A38,Reg1_sf_Robust!$A:$AG,G$1+1,0)),4),")")</f>
        <v>(0.0096)</v>
      </c>
      <c r="H39" s="3" t="str">
        <f>_xlfn.CONCAT("(",FIXED(ABS(VLOOKUP($A38,Reg2_sf_last_rob!$A:$AG,H$1+1,0)),4),")")</f>
        <v>(0.0091)</v>
      </c>
      <c r="I39" s="3" t="str">
        <f>_xlfn.CONCAT("(",FIXED(ABS(VLOOKUP($A38,Reg2_sf_first_rob!$A:$AG,I$1+1,0)),4),")")</f>
        <v>(0.0097)</v>
      </c>
    </row>
    <row r="40" spans="1:9" x14ac:dyDescent="0.25">
      <c r="A40">
        <v>35</v>
      </c>
      <c r="B40" t="s">
        <v>21</v>
      </c>
      <c r="C40" t="s">
        <v>21</v>
      </c>
      <c r="D40" s="3" t="str">
        <f>_xlfn.CONCAT(FIXED(VLOOKUP($A40,Reg1_ct_Robust!$A:$AG,D$1,0),4),VLOOKUP($A40,Reg1_ct_Robust!$A:$AG,D$1+25,0))</f>
        <v>-0.0054</v>
      </c>
      <c r="E40" s="3" t="str">
        <f>_xlfn.CONCAT(FIXED(VLOOKUP($A40,Reg2_ct_last_rob!$A:$AG,E$1,0),4),VLOOKUP($A40,Reg2_ct_last_rob!$A:$AG,E$1+25,0))</f>
        <v>-0.0115</v>
      </c>
      <c r="F40" s="3" t="str">
        <f>_xlfn.CONCAT(FIXED(VLOOKUP($A40,Reg2_ct_first_rob!$A:$AG,F$1,0),4),VLOOKUP($A40,Reg2_ct_first_rob!$A:$AG,F$1+25,0))</f>
        <v>-0.0072</v>
      </c>
      <c r="G40" s="3" t="str">
        <f>_xlfn.CONCAT(FIXED(VLOOKUP($A40,Reg1_sf_Robust!$A:$AG,G$1,0),4),VLOOKUP($A40,Reg1_sf_Robust!$A:$AG,G$1+25,0))</f>
        <v>-0.0455**</v>
      </c>
      <c r="H40" s="3" t="str">
        <f>_xlfn.CONCAT(FIXED(VLOOKUP($A40,Reg2_sf_last_rob!$A:$AG,H$1,0),4),VLOOKUP($A40,Reg2_sf_last_rob!$A:$AG,H$1+25,0))</f>
        <v>-0.0417**</v>
      </c>
      <c r="I40" s="3" t="str">
        <f>_xlfn.CONCAT(FIXED(VLOOKUP($A40,Reg2_sf_first_rob!$A:$AG,I$1,0),4),VLOOKUP($A40,Reg2_sf_first_rob!$A:$AG,I$1+25,0))</f>
        <v>-0.0438***</v>
      </c>
    </row>
    <row r="41" spans="1:9" x14ac:dyDescent="0.25">
      <c r="A41">
        <v>36</v>
      </c>
      <c r="D41" s="3" t="str">
        <f>_xlfn.CONCAT("(",FIXED(ABS(VLOOKUP($A40,Reg1_ct_Robust!$A:$AG,D$1+1,0)),4),")")</f>
        <v>(0.0969)</v>
      </c>
      <c r="E41" s="3" t="str">
        <f>_xlfn.CONCAT("(",FIXED(ABS(VLOOKUP($A40,Reg2_ct_last_rob!$A:$AG,E$1+1,0)),4),")")</f>
        <v>(0.1154)</v>
      </c>
      <c r="F41" s="3" t="str">
        <f>_xlfn.CONCAT("(",FIXED(ABS(VLOOKUP($A40,Reg2_ct_first_rob!$A:$AG,F$1+1,0)),4),")")</f>
        <v>(0.1324)</v>
      </c>
      <c r="G41" s="3" t="str">
        <f>_xlfn.CONCAT("(",FIXED(ABS(VLOOKUP($A40,Reg1_sf_Robust!$A:$AG,G$1+1,0)),4),")")</f>
        <v>(0.0145)</v>
      </c>
      <c r="H41" s="3" t="str">
        <f>_xlfn.CONCAT("(",FIXED(ABS(VLOOKUP($A40,Reg2_sf_last_rob!$A:$AG,H$1+1,0)),4),")")</f>
        <v>(0.0138)</v>
      </c>
      <c r="I41" s="3" t="str">
        <f>_xlfn.CONCAT("(",FIXED(ABS(VLOOKUP($A40,Reg2_sf_first_rob!$A:$AG,I$1+1,0)),4),")")</f>
        <v>(0.0130)</v>
      </c>
    </row>
    <row r="42" spans="1:9" x14ac:dyDescent="0.25">
      <c r="A42">
        <v>37</v>
      </c>
      <c r="B42" t="s">
        <v>224</v>
      </c>
      <c r="C42" t="s">
        <v>357</v>
      </c>
      <c r="D42" s="3" t="str">
        <f>_xlfn.CONCAT(FIXED(VLOOKUP($A42,Reg1_ct_Robust!$A:$AG,D$1,0),4),VLOOKUP($A42,Reg1_ct_Robust!$A:$AG,D$1+25,0))</f>
        <v>0.0982***</v>
      </c>
      <c r="E42" s="3" t="str">
        <f>_xlfn.CONCAT(FIXED(VLOOKUP($A42,Reg2_ct_last_rob!$A:$AG,E$1,0),4),VLOOKUP($A42,Reg2_ct_last_rob!$A:$AG,E$1+25,0))</f>
        <v>0.0970***</v>
      </c>
      <c r="F42" s="3" t="str">
        <f>_xlfn.CONCAT(FIXED(VLOOKUP($A42,Reg2_ct_first_rob!$A:$AG,F$1,0),4),VLOOKUP($A42,Reg2_ct_first_rob!$A:$AG,F$1+25,0))</f>
        <v>0.0997***</v>
      </c>
      <c r="G42" s="3" t="str">
        <f>_xlfn.CONCAT(FIXED(VLOOKUP($A42,Reg1_sf_Robust!$A:$AG,G$1,0),4),VLOOKUP($A42,Reg1_sf_Robust!$A:$AG,G$1+25,0))</f>
        <v>0.1153***</v>
      </c>
      <c r="H42" s="3" t="str">
        <f>_xlfn.CONCAT(FIXED(VLOOKUP($A42,Reg2_sf_last_rob!$A:$AG,H$1,0),4),VLOOKUP($A42,Reg2_sf_last_rob!$A:$AG,H$1+25,0))</f>
        <v>0.1157***</v>
      </c>
      <c r="I42" s="3" t="str">
        <f>_xlfn.CONCAT(FIXED(VLOOKUP($A42,Reg2_sf_first_rob!$A:$AG,I$1,0),4),VLOOKUP($A42,Reg2_sf_first_rob!$A:$AG,I$1+25,0))</f>
        <v>0.1138***</v>
      </c>
    </row>
    <row r="43" spans="1:9" x14ac:dyDescent="0.25">
      <c r="A43">
        <v>38</v>
      </c>
      <c r="D43" s="3" t="str">
        <f>_xlfn.CONCAT("(",FIXED(ABS(VLOOKUP($A42,Reg1_ct_Robust!$A:$AG,D$1+1,0)),4),")")</f>
        <v>(0.0122)</v>
      </c>
      <c r="E43" s="3" t="str">
        <f>_xlfn.CONCAT("(",FIXED(ABS(VLOOKUP($A42,Reg2_ct_last_rob!$A:$AG,E$1+1,0)),4),")")</f>
        <v>(0.0127)</v>
      </c>
      <c r="F43" s="3" t="str">
        <f>_xlfn.CONCAT("(",FIXED(ABS(VLOOKUP($A42,Reg2_ct_first_rob!$A:$AG,F$1+1,0)),4),")")</f>
        <v>(0.0129)</v>
      </c>
      <c r="G43" s="3" t="str">
        <f>_xlfn.CONCAT("(",FIXED(ABS(VLOOKUP($A42,Reg1_sf_Robust!$A:$AG,G$1+1,0)),4),")")</f>
        <v>(0.0109)</v>
      </c>
      <c r="H43" s="3" t="str">
        <f>_xlfn.CONCAT("(",FIXED(ABS(VLOOKUP($A42,Reg2_sf_last_rob!$A:$AG,H$1+1,0)),4),")")</f>
        <v>(0.0102)</v>
      </c>
      <c r="I43" s="3" t="str">
        <f>_xlfn.CONCAT("(",FIXED(ABS(VLOOKUP($A42,Reg2_sf_first_rob!$A:$AG,I$1+1,0)),4),")")</f>
        <v>(0.0103)</v>
      </c>
    </row>
    <row r="44" spans="1:9" x14ac:dyDescent="0.25">
      <c r="A44">
        <v>39</v>
      </c>
      <c r="B44" t="s">
        <v>226</v>
      </c>
      <c r="C44" t="s">
        <v>358</v>
      </c>
      <c r="D44" s="3" t="str">
        <f>_xlfn.CONCAT(FIXED(VLOOKUP($A44,Reg1_ct_Robust!$A:$AG,D$1,0),4),VLOOKUP($A44,Reg1_ct_Robust!$A:$AG,D$1+25,0))</f>
        <v>0.0547***</v>
      </c>
      <c r="E44" s="3" t="str">
        <f>_xlfn.CONCAT(FIXED(VLOOKUP($A44,Reg2_ct_last_rob!$A:$AG,E$1,0),4),VLOOKUP($A44,Reg2_ct_last_rob!$A:$AG,E$1+25,0))</f>
        <v>0.0535***</v>
      </c>
      <c r="F44" s="3" t="str">
        <f>_xlfn.CONCAT(FIXED(VLOOKUP($A44,Reg2_ct_first_rob!$A:$AG,F$1,0),4),VLOOKUP($A44,Reg2_ct_first_rob!$A:$AG,F$1+25,0))</f>
        <v>0.0569***</v>
      </c>
      <c r="G44" s="3" t="str">
        <f>_xlfn.CONCAT(FIXED(VLOOKUP($A44,Reg1_sf_Robust!$A:$AG,G$1,0),4),VLOOKUP($A44,Reg1_sf_Robust!$A:$AG,G$1+25,0))</f>
        <v>0.0590***</v>
      </c>
      <c r="H44" s="3" t="str">
        <f>_xlfn.CONCAT(FIXED(VLOOKUP($A44,Reg2_sf_last_rob!$A:$AG,H$1,0),4),VLOOKUP($A44,Reg2_sf_last_rob!$A:$AG,H$1+25,0))</f>
        <v>0.0576***</v>
      </c>
      <c r="I44" s="3" t="str">
        <f>_xlfn.CONCAT(FIXED(VLOOKUP($A44,Reg2_sf_first_rob!$A:$AG,I$1,0),4),VLOOKUP($A44,Reg2_sf_first_rob!$A:$AG,I$1+25,0))</f>
        <v>0.0595***</v>
      </c>
    </row>
    <row r="45" spans="1:9" x14ac:dyDescent="0.25">
      <c r="A45">
        <v>40</v>
      </c>
      <c r="D45" s="3" t="str">
        <f>_xlfn.CONCAT("(",FIXED(ABS(VLOOKUP($A44,Reg1_ct_Robust!$A:$AG,D$1+1,0)),4),")")</f>
        <v>(0.0055)</v>
      </c>
      <c r="E45" s="3" t="str">
        <f>_xlfn.CONCAT("(",FIXED(ABS(VLOOKUP($A44,Reg2_ct_last_rob!$A:$AG,E$1+1,0)),4),")")</f>
        <v>(0.0057)</v>
      </c>
      <c r="F45" s="3" t="str">
        <f>_xlfn.CONCAT("(",FIXED(ABS(VLOOKUP($A44,Reg2_ct_first_rob!$A:$AG,F$1+1,0)),4),")")</f>
        <v>(0.0061)</v>
      </c>
      <c r="G45" s="3" t="str">
        <f>_xlfn.CONCAT("(",FIXED(ABS(VLOOKUP($A44,Reg1_sf_Robust!$A:$AG,G$1+1,0)),4),")")</f>
        <v>(0.0047)</v>
      </c>
      <c r="H45" s="3" t="str">
        <f>_xlfn.CONCAT("(",FIXED(ABS(VLOOKUP($A44,Reg2_sf_last_rob!$A:$AG,H$1+1,0)),4),")")</f>
        <v>(0.0039)</v>
      </c>
      <c r="I45" s="3" t="str">
        <f>_xlfn.CONCAT("(",FIXED(ABS(VLOOKUP($A44,Reg2_sf_first_rob!$A:$AG,I$1+1,0)),4),")")</f>
        <v>(0.0045)</v>
      </c>
    </row>
    <row r="46" spans="1:9" x14ac:dyDescent="0.25">
      <c r="A46">
        <v>41</v>
      </c>
      <c r="B46" t="s">
        <v>230</v>
      </c>
      <c r="C46" t="s">
        <v>359</v>
      </c>
      <c r="D46" s="3" t="str">
        <f>_xlfn.CONCAT(FIXED(VLOOKUP($A46,Reg1_ct_Robust!$A:$AG,D$1,0),4),VLOOKUP($A46,Reg1_ct_Robust!$A:$AG,D$1+25,0))</f>
        <v>-0.0950***</v>
      </c>
      <c r="E46" s="3" t="str">
        <f>_xlfn.CONCAT(FIXED(VLOOKUP($A46,Reg2_ct_last_rob!$A:$AG,E$1,0),4),VLOOKUP($A46,Reg2_ct_last_rob!$A:$AG,E$1+25,0))</f>
        <v>-0.0756***</v>
      </c>
      <c r="F46" s="3" t="str">
        <f>_xlfn.CONCAT(FIXED(VLOOKUP($A46,Reg2_ct_first_rob!$A:$AG,F$1,0),4),VLOOKUP($A46,Reg2_ct_first_rob!$A:$AG,F$1+25,0))</f>
        <v>-0.0931***</v>
      </c>
      <c r="G46" s="3" t="str">
        <f>_xlfn.CONCAT(FIXED(VLOOKUP($A46,Reg1_sf_Robust!$A:$AG,G$1,0),4),VLOOKUP($A46,Reg1_sf_Robust!$A:$AG,G$1+25,0))</f>
        <v>-0.0688***</v>
      </c>
      <c r="H46" s="3" t="str">
        <f>_xlfn.CONCAT(FIXED(VLOOKUP($A46,Reg2_sf_last_rob!$A:$AG,H$1,0),4),VLOOKUP($A46,Reg2_sf_last_rob!$A:$AG,H$1+25,0))</f>
        <v>-0.0515***</v>
      </c>
      <c r="I46" s="3" t="str">
        <f>_xlfn.CONCAT(FIXED(VLOOKUP($A46,Reg2_sf_first_rob!$A:$AG,I$1,0),4),VLOOKUP($A46,Reg2_sf_first_rob!$A:$AG,I$1+25,0))</f>
        <v>-0.0679***</v>
      </c>
    </row>
    <row r="47" spans="1:9" x14ac:dyDescent="0.25">
      <c r="A47">
        <v>42</v>
      </c>
      <c r="D47" s="3" t="str">
        <f>_xlfn.CONCAT("(",FIXED(ABS(VLOOKUP($A46,Reg1_ct_Robust!$A:$AG,D$1+1,0)),4),")")</f>
        <v>(0.0115)</v>
      </c>
      <c r="E47" s="3" t="str">
        <f>_xlfn.CONCAT("(",FIXED(ABS(VLOOKUP($A46,Reg2_ct_last_rob!$A:$AG,E$1+1,0)),4),")")</f>
        <v>(0.0123)</v>
      </c>
      <c r="F47" s="3" t="str">
        <f>_xlfn.CONCAT("(",FIXED(ABS(VLOOKUP($A46,Reg2_ct_first_rob!$A:$AG,F$1+1,0)),4),")")</f>
        <v>(0.0112)</v>
      </c>
      <c r="G47" s="3" t="str">
        <f>_xlfn.CONCAT("(",FIXED(ABS(VLOOKUP($A46,Reg1_sf_Robust!$A:$AG,G$1+1,0)),4),")")</f>
        <v>(0.0092)</v>
      </c>
      <c r="H47" s="3" t="str">
        <f>_xlfn.CONCAT("(",FIXED(ABS(VLOOKUP($A46,Reg2_sf_last_rob!$A:$AG,H$1+1,0)),4),")")</f>
        <v>(0.0104)</v>
      </c>
      <c r="I47" s="3" t="str">
        <f>_xlfn.CONCAT("(",FIXED(ABS(VLOOKUP($A46,Reg2_sf_first_rob!$A:$AG,I$1+1,0)),4),")")</f>
        <v>(0.0093)</v>
      </c>
    </row>
    <row r="48" spans="1:9" x14ac:dyDescent="0.25">
      <c r="A48">
        <v>43</v>
      </c>
      <c r="B48" t="s">
        <v>22</v>
      </c>
      <c r="C48" t="s">
        <v>360</v>
      </c>
      <c r="D48" s="3" t="str">
        <f>_xlfn.CONCAT(FIXED(VLOOKUP($A48,Reg1_ct_Robust!$A:$AG,D$1,0),4),VLOOKUP($A48,Reg1_ct_Robust!$A:$AG,D$1+25,0))</f>
        <v>-0.0194</v>
      </c>
      <c r="E48" s="3" t="str">
        <f>_xlfn.CONCAT(FIXED(VLOOKUP($A48,Reg2_ct_last_rob!$A:$AG,E$1,0),4),VLOOKUP($A48,Reg2_ct_last_rob!$A:$AG,E$1+25,0))</f>
        <v>-0.0250</v>
      </c>
      <c r="F48" s="3" t="str">
        <f>_xlfn.CONCAT(FIXED(VLOOKUP($A48,Reg2_ct_first_rob!$A:$AG,F$1,0),4),VLOOKUP($A48,Reg2_ct_first_rob!$A:$AG,F$1+25,0))</f>
        <v>-0.0235</v>
      </c>
      <c r="G48" s="3" t="str">
        <f>_xlfn.CONCAT(FIXED(VLOOKUP($A48,Reg1_sf_Robust!$A:$AG,G$1,0),4),VLOOKUP($A48,Reg1_sf_Robust!$A:$AG,G$1+25,0))</f>
        <v>0.0175</v>
      </c>
      <c r="H48" s="3" t="str">
        <f>_xlfn.CONCAT(FIXED(VLOOKUP($A48,Reg2_sf_last_rob!$A:$AG,H$1,0),4),VLOOKUP($A48,Reg2_sf_last_rob!$A:$AG,H$1+25,0))</f>
        <v>0.0176</v>
      </c>
      <c r="I48" s="3" t="str">
        <f>_xlfn.CONCAT(FIXED(VLOOKUP($A48,Reg2_sf_first_rob!$A:$AG,I$1,0),4),VLOOKUP($A48,Reg2_sf_first_rob!$A:$AG,I$1+25,0))</f>
        <v>0.0200</v>
      </c>
    </row>
    <row r="49" spans="1:9" x14ac:dyDescent="0.25">
      <c r="A49">
        <v>44</v>
      </c>
      <c r="D49" s="3" t="str">
        <f>_xlfn.CONCAT("(",FIXED(ABS(VLOOKUP($A48,Reg1_ct_Robust!$A:$AG,D$1+1,0)),4),")")</f>
        <v>(0.0201)</v>
      </c>
      <c r="E49" s="3" t="str">
        <f>_xlfn.CONCAT("(",FIXED(ABS(VLOOKUP($A48,Reg2_ct_last_rob!$A:$AG,E$1+1,0)),4),")")</f>
        <v>(0.0205)</v>
      </c>
      <c r="F49" s="3" t="str">
        <f>_xlfn.CONCAT("(",FIXED(ABS(VLOOKUP($A48,Reg2_ct_first_rob!$A:$AG,F$1+1,0)),4),")")</f>
        <v>(0.0204)</v>
      </c>
      <c r="G49" s="3" t="str">
        <f>_xlfn.CONCAT("(",FIXED(ABS(VLOOKUP($A48,Reg1_sf_Robust!$A:$AG,G$1+1,0)),4),")")</f>
        <v>(0.0140)</v>
      </c>
      <c r="H49" s="3" t="str">
        <f>_xlfn.CONCAT("(",FIXED(ABS(VLOOKUP($A48,Reg2_sf_last_rob!$A:$AG,H$1+1,0)),4),")")</f>
        <v>(0.0140)</v>
      </c>
      <c r="I49" s="3" t="str">
        <f>_xlfn.CONCAT("(",FIXED(ABS(VLOOKUP($A48,Reg2_sf_first_rob!$A:$AG,I$1+1,0)),4),")")</f>
        <v>(0.0133)</v>
      </c>
    </row>
    <row r="50" spans="1:9" x14ac:dyDescent="0.25">
      <c r="A50">
        <v>45</v>
      </c>
      <c r="B50" t="s">
        <v>23</v>
      </c>
      <c r="C50" t="s">
        <v>23</v>
      </c>
      <c r="D50" s="3" t="str">
        <f>_xlfn.CONCAT(FIXED(VLOOKUP($A50,Reg1_ct_Robust!$A:$AG,D$1,0),4),VLOOKUP($A50,Reg1_ct_Robust!$A:$AG,D$1+25,0))</f>
        <v>0.0116</v>
      </c>
      <c r="E50" s="3" t="str">
        <f>_xlfn.CONCAT(FIXED(VLOOKUP($A50,Reg2_ct_last_rob!$A:$AG,E$1,0),4),VLOOKUP($A50,Reg2_ct_last_rob!$A:$AG,E$1+25,0))</f>
        <v>0.0154</v>
      </c>
      <c r="F50" s="3" t="str">
        <f>_xlfn.CONCAT(FIXED(VLOOKUP($A50,Reg2_ct_first_rob!$A:$AG,F$1,0),4),VLOOKUP($A50,Reg2_ct_first_rob!$A:$AG,F$1+25,0))</f>
        <v>0.0180</v>
      </c>
      <c r="G50" s="3" t="str">
        <f>_xlfn.CONCAT(FIXED(VLOOKUP($A50,Reg1_sf_Robust!$A:$AG,G$1,0),4),VLOOKUP($A50,Reg1_sf_Robust!$A:$AG,G$1+25,0))</f>
        <v>-0.0493*</v>
      </c>
      <c r="H50" s="3" t="str">
        <f>_xlfn.CONCAT(FIXED(VLOOKUP($A50,Reg2_sf_last_rob!$A:$AG,H$1,0),4),VLOOKUP($A50,Reg2_sf_last_rob!$A:$AG,H$1+25,0))</f>
        <v>-0.0510*</v>
      </c>
      <c r="I50" s="3" t="str">
        <f>_xlfn.CONCAT(FIXED(VLOOKUP($A50,Reg2_sf_first_rob!$A:$AG,I$1,0),4),VLOOKUP($A50,Reg2_sf_first_rob!$A:$AG,I$1+25,0))</f>
        <v>-0.0533*</v>
      </c>
    </row>
    <row r="51" spans="1:9" x14ac:dyDescent="0.25">
      <c r="A51">
        <v>46</v>
      </c>
      <c r="D51" s="3" t="str">
        <f>_xlfn.CONCAT("(",FIXED(ABS(VLOOKUP($A50,Reg1_ct_Robust!$A:$AG,D$1+1,0)),4),")")</f>
        <v>(0.0505)</v>
      </c>
      <c r="E51" s="3" t="str">
        <f>_xlfn.CONCAT("(",FIXED(ABS(VLOOKUP($A50,Reg2_ct_last_rob!$A:$AG,E$1+1,0)),4),")")</f>
        <v>(0.0546)</v>
      </c>
      <c r="F51" s="3" t="str">
        <f>_xlfn.CONCAT("(",FIXED(ABS(VLOOKUP($A50,Reg2_ct_first_rob!$A:$AG,F$1+1,0)),4),")")</f>
        <v>(0.0506)</v>
      </c>
      <c r="G51" s="3" t="str">
        <f>_xlfn.CONCAT("(",FIXED(ABS(VLOOKUP($A50,Reg1_sf_Robust!$A:$AG,G$1+1,0)),4),")")</f>
        <v>(0.0225)</v>
      </c>
      <c r="H51" s="3" t="str">
        <f>_xlfn.CONCAT("(",FIXED(ABS(VLOOKUP($A50,Reg2_sf_last_rob!$A:$AG,H$1+1,0)),4),")")</f>
        <v>(0.0236)</v>
      </c>
      <c r="I51" s="3" t="str">
        <f>_xlfn.CONCAT("(",FIXED(ABS(VLOOKUP($A50,Reg2_sf_first_rob!$A:$AG,I$1+1,0)),4),")")</f>
        <v>(0.0238)</v>
      </c>
    </row>
    <row r="52" spans="1:9" x14ac:dyDescent="0.25">
      <c r="A52">
        <v>47</v>
      </c>
      <c r="B52" t="s">
        <v>24</v>
      </c>
      <c r="C52" t="s">
        <v>361</v>
      </c>
      <c r="D52" s="3" t="str">
        <f>_xlfn.CONCAT(FIXED(VLOOKUP($A52,Reg1_ct_Robust!$A:$AG,D$1,0),4),VLOOKUP($A52,Reg1_ct_Robust!$A:$AG,D$1+25,0))</f>
        <v>-0.0254**</v>
      </c>
      <c r="E52" s="3" t="str">
        <f>_xlfn.CONCAT(FIXED(VLOOKUP($A52,Reg2_ct_last_rob!$A:$AG,E$1,0),4),VLOOKUP($A52,Reg2_ct_last_rob!$A:$AG,E$1+25,0))</f>
        <v>-0.0277**</v>
      </c>
      <c r="F52" s="3" t="str">
        <f>_xlfn.CONCAT(FIXED(VLOOKUP($A52,Reg2_ct_first_rob!$A:$AG,F$1,0),4),VLOOKUP($A52,Reg2_ct_first_rob!$A:$AG,F$1+25,0))</f>
        <v>-0.0253**</v>
      </c>
      <c r="G52" s="49" t="s">
        <v>313</v>
      </c>
      <c r="H52" s="49" t="s">
        <v>313</v>
      </c>
      <c r="I52" s="49" t="s">
        <v>313</v>
      </c>
    </row>
    <row r="53" spans="1:9" x14ac:dyDescent="0.25">
      <c r="A53">
        <v>48</v>
      </c>
      <c r="D53" s="3" t="str">
        <f>_xlfn.CONCAT("(",FIXED(ABS(VLOOKUP($A52,Reg1_ct_Robust!$A:$AG,D$1+1,0)),4),")")</f>
        <v>(0.0087)</v>
      </c>
      <c r="E53" s="3" t="str">
        <f>_xlfn.CONCAT("(",FIXED(ABS(VLOOKUP($A52,Reg2_ct_last_rob!$A:$AG,E$1+1,0)),4),")")</f>
        <v>(0.0093)</v>
      </c>
      <c r="F53" s="3" t="str">
        <f>_xlfn.CONCAT("(",FIXED(ABS(VLOOKUP($A52,Reg2_ct_first_rob!$A:$AG,F$1+1,0)),4),")")</f>
        <v>(0.0093)</v>
      </c>
      <c r="G53" s="49"/>
      <c r="H53" s="49"/>
      <c r="I53" s="49"/>
    </row>
    <row r="54" spans="1:9" x14ac:dyDescent="0.25">
      <c r="A54">
        <v>49</v>
      </c>
      <c r="B54" t="s">
        <v>25</v>
      </c>
      <c r="C54" t="s">
        <v>362</v>
      </c>
      <c r="D54" s="3" t="str">
        <f>_xlfn.CONCAT(FIXED(VLOOKUP($A54,Reg1_ct_Robust!$A:$AG,D$1,0),4),VLOOKUP($A54,Reg1_ct_Robust!$A:$AG,D$1+25,0))</f>
        <v>0.0625**</v>
      </c>
      <c r="E54" s="3" t="str">
        <f>_xlfn.CONCAT(FIXED(VLOOKUP($A54,Reg2_ct_last_rob!$A:$AG,E$1,0),4),VLOOKUP($A54,Reg2_ct_last_rob!$A:$AG,E$1+25,0))</f>
        <v>0.0592**</v>
      </c>
      <c r="F54" s="3" t="str">
        <f>_xlfn.CONCAT(FIXED(VLOOKUP($A54,Reg2_ct_first_rob!$A:$AG,F$1,0),4),VLOOKUP($A54,Reg2_ct_first_rob!$A:$AG,F$1+25,0))</f>
        <v>0.0609**</v>
      </c>
      <c r="G54" s="49" t="s">
        <v>313</v>
      </c>
      <c r="H54" s="49" t="s">
        <v>313</v>
      </c>
      <c r="I54" s="49" t="s">
        <v>313</v>
      </c>
    </row>
    <row r="55" spans="1:9" x14ac:dyDescent="0.25">
      <c r="A55">
        <v>50</v>
      </c>
      <c r="D55" s="3" t="str">
        <f>_xlfn.CONCAT("(",FIXED(ABS(VLOOKUP($A54,Reg1_ct_Robust!$A:$AG,D$1+1,0)),4),")")</f>
        <v>(0.0232)</v>
      </c>
      <c r="E55" s="3" t="str">
        <f>_xlfn.CONCAT("(",FIXED(ABS(VLOOKUP($A54,Reg2_ct_last_rob!$A:$AG,E$1+1,0)),4),")")</f>
        <v>(0.0225)</v>
      </c>
      <c r="F55" s="3" t="str">
        <f>_xlfn.CONCAT("(",FIXED(ABS(VLOOKUP($A54,Reg2_ct_first_rob!$A:$AG,F$1+1,0)),4),")")</f>
        <v>(0.0221)</v>
      </c>
      <c r="G55" s="49"/>
      <c r="H55" s="49"/>
      <c r="I55" s="49"/>
    </row>
    <row r="56" spans="1:9" x14ac:dyDescent="0.25">
      <c r="A56">
        <v>51</v>
      </c>
      <c r="B56" t="s">
        <v>26</v>
      </c>
      <c r="C56" t="s">
        <v>26</v>
      </c>
      <c r="D56" s="3" t="str">
        <f>_xlfn.CONCAT(FIXED(VLOOKUP($A56,Reg1_ct_Robust!$A:$AG,D$1,0),4),VLOOKUP($A56,Reg1_ct_Robust!$A:$AG,D$1+25,0))</f>
        <v>0.0174</v>
      </c>
      <c r="E56" s="3" t="str">
        <f>_xlfn.CONCAT(FIXED(VLOOKUP($A56,Reg2_ct_last_rob!$A:$AG,E$1,0),4),VLOOKUP($A56,Reg2_ct_last_rob!$A:$AG,E$1+25,0))</f>
        <v>0.0173</v>
      </c>
      <c r="F56" s="3" t="str">
        <f>_xlfn.CONCAT(FIXED(VLOOKUP($A56,Reg2_ct_first_rob!$A:$AG,F$1,0),4),VLOOKUP($A56,Reg2_ct_first_rob!$A:$AG,F$1+25,0))</f>
        <v>0.0161</v>
      </c>
      <c r="G56" s="49" t="s">
        <v>313</v>
      </c>
      <c r="H56" s="49" t="s">
        <v>313</v>
      </c>
      <c r="I56" s="49" t="s">
        <v>313</v>
      </c>
    </row>
    <row r="57" spans="1:9" x14ac:dyDescent="0.25">
      <c r="A57">
        <v>52</v>
      </c>
      <c r="D57" s="3" t="str">
        <f>_xlfn.CONCAT("(",FIXED(ABS(VLOOKUP($A56,Reg1_ct_Robust!$A:$AG,D$1+1,0)),4),")")</f>
        <v>(0.0251)</v>
      </c>
      <c r="E57" s="3" t="str">
        <f>_xlfn.CONCAT("(",FIXED(ABS(VLOOKUP($A56,Reg2_ct_last_rob!$A:$AG,E$1+1,0)),4),")")</f>
        <v>(0.0244)</v>
      </c>
      <c r="F57" s="3" t="str">
        <f>_xlfn.CONCAT("(",FIXED(ABS(VLOOKUP($A56,Reg2_ct_first_rob!$A:$AG,F$1+1,0)),4),")")</f>
        <v>(0.0267)</v>
      </c>
      <c r="G57" s="49"/>
      <c r="H57" s="49"/>
      <c r="I57" s="49"/>
    </row>
    <row r="58" spans="1:9" x14ac:dyDescent="0.25">
      <c r="A58">
        <v>53</v>
      </c>
      <c r="B58" t="s">
        <v>27</v>
      </c>
      <c r="C58" t="s">
        <v>363</v>
      </c>
      <c r="D58" s="3" t="str">
        <f>_xlfn.CONCAT(FIXED(VLOOKUP($A58,Reg1_ct_Robust!$A:$AG,D$1,0),4),VLOOKUP($A58,Reg1_ct_Robust!$A:$AG,D$1+25,0))</f>
        <v>0.0058</v>
      </c>
      <c r="E58" s="3" t="str">
        <f>_xlfn.CONCAT(FIXED(VLOOKUP($A58,Reg2_ct_last_rob!$A:$AG,E$1,0),4),VLOOKUP($A58,Reg2_ct_last_rob!$A:$AG,E$1+25,0))</f>
        <v>0.0100</v>
      </c>
      <c r="F58" s="3" t="str">
        <f>_xlfn.CONCAT(FIXED(VLOOKUP($A58,Reg2_ct_first_rob!$A:$AG,F$1,0),4),VLOOKUP($A58,Reg2_ct_first_rob!$A:$AG,F$1+25,0))</f>
        <v>0.0106</v>
      </c>
      <c r="G58" s="49" t="s">
        <v>313</v>
      </c>
      <c r="H58" s="49" t="s">
        <v>313</v>
      </c>
      <c r="I58" s="49" t="s">
        <v>313</v>
      </c>
    </row>
    <row r="59" spans="1:9" x14ac:dyDescent="0.25">
      <c r="A59">
        <v>54</v>
      </c>
      <c r="D59" s="3" t="str">
        <f>_xlfn.CONCAT("(",FIXED(ABS(VLOOKUP($A58,Reg1_ct_Robust!$A:$AG,D$1+1,0)),4),")")</f>
        <v>(0.1179)</v>
      </c>
      <c r="E59" s="3" t="str">
        <f>_xlfn.CONCAT("(",FIXED(ABS(VLOOKUP($A58,Reg2_ct_last_rob!$A:$AG,E$1+1,0)),4),")")</f>
        <v>(0.1154)</v>
      </c>
      <c r="F59" s="3" t="str">
        <f>_xlfn.CONCAT("(",FIXED(ABS(VLOOKUP($A58,Reg2_ct_first_rob!$A:$AG,F$1+1,0)),4),")")</f>
        <v>(0.1190)</v>
      </c>
      <c r="G59" s="49"/>
      <c r="H59" s="49"/>
      <c r="I59" s="49"/>
    </row>
    <row r="60" spans="1:9" x14ac:dyDescent="0.25">
      <c r="A60">
        <v>55</v>
      </c>
      <c r="B60" t="s">
        <v>29</v>
      </c>
      <c r="C60" t="s">
        <v>29</v>
      </c>
      <c r="D60" s="49" t="s">
        <v>313</v>
      </c>
      <c r="E60" s="49" t="s">
        <v>313</v>
      </c>
      <c r="F60" s="49" t="s">
        <v>313</v>
      </c>
      <c r="G60" s="3" t="str">
        <f>_xlfn.CONCAT(FIXED(VLOOKUP($A60,Reg1_sf_Robust!$A:$AG,G$1,0),4),VLOOKUP($A60,Reg1_sf_Robust!$A:$AG,G$1+25,0))</f>
        <v>-0.0313</v>
      </c>
      <c r="H60" s="3" t="str">
        <f>_xlfn.CONCAT(FIXED(VLOOKUP($A60,Reg2_sf_last_rob!$A:$AG,H$1,0),4),VLOOKUP($A60,Reg2_sf_last_rob!$A:$AG,H$1+25,0))</f>
        <v>-0.0323*</v>
      </c>
      <c r="I60" s="3" t="str">
        <f>_xlfn.CONCAT(FIXED(VLOOKUP($A60,Reg2_sf_first_rob!$A:$AG,I$1,0),4),VLOOKUP($A60,Reg2_sf_first_rob!$A:$AG,I$1+25,0))</f>
        <v>-0.0282</v>
      </c>
    </row>
    <row r="61" spans="1:9" x14ac:dyDescent="0.25">
      <c r="A61">
        <v>56</v>
      </c>
      <c r="D61" s="49"/>
      <c r="E61" s="49"/>
      <c r="F61" s="49"/>
      <c r="G61" s="3" t="str">
        <f>_xlfn.CONCAT("(",FIXED(ABS(VLOOKUP($A60,Reg1_sf_Robust!$A:$AG,G$1+1,0)),4),")")</f>
        <v>(0.0186)</v>
      </c>
      <c r="H61" s="3" t="str">
        <f>_xlfn.CONCAT("(",FIXED(ABS(VLOOKUP($A60,Reg2_sf_last_rob!$A:$AG,H$1+1,0)),4),")")</f>
        <v>(0.0178)</v>
      </c>
      <c r="I61" s="3" t="str">
        <f>_xlfn.CONCAT("(",FIXED(ABS(VLOOKUP($A60,Reg2_sf_first_rob!$A:$AG,I$1+1,0)),4),")")</f>
        <v>(0.0207)</v>
      </c>
    </row>
    <row r="62" spans="1:9" x14ac:dyDescent="0.25">
      <c r="A62">
        <v>57</v>
      </c>
      <c r="B62" t="s">
        <v>31</v>
      </c>
      <c r="C62" t="s">
        <v>364</v>
      </c>
      <c r="D62" s="3" t="str">
        <f>_xlfn.CONCAT(FIXED(VLOOKUP($A62,Reg1_ct_Robust!$A:$AG,D$1,0),4),VLOOKUP($A62,Reg1_ct_Robust!$A:$AG,D$1+25,0))</f>
        <v>0.0033</v>
      </c>
      <c r="E62" s="3" t="str">
        <f>_xlfn.CONCAT(FIXED(VLOOKUP($A62,Reg2_ct_last_rob!$A:$AG,E$1,0),4),VLOOKUP($A62,Reg2_ct_last_rob!$A:$AG,E$1+25,0))</f>
        <v>0.0031</v>
      </c>
      <c r="F62" s="3" t="str">
        <f>_xlfn.CONCAT(FIXED(VLOOKUP($A62,Reg2_ct_first_rob!$A:$AG,F$1,0),4),VLOOKUP($A62,Reg2_ct_first_rob!$A:$AG,F$1+25,0))</f>
        <v>-0.0027</v>
      </c>
      <c r="G62" s="49" t="s">
        <v>313</v>
      </c>
      <c r="H62" s="49" t="s">
        <v>313</v>
      </c>
      <c r="I62" s="49" t="s">
        <v>313</v>
      </c>
    </row>
    <row r="63" spans="1:9" x14ac:dyDescent="0.25">
      <c r="A63">
        <v>58</v>
      </c>
      <c r="D63" s="3" t="str">
        <f>_xlfn.CONCAT("(",FIXED(ABS(VLOOKUP($A62,Reg1_ct_Robust!$A:$AG,D$1+1,0)),4),")")</f>
        <v>(0.0136)</v>
      </c>
      <c r="E63" s="3" t="str">
        <f>_xlfn.CONCAT("(",FIXED(ABS(VLOOKUP($A62,Reg2_ct_last_rob!$A:$AG,E$1+1,0)),4),")")</f>
        <v>(0.0130)</v>
      </c>
      <c r="F63" s="3" t="str">
        <f>_xlfn.CONCAT("(",FIXED(ABS(VLOOKUP($A62,Reg2_ct_first_rob!$A:$AG,F$1+1,0)),4),")")</f>
        <v>(0.0126)</v>
      </c>
      <c r="G63" s="49"/>
      <c r="H63" s="49"/>
      <c r="I63" s="49"/>
    </row>
    <row r="64" spans="1:9" x14ac:dyDescent="0.25">
      <c r="A64">
        <v>59</v>
      </c>
      <c r="B64" t="s">
        <v>28</v>
      </c>
      <c r="C64" t="s">
        <v>415</v>
      </c>
      <c r="D64" s="3" t="str">
        <f>_xlfn.CONCAT(FIXED(VLOOKUP($A64,Reg1_ct_Robust!$A:$AG,D$1,0),4),VLOOKUP($A64,Reg1_ct_Robust!$A:$AG,D$1+25,0))</f>
        <v>-0.0318</v>
      </c>
      <c r="E64" s="3" t="str">
        <f>_xlfn.CONCAT(FIXED(VLOOKUP($A64,Reg2_ct_last_rob!$A:$AG,E$1,0),4),VLOOKUP($A64,Reg2_ct_last_rob!$A:$AG,E$1+25,0))</f>
        <v>-0.0158</v>
      </c>
      <c r="F64" s="3" t="str">
        <f>_xlfn.CONCAT(FIXED(VLOOKUP($A64,Reg2_ct_first_rob!$A:$AG,F$1,0),4),VLOOKUP($A64,Reg2_ct_first_rob!$A:$AG,F$1+25,0))</f>
        <v>-0.0384</v>
      </c>
      <c r="G64" s="3" t="str">
        <f>_xlfn.CONCAT(FIXED(VLOOKUP($A64,Reg1_sf_Robust!$A:$AG,G$1,0),4),VLOOKUP($A64,Reg1_sf_Robust!$A:$AG,G$1+25,0))</f>
        <v>0.0767***</v>
      </c>
      <c r="H64" s="3" t="str">
        <f>_xlfn.CONCAT(FIXED(VLOOKUP($A64,Reg2_sf_last_rob!$A:$AG,H$1,0),4),VLOOKUP($A64,Reg2_sf_last_rob!$A:$AG,H$1+25,0))</f>
        <v>0.0745***</v>
      </c>
      <c r="I64" s="3" t="str">
        <f>_xlfn.CONCAT(FIXED(VLOOKUP($A64,Reg2_sf_first_rob!$A:$AG,I$1,0),4),VLOOKUP($A64,Reg2_sf_first_rob!$A:$AG,I$1+25,0))</f>
        <v>0.0761***</v>
      </c>
    </row>
    <row r="65" spans="1:9" x14ac:dyDescent="0.25">
      <c r="A65">
        <v>60</v>
      </c>
      <c r="D65" s="3" t="str">
        <f>_xlfn.CONCAT("(",FIXED(ABS(VLOOKUP($A64,Reg1_ct_Robust!$A:$AG,D$1+1,0)),4),")")</f>
        <v>(0.0651)</v>
      </c>
      <c r="E65" s="3" t="str">
        <f>_xlfn.CONCAT("(",FIXED(ABS(VLOOKUP($A64,Reg2_ct_last_rob!$A:$AG,E$1+1,0)),4),")")</f>
        <v>(0.0720)</v>
      </c>
      <c r="F65" s="3" t="str">
        <f>_xlfn.CONCAT("(",FIXED(ABS(VLOOKUP($A64,Reg2_ct_first_rob!$A:$AG,F$1+1,0)),4),")")</f>
        <v>(0.0763)</v>
      </c>
      <c r="G65" s="3" t="str">
        <f>_xlfn.CONCAT("(",FIXED(ABS(VLOOKUP($A64,Reg1_sf_Robust!$A:$AG,G$1+1,0)),4),")")</f>
        <v>(0.0179)</v>
      </c>
      <c r="H65" s="3" t="str">
        <f>_xlfn.CONCAT("(",FIXED(ABS(VLOOKUP($A64,Reg2_sf_last_rob!$A:$AG,H$1+1,0)),4),")")</f>
        <v>(0.0170)</v>
      </c>
      <c r="I65" s="3" t="str">
        <f>_xlfn.CONCAT("(",FIXED(ABS(VLOOKUP($A64,Reg2_sf_first_rob!$A:$AG,I$1+1,0)),4),")")</f>
        <v>(0.0192)</v>
      </c>
    </row>
    <row r="66" spans="1:9" x14ac:dyDescent="0.25">
      <c r="A66">
        <v>61</v>
      </c>
      <c r="B66" t="s">
        <v>235</v>
      </c>
      <c r="C66" t="s">
        <v>365</v>
      </c>
      <c r="D66" s="3" t="str">
        <f>_xlfn.CONCAT(FIXED(VLOOKUP($A66,Reg1_ct_Robust!$A:$AG,D$1,0),4),VLOOKUP($A66,Reg1_ct_Robust!$A:$AG,D$1+25,0))</f>
        <v>-0.1186</v>
      </c>
      <c r="E66" s="3" t="str">
        <f>_xlfn.CONCAT(FIXED(VLOOKUP($A66,Reg2_ct_last_rob!$A:$AG,E$1,0),4),VLOOKUP($A66,Reg2_ct_last_rob!$A:$AG,E$1+25,0))</f>
        <v>-0.1139</v>
      </c>
      <c r="F66" s="3" t="str">
        <f>_xlfn.CONCAT(FIXED(VLOOKUP($A66,Reg2_ct_first_rob!$A:$AG,F$1,0),4),VLOOKUP($A66,Reg2_ct_first_rob!$A:$AG,F$1+25,0))</f>
        <v>-0.0975</v>
      </c>
      <c r="G66" s="3" t="str">
        <f>_xlfn.CONCAT(FIXED(VLOOKUP($A66,Reg1_sf_Robust!$A:$AG,G$1,0),4),VLOOKUP($A66,Reg1_sf_Robust!$A:$AG,G$1+25,0))</f>
        <v>0.0093</v>
      </c>
      <c r="H66" s="3" t="str">
        <f>_xlfn.CONCAT(FIXED(VLOOKUP($A66,Reg2_sf_last_rob!$A:$AG,H$1,0),4),VLOOKUP($A66,Reg2_sf_last_rob!$A:$AG,H$1+25,0))</f>
        <v>0.0076</v>
      </c>
      <c r="I66" s="3" t="str">
        <f>_xlfn.CONCAT(FIXED(VLOOKUP($A66,Reg2_sf_first_rob!$A:$AG,I$1,0),4),VLOOKUP($A66,Reg2_sf_first_rob!$A:$AG,I$1+25,0))</f>
        <v>0.0108</v>
      </c>
    </row>
    <row r="67" spans="1:9" x14ac:dyDescent="0.25">
      <c r="A67">
        <v>62</v>
      </c>
      <c r="D67" s="3" t="str">
        <f>_xlfn.CONCAT("(",FIXED(ABS(VLOOKUP($A66,Reg1_ct_Robust!$A:$AG,D$1+1,0)),4),")")</f>
        <v>(0.1191)</v>
      </c>
      <c r="E67" s="3" t="str">
        <f>_xlfn.CONCAT("(",FIXED(ABS(VLOOKUP($A66,Reg2_ct_last_rob!$A:$AG,E$1+1,0)),4),")")</f>
        <v>(0.1290)</v>
      </c>
      <c r="F67" s="3" t="str">
        <f>_xlfn.CONCAT("(",FIXED(ABS(VLOOKUP($A66,Reg2_ct_first_rob!$A:$AG,F$1+1,0)),4),")")</f>
        <v>(0.1514)</v>
      </c>
      <c r="G67" s="3" t="str">
        <f>_xlfn.CONCAT("(",FIXED(ABS(VLOOKUP($A66,Reg1_sf_Robust!$A:$AG,G$1+1,0)),4),")")</f>
        <v>(0.0906)</v>
      </c>
      <c r="H67" s="3" t="str">
        <f>_xlfn.CONCAT("(",FIXED(ABS(VLOOKUP($A66,Reg2_sf_last_rob!$A:$AG,H$1+1,0)),4),")")</f>
        <v>(0.0921)</v>
      </c>
      <c r="I67" s="3" t="str">
        <f>_xlfn.CONCAT("(",FIXED(ABS(VLOOKUP($A66,Reg2_sf_first_rob!$A:$AG,I$1+1,0)),4),")")</f>
        <v>(0.0969)</v>
      </c>
    </row>
    <row r="68" spans="1:9" x14ac:dyDescent="0.25">
      <c r="A68">
        <v>65</v>
      </c>
      <c r="B68" t="s">
        <v>236</v>
      </c>
      <c r="C68" t="s">
        <v>366</v>
      </c>
      <c r="D68" s="3" t="str">
        <f>_xlfn.CONCAT(FIXED(VLOOKUP($A68,Reg1_ct_Robust!$A:$AG,D$1,0),4),VLOOKUP($A68,Reg1_ct_Robust!$A:$AG,D$1+25,0))</f>
        <v>0.0158</v>
      </c>
      <c r="E68" s="3" t="str">
        <f>_xlfn.CONCAT(FIXED(VLOOKUP($A68,Reg2_ct_last_rob!$A:$AG,E$1,0),4),VLOOKUP($A68,Reg2_ct_last_rob!$A:$AG,E$1+25,0))</f>
        <v>0.0180</v>
      </c>
      <c r="F68" s="3" t="str">
        <f>_xlfn.CONCAT(FIXED(VLOOKUP($A68,Reg2_ct_first_rob!$A:$AG,F$1,0),4),VLOOKUP($A68,Reg2_ct_first_rob!$A:$AG,F$1+25,0))</f>
        <v>0.0189</v>
      </c>
      <c r="G68" s="3" t="str">
        <f>_xlfn.CONCAT(FIXED(VLOOKUP($A68,Reg1_sf_Robust!$A:$AG,G$1,0),4),VLOOKUP($A68,Reg1_sf_Robust!$A:$AG,G$1+25,0))</f>
        <v>-0.0815</v>
      </c>
      <c r="H68" s="3" t="str">
        <f>_xlfn.CONCAT(FIXED(VLOOKUP($A68,Reg2_sf_last_rob!$A:$AG,H$1,0),4),VLOOKUP($A68,Reg2_sf_last_rob!$A:$AG,H$1+25,0))</f>
        <v>-0.0796</v>
      </c>
      <c r="I68" s="3" t="str">
        <f>_xlfn.CONCAT(FIXED(VLOOKUP($A68,Reg2_sf_first_rob!$A:$AG,I$1,0),4),VLOOKUP($A68,Reg2_sf_first_rob!$A:$AG,I$1+25,0))</f>
        <v>-0.0765</v>
      </c>
    </row>
    <row r="69" spans="1:9" x14ac:dyDescent="0.25">
      <c r="A69">
        <v>66</v>
      </c>
      <c r="D69" s="3" t="str">
        <f>_xlfn.CONCAT("(",FIXED(ABS(VLOOKUP($A68,Reg1_ct_Robust!$A:$AG,D$1+1,0)),4),")")</f>
        <v>(0.0273)</v>
      </c>
      <c r="E69" s="3" t="str">
        <f>_xlfn.CONCAT("(",FIXED(ABS(VLOOKUP($A68,Reg2_ct_last_rob!$A:$AG,E$1+1,0)),4),")")</f>
        <v>(0.0264)</v>
      </c>
      <c r="F69" s="3" t="str">
        <f>_xlfn.CONCAT("(",FIXED(ABS(VLOOKUP($A68,Reg2_ct_first_rob!$A:$AG,F$1+1,0)),4),")")</f>
        <v>(0.0269)</v>
      </c>
      <c r="G69" s="3" t="str">
        <f>_xlfn.CONCAT("(",FIXED(ABS(VLOOKUP($A68,Reg1_sf_Robust!$A:$AG,G$1+1,0)),4),")")</f>
        <v>(0.0342)</v>
      </c>
      <c r="H69" s="3" t="str">
        <f>_xlfn.CONCAT("(",FIXED(ABS(VLOOKUP($A68,Reg2_sf_last_rob!$A:$AG,H$1+1,0)),4),")")</f>
        <v>(0.0379)</v>
      </c>
      <c r="I69" s="3" t="str">
        <f>_xlfn.CONCAT("(",FIXED(ABS(VLOOKUP($A68,Reg2_sf_first_rob!$A:$AG,I$1+1,0)),4),")")</f>
        <v>(0.0357)</v>
      </c>
    </row>
    <row r="70" spans="1:9" x14ac:dyDescent="0.25">
      <c r="A70">
        <v>63</v>
      </c>
      <c r="B70" t="s">
        <v>240</v>
      </c>
      <c r="C70" t="s">
        <v>367</v>
      </c>
      <c r="D70" s="3" t="str">
        <f>_xlfn.CONCAT(FIXED(VLOOKUP($A70,Reg1_ct_Robust!$A:$AG,D$1,0),4),VLOOKUP($A70,Reg1_ct_Robust!$A:$AG,D$1+25,0))</f>
        <v>0.0663</v>
      </c>
      <c r="E70" s="3" t="str">
        <f>_xlfn.CONCAT(FIXED(VLOOKUP($A70,Reg2_ct_last_rob!$A:$AG,E$1,0),4),VLOOKUP($A70,Reg2_ct_last_rob!$A:$AG,E$1+25,0))</f>
        <v>0.0699</v>
      </c>
      <c r="F70" s="3" t="str">
        <f>_xlfn.CONCAT(FIXED(VLOOKUP($A70,Reg2_ct_first_rob!$A:$AG,F$1,0),4),VLOOKUP($A70,Reg2_ct_first_rob!$A:$AG,F$1+25,0))</f>
        <v>0.0805</v>
      </c>
      <c r="G70" s="3" t="str">
        <f>_xlfn.CONCAT(FIXED(VLOOKUP($A70,Reg1_sf_Robust!$A:$AG,G$1,0),4),VLOOKUP($A70,Reg1_sf_Robust!$A:$AG,G$1+25,0))</f>
        <v>0.1915</v>
      </c>
      <c r="H70" s="3" t="str">
        <f>_xlfn.CONCAT(FIXED(VLOOKUP($A70,Reg2_sf_last_rob!$A:$AG,H$1,0),4),VLOOKUP($A70,Reg2_sf_last_rob!$A:$AG,H$1+25,0))</f>
        <v>0.1838</v>
      </c>
      <c r="I70" s="3" t="str">
        <f>_xlfn.CONCAT(FIXED(VLOOKUP($A70,Reg2_sf_first_rob!$A:$AG,I$1,0),4),VLOOKUP($A70,Reg2_sf_first_rob!$A:$AG,I$1+25,0))</f>
        <v>0.1918</v>
      </c>
    </row>
    <row r="71" spans="1:9" x14ac:dyDescent="0.25">
      <c r="A71">
        <v>64</v>
      </c>
      <c r="D71" s="3" t="str">
        <f>_xlfn.CONCAT("(",FIXED(ABS(VLOOKUP($A70,Reg1_ct_Robust!$A:$AG,D$1+1,0)),4),")")</f>
        <v>(0.0547)</v>
      </c>
      <c r="E71" s="3" t="str">
        <f>_xlfn.CONCAT("(",FIXED(ABS(VLOOKUP($A70,Reg2_ct_last_rob!$A:$AG,E$1+1,0)),4),")")</f>
        <v>(0.0518)</v>
      </c>
      <c r="F71" s="3" t="str">
        <f>_xlfn.CONCAT("(",FIXED(ABS(VLOOKUP($A70,Reg2_ct_first_rob!$A:$AG,F$1+1,0)),4),")")</f>
        <v>(0.0529)</v>
      </c>
      <c r="G71" s="3" t="str">
        <f>_xlfn.CONCAT("(",FIXED(ABS(VLOOKUP($A70,Reg1_sf_Robust!$A:$AG,G$1+1,0)),4),")")</f>
        <v>(0.0761)</v>
      </c>
      <c r="H71" s="3" t="str">
        <f>_xlfn.CONCAT("(",FIXED(ABS(VLOOKUP($A70,Reg2_sf_last_rob!$A:$AG,H$1+1,0)),4),")")</f>
        <v>(0.0745)</v>
      </c>
      <c r="I71" s="3" t="str">
        <f>_xlfn.CONCAT("(",FIXED(ABS(VLOOKUP($A70,Reg2_sf_first_rob!$A:$AG,I$1+1,0)),4),")")</f>
        <v>(0.0770)</v>
      </c>
    </row>
    <row r="72" spans="1:9" x14ac:dyDescent="0.25">
      <c r="A72">
        <v>67</v>
      </c>
      <c r="B72" t="s">
        <v>238</v>
      </c>
      <c r="C72" t="s">
        <v>368</v>
      </c>
      <c r="D72" s="3" t="str">
        <f>_xlfn.CONCAT(FIXED(VLOOKUP($A72,Reg1_ct_Robust!$A:$AG,D$1,0),4),VLOOKUP($A72,Reg1_ct_Robust!$A:$AG,D$1+25,0))</f>
        <v>0.0262</v>
      </c>
      <c r="E72" s="3" t="str">
        <f>_xlfn.CONCAT(FIXED(VLOOKUP($A72,Reg2_ct_last_rob!$A:$AG,E$1,0),4),VLOOKUP($A72,Reg2_ct_last_rob!$A:$AG,E$1+25,0))</f>
        <v>0.0273</v>
      </c>
      <c r="F72" s="3" t="str">
        <f>_xlfn.CONCAT(FIXED(VLOOKUP($A72,Reg2_ct_first_rob!$A:$AG,F$1,0),4),VLOOKUP($A72,Reg2_ct_first_rob!$A:$AG,F$1+25,0))</f>
        <v>0.0347</v>
      </c>
      <c r="G72" s="3" t="str">
        <f>_xlfn.CONCAT(FIXED(VLOOKUP($A72,Reg1_sf_Robust!$A:$AG,G$1,0),4),VLOOKUP($A72,Reg1_sf_Robust!$A:$AG,G$1+25,0))</f>
        <v>-0.0058</v>
      </c>
      <c r="H72" s="3" t="str">
        <f>_xlfn.CONCAT(FIXED(VLOOKUP($A72,Reg2_sf_last_rob!$A:$AG,H$1,0),4),VLOOKUP($A72,Reg2_sf_last_rob!$A:$AG,H$1+25,0))</f>
        <v>-0.0047</v>
      </c>
      <c r="I72" s="3" t="str">
        <f>_xlfn.CONCAT(FIXED(VLOOKUP($A72,Reg2_sf_first_rob!$A:$AG,I$1,0),4),VLOOKUP($A72,Reg2_sf_first_rob!$A:$AG,I$1+25,0))</f>
        <v>-0.0029</v>
      </c>
    </row>
    <row r="73" spans="1:9" x14ac:dyDescent="0.25">
      <c r="A73">
        <v>68</v>
      </c>
      <c r="D73" s="3" t="str">
        <f>_xlfn.CONCAT("(",FIXED(ABS(VLOOKUP($A72,Reg1_ct_Robust!$A:$AG,D$1+1,0)),4),")")</f>
        <v>(0.0566)</v>
      </c>
      <c r="E73" s="3" t="str">
        <f>_xlfn.CONCAT("(",FIXED(ABS(VLOOKUP($A72,Reg2_ct_last_rob!$A:$AG,E$1+1,0)),4),")")</f>
        <v>(0.0557)</v>
      </c>
      <c r="F73" s="3" t="str">
        <f>_xlfn.CONCAT("(",FIXED(ABS(VLOOKUP($A72,Reg2_ct_first_rob!$A:$AG,F$1+1,0)),4),")")</f>
        <v>(0.0568)</v>
      </c>
      <c r="G73" s="3" t="str">
        <f>_xlfn.CONCAT("(",FIXED(ABS(VLOOKUP($A72,Reg1_sf_Robust!$A:$AG,G$1+1,0)),4),")")</f>
        <v>(0.0314)</v>
      </c>
      <c r="H73" s="3" t="str">
        <f>_xlfn.CONCAT("(",FIXED(ABS(VLOOKUP($A72,Reg2_sf_last_rob!$A:$AG,H$1+1,0)),4),")")</f>
        <v>(0.0310)</v>
      </c>
      <c r="I73" s="3" t="str">
        <f>_xlfn.CONCAT("(",FIXED(ABS(VLOOKUP($A72,Reg2_sf_first_rob!$A:$AG,I$1+1,0)),4),")")</f>
        <v>(0.0318)</v>
      </c>
    </row>
    <row r="74" spans="1:9" x14ac:dyDescent="0.25">
      <c r="A74">
        <v>69</v>
      </c>
      <c r="B74" t="s">
        <v>241</v>
      </c>
      <c r="C74" t="s">
        <v>369</v>
      </c>
      <c r="D74" s="3" t="str">
        <f>_xlfn.CONCAT(FIXED(VLOOKUP($A74,Reg1_ct_Robust!$A:$AG,D$1,0),4),VLOOKUP($A74,Reg1_ct_Robust!$A:$AG,D$1+25,0))</f>
        <v>0.0624</v>
      </c>
      <c r="E74" s="3" t="str">
        <f>_xlfn.CONCAT(FIXED(VLOOKUP($A74,Reg2_ct_last_rob!$A:$AG,E$1,0),4),VLOOKUP($A74,Reg2_ct_last_rob!$A:$AG,E$1+25,0))</f>
        <v>0.0614</v>
      </c>
      <c r="F74" s="3" t="str">
        <f>_xlfn.CONCAT(FIXED(VLOOKUP($A74,Reg2_ct_first_rob!$A:$AG,F$1,0),4),VLOOKUP($A74,Reg2_ct_first_rob!$A:$AG,F$1+25,0))</f>
        <v>0.0693</v>
      </c>
      <c r="G74" s="3" t="str">
        <f>_xlfn.CONCAT(FIXED(VLOOKUP($A74,Reg1_sf_Robust!$A:$AG,G$1,0),4),VLOOKUP($A74,Reg1_sf_Robust!$A:$AG,G$1+25,0))</f>
        <v>-0.0011</v>
      </c>
      <c r="H74" s="3" t="str">
        <f>_xlfn.CONCAT(FIXED(VLOOKUP($A74,Reg2_sf_last_rob!$A:$AG,H$1,0),4),VLOOKUP($A74,Reg2_sf_last_rob!$A:$AG,H$1+25,0))</f>
        <v>-0.0018</v>
      </c>
      <c r="I74" s="3" t="str">
        <f>_xlfn.CONCAT(FIXED(VLOOKUP($A74,Reg2_sf_first_rob!$A:$AG,I$1,0),4),VLOOKUP($A74,Reg2_sf_first_rob!$A:$AG,I$1+25,0))</f>
        <v>-0.0037</v>
      </c>
    </row>
    <row r="75" spans="1:9" x14ac:dyDescent="0.25">
      <c r="A75">
        <v>70</v>
      </c>
      <c r="D75" s="3" t="str">
        <f>_xlfn.CONCAT("(",FIXED(ABS(VLOOKUP($A74,Reg1_ct_Robust!$A:$AG,D$1+1,0)),4),")")</f>
        <v>(0.0613)</v>
      </c>
      <c r="E75" s="3" t="str">
        <f>_xlfn.CONCAT("(",FIXED(ABS(VLOOKUP($A74,Reg2_ct_last_rob!$A:$AG,E$1+1,0)),4),")")</f>
        <v>(0.0613)</v>
      </c>
      <c r="F75" s="3" t="str">
        <f>_xlfn.CONCAT("(",FIXED(ABS(VLOOKUP($A74,Reg2_ct_first_rob!$A:$AG,F$1+1,0)),4),")")</f>
        <v>(0.0593)</v>
      </c>
      <c r="G75" s="3" t="str">
        <f>_xlfn.CONCAT("(",FIXED(ABS(VLOOKUP($A74,Reg1_sf_Robust!$A:$AG,G$1+1,0)),4),")")</f>
        <v>(0.1451)</v>
      </c>
      <c r="H75" s="3" t="str">
        <f>_xlfn.CONCAT("(",FIXED(ABS(VLOOKUP($A74,Reg2_sf_last_rob!$A:$AG,H$1+1,0)),4),")")</f>
        <v>(0.1436)</v>
      </c>
      <c r="I75" s="3" t="str">
        <f>_xlfn.CONCAT("(",FIXED(ABS(VLOOKUP($A74,Reg2_sf_first_rob!$A:$AG,I$1+1,0)),4),")")</f>
        <v>(0.1456)</v>
      </c>
    </row>
    <row r="76" spans="1:9" x14ac:dyDescent="0.25">
      <c r="A76">
        <v>71</v>
      </c>
      <c r="B76" t="s">
        <v>243</v>
      </c>
      <c r="C76" t="s">
        <v>370</v>
      </c>
      <c r="D76" s="3" t="str">
        <f>_xlfn.CONCAT(FIXED(VLOOKUP($A76,Reg1_ct_Robust!$A:$AG,D$1,0),4),VLOOKUP($A76,Reg1_ct_Robust!$A:$AG,D$1+25,0))</f>
        <v>0.0479</v>
      </c>
      <c r="E76" s="3" t="str">
        <f>_xlfn.CONCAT(FIXED(VLOOKUP($A76,Reg2_ct_last_rob!$A:$AG,E$1,0),4),VLOOKUP($A76,Reg2_ct_last_rob!$A:$AG,E$1+25,0))</f>
        <v>0.0477</v>
      </c>
      <c r="F76" s="3" t="str">
        <f>_xlfn.CONCAT(FIXED(VLOOKUP($A76,Reg2_ct_first_rob!$A:$AG,F$1,0),4),VLOOKUP($A76,Reg2_ct_first_rob!$A:$AG,F$1+25,0))</f>
        <v>0.0552</v>
      </c>
      <c r="G76" s="3" t="str">
        <f>_xlfn.CONCAT(FIXED(VLOOKUP($A76,Reg1_sf_Robust!$A:$AG,G$1,0),4),VLOOKUP($A76,Reg1_sf_Robust!$A:$AG,G$1+25,0))</f>
        <v>0.0294</v>
      </c>
      <c r="H76" s="3" t="str">
        <f>_xlfn.CONCAT(FIXED(VLOOKUP($A76,Reg2_sf_last_rob!$A:$AG,H$1,0),4),VLOOKUP($A76,Reg2_sf_last_rob!$A:$AG,H$1+25,0))</f>
        <v>0.0282</v>
      </c>
      <c r="I76" s="3" t="str">
        <f>_xlfn.CONCAT(FIXED(VLOOKUP($A76,Reg2_sf_first_rob!$A:$AG,I$1,0),4),VLOOKUP($A76,Reg2_sf_first_rob!$A:$AG,I$1+25,0))</f>
        <v>0.0249</v>
      </c>
    </row>
    <row r="77" spans="1:9" x14ac:dyDescent="0.25">
      <c r="A77">
        <v>72</v>
      </c>
      <c r="D77" s="3" t="str">
        <f>_xlfn.CONCAT("(",FIXED(ABS(VLOOKUP($A76,Reg1_ct_Robust!$A:$AG,D$1+1,0)),4),")")</f>
        <v>(0.1047)</v>
      </c>
      <c r="E77" s="3" t="str">
        <f>_xlfn.CONCAT("(",FIXED(ABS(VLOOKUP($A76,Reg2_ct_last_rob!$A:$AG,E$1+1,0)),4),")")</f>
        <v>(0.1048)</v>
      </c>
      <c r="F77" s="3" t="str">
        <f>_xlfn.CONCAT("(",FIXED(ABS(VLOOKUP($A76,Reg2_ct_first_rob!$A:$AG,F$1+1,0)),4),")")</f>
        <v>(0.1014)</v>
      </c>
      <c r="G77" s="3" t="str">
        <f>_xlfn.CONCAT("(",FIXED(ABS(VLOOKUP($A76,Reg1_sf_Robust!$A:$AG,G$1+1,0)),4),")")</f>
        <v>(0.0445)</v>
      </c>
      <c r="H77" s="3" t="str">
        <f>_xlfn.CONCAT("(",FIXED(ABS(VLOOKUP($A76,Reg2_sf_last_rob!$A:$AG,H$1+1,0)),4),")")</f>
        <v>(0.0429)</v>
      </c>
      <c r="I77" s="3" t="str">
        <f>_xlfn.CONCAT("(",FIXED(ABS(VLOOKUP($A76,Reg2_sf_first_rob!$A:$AG,I$1+1,0)),4),")")</f>
        <v>(0.0438)</v>
      </c>
    </row>
    <row r="78" spans="1:9" x14ac:dyDescent="0.25">
      <c r="A78">
        <v>73</v>
      </c>
      <c r="B78" t="s">
        <v>245</v>
      </c>
      <c r="C78" t="s">
        <v>371</v>
      </c>
      <c r="D78" s="3" t="str">
        <f>_xlfn.CONCAT(FIXED(VLOOKUP($A78,Reg1_ct_Robust!$A:$AG,D$1,0),4),VLOOKUP($A78,Reg1_ct_Robust!$A:$AG,D$1+25,0))</f>
        <v>0.2595</v>
      </c>
      <c r="E78" s="3" t="str">
        <f>_xlfn.CONCAT(FIXED(VLOOKUP($A78,Reg2_ct_last_rob!$A:$AG,E$1,0),4),VLOOKUP($A78,Reg2_ct_last_rob!$A:$AG,E$1+25,0))</f>
        <v>0.2587</v>
      </c>
      <c r="F78" s="3" t="str">
        <f>_xlfn.CONCAT(FIXED(VLOOKUP($A78,Reg2_ct_first_rob!$A:$AG,F$1,0),4),VLOOKUP($A78,Reg2_ct_first_rob!$A:$AG,F$1+25,0))</f>
        <v>0.2673</v>
      </c>
      <c r="G78" s="3" t="str">
        <f>_xlfn.CONCAT(FIXED(VLOOKUP($A78,Reg1_sf_Robust!$A:$AG,G$1,0),4),VLOOKUP($A78,Reg1_sf_Robust!$A:$AG,G$1+25,0))</f>
        <v>0.3625</v>
      </c>
      <c r="H78" s="3" t="str">
        <f>_xlfn.CONCAT(FIXED(VLOOKUP($A78,Reg2_sf_last_rob!$A:$AG,H$1,0),4),VLOOKUP($A78,Reg2_sf_last_rob!$A:$AG,H$1+25,0))</f>
        <v>0.3674</v>
      </c>
      <c r="I78" s="3" t="str">
        <f>_xlfn.CONCAT(FIXED(VLOOKUP($A78,Reg2_sf_first_rob!$A:$AG,I$1,0),4),VLOOKUP($A78,Reg2_sf_first_rob!$A:$AG,I$1+25,0))</f>
        <v>0.3725</v>
      </c>
    </row>
    <row r="79" spans="1:9" x14ac:dyDescent="0.25">
      <c r="A79">
        <v>74</v>
      </c>
      <c r="D79" s="3" t="str">
        <f>_xlfn.CONCAT("(",FIXED(ABS(VLOOKUP($A78,Reg1_ct_Robust!$A:$AG,D$1+1,0)),4),")")</f>
        <v>(0.1384)</v>
      </c>
      <c r="E79" s="3" t="str">
        <f>_xlfn.CONCAT("(",FIXED(ABS(VLOOKUP($A78,Reg2_ct_last_rob!$A:$AG,E$1+1,0)),4),")")</f>
        <v>(0.1394)</v>
      </c>
      <c r="F79" s="3" t="str">
        <f>_xlfn.CONCAT("(",FIXED(ABS(VLOOKUP($A78,Reg2_ct_first_rob!$A:$AG,F$1+1,0)),4),")")</f>
        <v>(0.1380)</v>
      </c>
      <c r="G79" s="3" t="str">
        <f>_xlfn.CONCAT("(",FIXED(ABS(VLOOKUP($A78,Reg1_sf_Robust!$A:$AG,G$1+1,0)),4),")")</f>
        <v>(0.2737)</v>
      </c>
      <c r="H79" s="3" t="str">
        <f>_xlfn.CONCAT("(",FIXED(ABS(VLOOKUP($A78,Reg2_sf_last_rob!$A:$AG,H$1+1,0)),4),")")</f>
        <v>(0.2764)</v>
      </c>
      <c r="I79" s="3" t="str">
        <f>_xlfn.CONCAT("(",FIXED(ABS(VLOOKUP($A78,Reg2_sf_first_rob!$A:$AG,I$1+1,0)),4),")")</f>
        <v>(0.2745)</v>
      </c>
    </row>
    <row r="80" spans="1:9" x14ac:dyDescent="0.25">
      <c r="A80">
        <v>75</v>
      </c>
      <c r="B80" t="s">
        <v>166</v>
      </c>
      <c r="C80" t="s">
        <v>372</v>
      </c>
      <c r="D80" s="3" t="str">
        <f>_xlfn.CONCAT(FIXED(VLOOKUP($A80,Reg1_ct_Robust!$A:$AG,D$1,0),4),VLOOKUP($A80,Reg1_ct_Robust!$A:$AG,D$1+25,0))</f>
        <v>0.2739***</v>
      </c>
      <c r="E80" s="3" t="str">
        <f>_xlfn.CONCAT(FIXED(VLOOKUP($A80,Reg2_ct_last_rob!$A:$AG,E$1,0),4),VLOOKUP($A80,Reg2_ct_last_rob!$A:$AG,E$1+25,0))</f>
        <v>0.2685***</v>
      </c>
      <c r="F80" s="3" t="str">
        <f>_xlfn.CONCAT(FIXED(VLOOKUP($A80,Reg2_ct_first_rob!$A:$AG,F$1,0),4),VLOOKUP($A80,Reg2_ct_first_rob!$A:$AG,F$1+25,0))</f>
        <v>0.2750***</v>
      </c>
      <c r="G80" s="3" t="str">
        <f>_xlfn.CONCAT(FIXED(VLOOKUP($A80,Reg1_sf_Robust!$A:$AG,G$1,0),4),VLOOKUP($A80,Reg1_sf_Robust!$A:$AG,G$1+25,0))</f>
        <v>0.0411</v>
      </c>
      <c r="H80" s="3" t="str">
        <f>_xlfn.CONCAT(FIXED(VLOOKUP($A80,Reg2_sf_last_rob!$A:$AG,H$1,0),4),VLOOKUP($A80,Reg2_sf_last_rob!$A:$AG,H$1+25,0))</f>
        <v>0.0346</v>
      </c>
      <c r="I80" s="3" t="str">
        <f>_xlfn.CONCAT(FIXED(VLOOKUP($A80,Reg2_sf_first_rob!$A:$AG,I$1,0),4),VLOOKUP($A80,Reg2_sf_first_rob!$A:$AG,I$1+25,0))</f>
        <v>0.0388</v>
      </c>
    </row>
    <row r="81" spans="1:9" x14ac:dyDescent="0.25">
      <c r="A81">
        <v>76</v>
      </c>
      <c r="D81" s="3" t="str">
        <f>_xlfn.CONCAT("(",FIXED(ABS(VLOOKUP($A80,Reg1_ct_Robust!$A:$AG,D$1+1,0)),4),")")</f>
        <v>(0.0228)</v>
      </c>
      <c r="E81" s="3" t="str">
        <f>_xlfn.CONCAT("(",FIXED(ABS(VLOOKUP($A80,Reg2_ct_last_rob!$A:$AG,E$1+1,0)),4),")")</f>
        <v>(0.0234)</v>
      </c>
      <c r="F81" s="3" t="str">
        <f>_xlfn.CONCAT("(",FIXED(ABS(VLOOKUP($A80,Reg2_ct_first_rob!$A:$AG,F$1+1,0)),4),")")</f>
        <v>(0.0237)</v>
      </c>
      <c r="G81" s="3" t="str">
        <f>_xlfn.CONCAT("(",FIXED(ABS(VLOOKUP($A80,Reg1_sf_Robust!$A:$AG,G$1+1,0)),4),")")</f>
        <v>(0.0537)</v>
      </c>
      <c r="H81" s="3" t="str">
        <f>_xlfn.CONCAT("(",FIXED(ABS(VLOOKUP($A80,Reg2_sf_last_rob!$A:$AG,H$1+1,0)),4),")")</f>
        <v>(0.0501)</v>
      </c>
      <c r="I81" s="3" t="str">
        <f>_xlfn.CONCAT("(",FIXED(ABS(VLOOKUP($A80,Reg2_sf_first_rob!$A:$AG,I$1+1,0)),4),")")</f>
        <v>(0.0510)</v>
      </c>
    </row>
    <row r="82" spans="1:9" x14ac:dyDescent="0.25">
      <c r="A82">
        <v>77</v>
      </c>
      <c r="B82" t="s">
        <v>167</v>
      </c>
      <c r="C82" t="s">
        <v>373</v>
      </c>
      <c r="D82" s="3" t="str">
        <f>_xlfn.CONCAT(FIXED(VLOOKUP($A82,Reg1_ct_Robust!$A:$AG,D$1,0),4),VLOOKUP($A82,Reg1_ct_Robust!$A:$AG,D$1+25,0))</f>
        <v>0.3196***</v>
      </c>
      <c r="E82" s="3" t="str">
        <f>_xlfn.CONCAT(FIXED(VLOOKUP($A82,Reg2_ct_last_rob!$A:$AG,E$1,0),4),VLOOKUP($A82,Reg2_ct_last_rob!$A:$AG,E$1+25,0))</f>
        <v>0.3141***</v>
      </c>
      <c r="F82" s="3" t="str">
        <f>_xlfn.CONCAT(FIXED(VLOOKUP($A82,Reg2_ct_first_rob!$A:$AG,F$1,0),4),VLOOKUP($A82,Reg2_ct_first_rob!$A:$AG,F$1+25,0))</f>
        <v>0.3173***</v>
      </c>
      <c r="G82" s="3" t="str">
        <f>_xlfn.CONCAT(FIXED(VLOOKUP($A82,Reg1_sf_Robust!$A:$AG,G$1,0),4),VLOOKUP($A82,Reg1_sf_Robust!$A:$AG,G$1+25,0))</f>
        <v>0.1095*</v>
      </c>
      <c r="H82" s="3" t="str">
        <f>_xlfn.CONCAT(FIXED(VLOOKUP($A82,Reg2_sf_last_rob!$A:$AG,H$1,0),4),VLOOKUP($A82,Reg2_sf_last_rob!$A:$AG,H$1+25,0))</f>
        <v>0.0990*</v>
      </c>
      <c r="I82" s="3" t="str">
        <f>_xlfn.CONCAT(FIXED(VLOOKUP($A82,Reg2_sf_first_rob!$A:$AG,I$1,0),4),VLOOKUP($A82,Reg2_sf_first_rob!$A:$AG,I$1+25,0))</f>
        <v>0.1067*</v>
      </c>
    </row>
    <row r="83" spans="1:9" x14ac:dyDescent="0.25">
      <c r="A83">
        <v>78</v>
      </c>
      <c r="D83" s="3" t="str">
        <f>_xlfn.CONCAT("(",FIXED(ABS(VLOOKUP($A82,Reg1_ct_Robust!$A:$AG,D$1+1,0)),4),")")</f>
        <v>(0.0385)</v>
      </c>
      <c r="E83" s="3" t="str">
        <f>_xlfn.CONCAT("(",FIXED(ABS(VLOOKUP($A82,Reg2_ct_last_rob!$A:$AG,E$1+1,0)),4),")")</f>
        <v>(0.0398)</v>
      </c>
      <c r="F83" s="3" t="str">
        <f>_xlfn.CONCAT("(",FIXED(ABS(VLOOKUP($A82,Reg2_ct_first_rob!$A:$AG,F$1+1,0)),4),")")</f>
        <v>(0.0405)</v>
      </c>
      <c r="G83" s="3" t="str">
        <f>_xlfn.CONCAT("(",FIXED(ABS(VLOOKUP($A82,Reg1_sf_Robust!$A:$AG,G$1+1,0)),4),")")</f>
        <v>(0.0551)</v>
      </c>
      <c r="H83" s="3" t="str">
        <f>_xlfn.CONCAT("(",FIXED(ABS(VLOOKUP($A82,Reg2_sf_last_rob!$A:$AG,H$1+1,0)),4),")")</f>
        <v>(0.0521)</v>
      </c>
      <c r="I83" s="3" t="str">
        <f>_xlfn.CONCAT("(",FIXED(ABS(VLOOKUP($A82,Reg2_sf_first_rob!$A:$AG,I$1+1,0)),4),")")</f>
        <v>(0.0522)</v>
      </c>
    </row>
    <row r="84" spans="1:9" x14ac:dyDescent="0.25">
      <c r="A84">
        <v>79</v>
      </c>
      <c r="B84" t="s">
        <v>168</v>
      </c>
      <c r="C84" t="s">
        <v>374</v>
      </c>
      <c r="D84" s="3" t="str">
        <f>_xlfn.CONCAT(FIXED(VLOOKUP($A84,Reg1_ct_Robust!$A:$AG,D$1,0),4),VLOOKUP($A84,Reg1_ct_Robust!$A:$AG,D$1+25,0))</f>
        <v>0.3793**</v>
      </c>
      <c r="E84" s="3" t="str">
        <f>_xlfn.CONCAT(FIXED(VLOOKUP($A84,Reg2_ct_last_rob!$A:$AG,E$1,0),4),VLOOKUP($A84,Reg2_ct_last_rob!$A:$AG,E$1+25,0))</f>
        <v>0.3734**</v>
      </c>
      <c r="F84" s="3" t="str">
        <f>_xlfn.CONCAT(FIXED(VLOOKUP($A84,Reg2_ct_first_rob!$A:$AG,F$1,0),4),VLOOKUP($A84,Reg2_ct_first_rob!$A:$AG,F$1+25,0))</f>
        <v>0.3885**</v>
      </c>
      <c r="G84" s="3" t="str">
        <f>_xlfn.CONCAT(FIXED(VLOOKUP($A84,Reg1_sf_Robust!$A:$AG,G$1,0),4),VLOOKUP($A84,Reg1_sf_Robust!$A:$AG,G$1+25,0))</f>
        <v>0.1096*</v>
      </c>
      <c r="H84" s="3" t="str">
        <f>_xlfn.CONCAT(FIXED(VLOOKUP($A84,Reg2_sf_last_rob!$A:$AG,H$1,0),4),VLOOKUP($A84,Reg2_sf_last_rob!$A:$AG,H$1+25,0))</f>
        <v>0.0970</v>
      </c>
      <c r="I84" s="3" t="str">
        <f>_xlfn.CONCAT(FIXED(VLOOKUP($A84,Reg2_sf_first_rob!$A:$AG,I$1,0),4),VLOOKUP($A84,Reg2_sf_first_rob!$A:$AG,I$1+25,0))</f>
        <v>0.1079*</v>
      </c>
    </row>
    <row r="85" spans="1:9" x14ac:dyDescent="0.25">
      <c r="A85">
        <v>80</v>
      </c>
      <c r="D85" s="3" t="str">
        <f>_xlfn.CONCAT("(",FIXED(ABS(VLOOKUP($A84,Reg1_ct_Robust!$A:$AG,D$1+1,0)),4),")")</f>
        <v>(0.1146)</v>
      </c>
      <c r="E85" s="3" t="str">
        <f>_xlfn.CONCAT("(",FIXED(ABS(VLOOKUP($A84,Reg2_ct_last_rob!$A:$AG,E$1+1,0)),4),")")</f>
        <v>(0.1185)</v>
      </c>
      <c r="F85" s="3" t="str">
        <f>_xlfn.CONCAT("(",FIXED(ABS(VLOOKUP($A84,Reg2_ct_first_rob!$A:$AG,F$1+1,0)),4),")")</f>
        <v>(0.1176)</v>
      </c>
      <c r="G85" s="3" t="str">
        <f>_xlfn.CONCAT("(",FIXED(ABS(VLOOKUP($A84,Reg1_sf_Robust!$A:$AG,G$1+1,0)),4),")")</f>
        <v>(0.0588)</v>
      </c>
      <c r="H85" s="3" t="str">
        <f>_xlfn.CONCAT("(",FIXED(ABS(VLOOKUP($A84,Reg2_sf_last_rob!$A:$AG,H$1+1,0)),4),")")</f>
        <v>(0.0545)</v>
      </c>
      <c r="I85" s="3" t="str">
        <f>_xlfn.CONCAT("(",FIXED(ABS(VLOOKUP($A84,Reg2_sf_first_rob!$A:$AG,I$1+1,0)),4),")")</f>
        <v>(0.0549)</v>
      </c>
    </row>
    <row r="86" spans="1:9" x14ac:dyDescent="0.25">
      <c r="A86">
        <v>81</v>
      </c>
      <c r="B86" t="s">
        <v>169</v>
      </c>
      <c r="C86" t="s">
        <v>375</v>
      </c>
      <c r="D86" s="3" t="str">
        <f>_xlfn.CONCAT(FIXED(VLOOKUP($A86,Reg1_ct_Robust!$A:$AG,D$1,0),4),VLOOKUP($A86,Reg1_ct_Robust!$A:$AG,D$1+25,0))</f>
        <v>0.2822***</v>
      </c>
      <c r="E86" s="3" t="str">
        <f>_xlfn.CONCAT(FIXED(VLOOKUP($A86,Reg2_ct_last_rob!$A:$AG,E$1,0),4),VLOOKUP($A86,Reg2_ct_last_rob!$A:$AG,E$1+25,0))</f>
        <v>0.2732***</v>
      </c>
      <c r="F86" s="3" t="str">
        <f>_xlfn.CONCAT(FIXED(VLOOKUP($A86,Reg2_ct_first_rob!$A:$AG,F$1,0),4),VLOOKUP($A86,Reg2_ct_first_rob!$A:$AG,F$1+25,0))</f>
        <v>0.2853***</v>
      </c>
      <c r="G86" s="3" t="str">
        <f>_xlfn.CONCAT(FIXED(VLOOKUP($A86,Reg1_sf_Robust!$A:$AG,G$1,0),4),VLOOKUP($A86,Reg1_sf_Robust!$A:$AG,G$1+25,0))</f>
        <v>0.1386**</v>
      </c>
      <c r="H86" s="3" t="str">
        <f>_xlfn.CONCAT(FIXED(VLOOKUP($A86,Reg2_sf_last_rob!$A:$AG,H$1,0),4),VLOOKUP($A86,Reg2_sf_last_rob!$A:$AG,H$1+25,0))</f>
        <v>0.1264**</v>
      </c>
      <c r="I86" s="3" t="str">
        <f>_xlfn.CONCAT(FIXED(VLOOKUP($A86,Reg2_sf_first_rob!$A:$AG,I$1,0),4),VLOOKUP($A86,Reg2_sf_first_rob!$A:$AG,I$1+25,0))</f>
        <v>0.1372**</v>
      </c>
    </row>
    <row r="87" spans="1:9" x14ac:dyDescent="0.25">
      <c r="A87">
        <v>82</v>
      </c>
      <c r="D87" s="3" t="str">
        <f>_xlfn.CONCAT("(",FIXED(ABS(VLOOKUP($A86,Reg1_ct_Robust!$A:$AG,D$1+1,0)),4),")")</f>
        <v>(0.0699)</v>
      </c>
      <c r="E87" s="3" t="str">
        <f>_xlfn.CONCAT("(",FIXED(ABS(VLOOKUP($A86,Reg2_ct_last_rob!$A:$AG,E$1+1,0)),4),")")</f>
        <v>(0.0715)</v>
      </c>
      <c r="F87" s="3" t="str">
        <f>_xlfn.CONCAT("(",FIXED(ABS(VLOOKUP($A86,Reg2_ct_first_rob!$A:$AG,F$1+1,0)),4),")")</f>
        <v>(0.0718)</v>
      </c>
      <c r="G87" s="3" t="str">
        <f>_xlfn.CONCAT("(",FIXED(ABS(VLOOKUP($A86,Reg1_sf_Robust!$A:$AG,G$1+1,0)),4),")")</f>
        <v>(0.0583)</v>
      </c>
      <c r="H87" s="3" t="str">
        <f>_xlfn.CONCAT("(",FIXED(ABS(VLOOKUP($A86,Reg2_sf_last_rob!$A:$AG,H$1+1,0)),4),")")</f>
        <v>(0.0546)</v>
      </c>
      <c r="I87" s="3" t="str">
        <f>_xlfn.CONCAT("(",FIXED(ABS(VLOOKUP($A86,Reg2_sf_first_rob!$A:$AG,I$1+1,0)),4),")")</f>
        <v>(0.0555)</v>
      </c>
    </row>
    <row r="88" spans="1:9" x14ac:dyDescent="0.25">
      <c r="A88">
        <v>83</v>
      </c>
      <c r="B88" t="s">
        <v>170</v>
      </c>
      <c r="C88" t="s">
        <v>376</v>
      </c>
      <c r="D88" s="3" t="str">
        <f>_xlfn.CONCAT(FIXED(VLOOKUP($A88,Reg1_ct_Robust!$A:$AG,D$1,0),4),VLOOKUP($A88,Reg1_ct_Robust!$A:$AG,D$1+25,0))</f>
        <v>0.0460</v>
      </c>
      <c r="E88" s="3" t="str">
        <f>_xlfn.CONCAT(FIXED(VLOOKUP($A88,Reg2_ct_last_rob!$A:$AG,E$1,0),4),VLOOKUP($A88,Reg2_ct_last_rob!$A:$AG,E$1+25,0))</f>
        <v>0.0650</v>
      </c>
      <c r="F88" s="3" t="str">
        <f>_xlfn.CONCAT(FIXED(VLOOKUP($A88,Reg2_ct_first_rob!$A:$AG,F$1,0),4),VLOOKUP($A88,Reg2_ct_first_rob!$A:$AG,F$1+25,0))</f>
        <v>0.0588</v>
      </c>
      <c r="G88" s="3" t="str">
        <f>_xlfn.CONCAT(FIXED(VLOOKUP($A88,Reg1_sf_Robust!$A:$AG,G$1,0),4),VLOOKUP($A88,Reg1_sf_Robust!$A:$AG,G$1+25,0))</f>
        <v>0.1412**</v>
      </c>
      <c r="H88" s="3" t="str">
        <f>_xlfn.CONCAT(FIXED(VLOOKUP($A88,Reg2_sf_last_rob!$A:$AG,H$1,0),4),VLOOKUP($A88,Reg2_sf_last_rob!$A:$AG,H$1+25,0))</f>
        <v>0.1304**</v>
      </c>
      <c r="I88" s="3" t="str">
        <f>_xlfn.CONCAT(FIXED(VLOOKUP($A88,Reg2_sf_first_rob!$A:$AG,I$1,0),4),VLOOKUP($A88,Reg2_sf_first_rob!$A:$AG,I$1+25,0))</f>
        <v>0.1472**</v>
      </c>
    </row>
    <row r="89" spans="1:9" x14ac:dyDescent="0.25">
      <c r="A89">
        <v>84</v>
      </c>
      <c r="D89" s="3" t="str">
        <f>_xlfn.CONCAT("(",FIXED(ABS(VLOOKUP($A88,Reg1_ct_Robust!$A:$AG,D$1+1,0)),4),")")</f>
        <v>(0.2119)</v>
      </c>
      <c r="E89" s="3" t="str">
        <f>_xlfn.CONCAT("(",FIXED(ABS(VLOOKUP($A88,Reg2_ct_last_rob!$A:$AG,E$1+1,0)),4),")")</f>
        <v>(0.1946)</v>
      </c>
      <c r="F89" s="3" t="str">
        <f>_xlfn.CONCAT("(",FIXED(ABS(VLOOKUP($A88,Reg2_ct_first_rob!$A:$AG,F$1+1,0)),4),")")</f>
        <v>(0.1963)</v>
      </c>
      <c r="G89" s="3" t="str">
        <f>_xlfn.CONCAT("(",FIXED(ABS(VLOOKUP($A88,Reg1_sf_Robust!$A:$AG,G$1+1,0)),4),")")</f>
        <v>(0.0561)</v>
      </c>
      <c r="H89" s="3" t="str">
        <f>_xlfn.CONCAT("(",FIXED(ABS(VLOOKUP($A88,Reg2_sf_last_rob!$A:$AG,H$1+1,0)),4),")")</f>
        <v>(0.0527)</v>
      </c>
      <c r="I89" s="3" t="str">
        <f>_xlfn.CONCAT("(",FIXED(ABS(VLOOKUP($A88,Reg2_sf_first_rob!$A:$AG,I$1+1,0)),4),")")</f>
        <v>(0.0529)</v>
      </c>
    </row>
    <row r="90" spans="1:9" x14ac:dyDescent="0.25">
      <c r="A90">
        <v>85</v>
      </c>
      <c r="B90" t="s">
        <v>50</v>
      </c>
      <c r="C90" t="s">
        <v>377</v>
      </c>
      <c r="D90" s="3" t="str">
        <f>_xlfn.CONCAT(FIXED(VLOOKUP($A90,Reg1_ct_Robust!$A:$AG,D$1,0),4),VLOOKUP($A90,Reg1_ct_Robust!$A:$AG,D$1+25,0))</f>
        <v>0.0001</v>
      </c>
      <c r="E90" s="3" t="str">
        <f>_xlfn.CONCAT(FIXED(VLOOKUP($A90,Reg2_ct_last_rob!$A:$AG,E$1,0),4),VLOOKUP($A90,Reg2_ct_last_rob!$A:$AG,E$1+25,0))</f>
        <v>0.0001</v>
      </c>
      <c r="F90" s="3" t="str">
        <f>_xlfn.CONCAT(FIXED(VLOOKUP($A90,Reg2_ct_first_rob!$A:$AG,F$1,0),4),VLOOKUP($A90,Reg2_ct_first_rob!$A:$AG,F$1+25,0))</f>
        <v>0.0001</v>
      </c>
      <c r="G90" s="3" t="str">
        <f>_xlfn.CONCAT(FIXED(VLOOKUP($A90,Reg1_sf_Robust!$A:$AG,G$1,0),4),VLOOKUP($A90,Reg1_sf_Robust!$A:$AG,G$1+25,0))</f>
        <v>0.0002</v>
      </c>
      <c r="H90" s="3" t="str">
        <f>_xlfn.CONCAT(FIXED(VLOOKUP($A90,Reg2_sf_last_rob!$A:$AG,H$1,0),4),VLOOKUP($A90,Reg2_sf_last_rob!$A:$AG,H$1+25,0))</f>
        <v>0.0002</v>
      </c>
      <c r="I90" s="3" t="str">
        <f>_xlfn.CONCAT(FIXED(VLOOKUP($A90,Reg2_sf_first_rob!$A:$AG,I$1,0),4),VLOOKUP($A90,Reg2_sf_first_rob!$A:$AG,I$1+25,0))</f>
        <v>0.0002</v>
      </c>
    </row>
    <row r="91" spans="1:9" x14ac:dyDescent="0.25">
      <c r="A91">
        <v>86</v>
      </c>
      <c r="D91" s="3" t="str">
        <f>_xlfn.CONCAT("(",FIXED(ABS(VLOOKUP($A90,Reg1_ct_Robust!$A:$AG,D$1+1,0)),4),")")</f>
        <v>(0.0001)</v>
      </c>
      <c r="E91" s="3" t="str">
        <f>_xlfn.CONCAT("(",FIXED(ABS(VLOOKUP($A90,Reg2_ct_last_rob!$A:$AG,E$1+1,0)),4),")")</f>
        <v>(0.0001)</v>
      </c>
      <c r="F91" s="3" t="str">
        <f>_xlfn.CONCAT("(",FIXED(ABS(VLOOKUP($A90,Reg2_ct_first_rob!$A:$AG,F$1+1,0)),4),")")</f>
        <v>(0.0001)</v>
      </c>
      <c r="G91" s="3" t="str">
        <f>_xlfn.CONCAT("(",FIXED(ABS(VLOOKUP($A90,Reg1_sf_Robust!$A:$AG,G$1+1,0)),4),")")</f>
        <v>(0.0001)</v>
      </c>
      <c r="H91" s="3" t="str">
        <f>_xlfn.CONCAT("(",FIXED(ABS(VLOOKUP($A90,Reg2_sf_last_rob!$A:$AG,H$1+1,0)),4),")")</f>
        <v>(0.0001)</v>
      </c>
      <c r="I91" s="3" t="str">
        <f>_xlfn.CONCAT("(",FIXED(ABS(VLOOKUP($A90,Reg2_sf_first_rob!$A:$AG,I$1+1,0)),4),")")</f>
        <v>(0.0001)</v>
      </c>
    </row>
    <row r="92" spans="1:9" x14ac:dyDescent="0.25">
      <c r="A92">
        <v>87</v>
      </c>
      <c r="B92" t="s">
        <v>52</v>
      </c>
      <c r="C92" t="s">
        <v>378</v>
      </c>
      <c r="D92" s="3" t="str">
        <f>_xlfn.CONCAT(FIXED(VLOOKUP($A92,Reg1_ct_Robust!$A:$AG,D$1,0),4),VLOOKUP($A92,Reg1_ct_Robust!$A:$AG,D$1+25,0))</f>
        <v>0.0098**</v>
      </c>
      <c r="E92" s="3" t="str">
        <f>_xlfn.CONCAT(FIXED(VLOOKUP($A92,Reg2_ct_last_rob!$A:$AG,E$1,0),4),VLOOKUP($A92,Reg2_ct_last_rob!$A:$AG,E$1+25,0))</f>
        <v>0.0108**</v>
      </c>
      <c r="F92" s="3" t="str">
        <f>_xlfn.CONCAT(FIXED(VLOOKUP($A92,Reg2_ct_first_rob!$A:$AG,F$1,0),4),VLOOKUP($A92,Reg2_ct_first_rob!$A:$AG,F$1+25,0))</f>
        <v>0.0089**</v>
      </c>
      <c r="G92" s="3" t="str">
        <f>_xlfn.CONCAT(FIXED(VLOOKUP($A92,Reg1_sf_Robust!$A:$AG,G$1,0),4),VLOOKUP($A92,Reg1_sf_Robust!$A:$AG,G$1+25,0))</f>
        <v>-0.0049</v>
      </c>
      <c r="H92" s="3" t="str">
        <f>_xlfn.CONCAT(FIXED(VLOOKUP($A92,Reg2_sf_last_rob!$A:$AG,H$1,0),4),VLOOKUP($A92,Reg2_sf_last_rob!$A:$AG,H$1+25,0))</f>
        <v>-0.0063</v>
      </c>
      <c r="I92" s="3" t="str">
        <f>_xlfn.CONCAT(FIXED(VLOOKUP($A92,Reg2_sf_first_rob!$A:$AG,I$1,0),4),VLOOKUP($A92,Reg2_sf_first_rob!$A:$AG,I$1+25,0))</f>
        <v>-0.0068</v>
      </c>
    </row>
    <row r="93" spans="1:9" x14ac:dyDescent="0.25">
      <c r="A93">
        <v>88</v>
      </c>
      <c r="D93" s="3" t="str">
        <f>_xlfn.CONCAT("(",FIXED(ABS(VLOOKUP($A92,Reg1_ct_Robust!$A:$AG,D$1+1,0)),4),")")</f>
        <v>(0.0035)</v>
      </c>
      <c r="E93" s="3" t="str">
        <f>_xlfn.CONCAT("(",FIXED(ABS(VLOOKUP($A92,Reg2_ct_last_rob!$A:$AG,E$1+1,0)),4),")")</f>
        <v>(0.0035)</v>
      </c>
      <c r="F93" s="3" t="str">
        <f>_xlfn.CONCAT("(",FIXED(ABS(VLOOKUP($A92,Reg2_ct_first_rob!$A:$AG,F$1+1,0)),4),")")</f>
        <v>(0.0038)</v>
      </c>
      <c r="G93" s="3" t="str">
        <f>_xlfn.CONCAT("(",FIXED(ABS(VLOOKUP($A92,Reg1_sf_Robust!$A:$AG,G$1+1,0)),4),")")</f>
        <v>(0.0054)</v>
      </c>
      <c r="H93" s="3" t="str">
        <f>_xlfn.CONCAT("(",FIXED(ABS(VLOOKUP($A92,Reg2_sf_last_rob!$A:$AG,H$1+1,0)),4),")")</f>
        <v>(0.0055)</v>
      </c>
      <c r="I93" s="3" t="str">
        <f>_xlfn.CONCAT("(",FIXED(ABS(VLOOKUP($A92,Reg2_sf_first_rob!$A:$AG,I$1+1,0)),4),")")</f>
        <v>(0.0057)</v>
      </c>
    </row>
    <row r="94" spans="1:9" x14ac:dyDescent="0.25">
      <c r="A94">
        <v>89</v>
      </c>
      <c r="B94" t="s">
        <v>51</v>
      </c>
      <c r="C94" t="s">
        <v>379</v>
      </c>
      <c r="D94" s="3" t="str">
        <f>_xlfn.CONCAT(FIXED(VLOOKUP($A94,Reg1_ct_Robust!$A:$AG,D$1,0),4),VLOOKUP($A94,Reg1_ct_Robust!$A:$AG,D$1+25,0))</f>
        <v>0.0058</v>
      </c>
      <c r="E94" s="3" t="str">
        <f>_xlfn.CONCAT(FIXED(VLOOKUP($A94,Reg2_ct_last_rob!$A:$AG,E$1,0),4),VLOOKUP($A94,Reg2_ct_last_rob!$A:$AG,E$1+25,0))</f>
        <v>0.0056</v>
      </c>
      <c r="F94" s="3" t="str">
        <f>_xlfn.CONCAT(FIXED(VLOOKUP($A94,Reg2_ct_first_rob!$A:$AG,F$1,0),4),VLOOKUP($A94,Reg2_ct_first_rob!$A:$AG,F$1+25,0))</f>
        <v>0.0053</v>
      </c>
      <c r="G94" s="3" t="str">
        <f>_xlfn.CONCAT(FIXED(VLOOKUP($A94,Reg1_sf_Robust!$A:$AG,G$1,0),4),VLOOKUP($A94,Reg1_sf_Robust!$A:$AG,G$1+25,0))</f>
        <v>-0.0534***</v>
      </c>
      <c r="H94" s="3" t="str">
        <f>_xlfn.CONCAT(FIXED(VLOOKUP($A94,Reg2_sf_last_rob!$A:$AG,H$1,0),4),VLOOKUP($A94,Reg2_sf_last_rob!$A:$AG,H$1+25,0))</f>
        <v>-0.0522***</v>
      </c>
      <c r="I94" s="3" t="str">
        <f>_xlfn.CONCAT(FIXED(VLOOKUP($A94,Reg2_sf_first_rob!$A:$AG,I$1,0),4),VLOOKUP($A94,Reg2_sf_first_rob!$A:$AG,I$1+25,0))</f>
        <v>-0.0710***</v>
      </c>
    </row>
    <row r="95" spans="1:9" x14ac:dyDescent="0.25">
      <c r="A95">
        <v>90</v>
      </c>
      <c r="D95" s="3" t="str">
        <f>_xlfn.CONCAT("(",FIXED(ABS(VLOOKUP($A94,Reg1_ct_Robust!$A:$AG,D$1+1,0)),4),")")</f>
        <v>(0.0029)</v>
      </c>
      <c r="E95" s="3" t="str">
        <f>_xlfn.CONCAT("(",FIXED(ABS(VLOOKUP($A94,Reg2_ct_last_rob!$A:$AG,E$1+1,0)),4),")")</f>
        <v>(0.0031)</v>
      </c>
      <c r="F95" s="3" t="str">
        <f>_xlfn.CONCAT("(",FIXED(ABS(VLOOKUP($A94,Reg2_ct_first_rob!$A:$AG,F$1+1,0)),4),")")</f>
        <v>(0.0029)</v>
      </c>
      <c r="G95" s="3" t="str">
        <f>_xlfn.CONCAT("(",FIXED(ABS(VLOOKUP($A94,Reg1_sf_Robust!$A:$AG,G$1+1,0)),4),")")</f>
        <v>(0.0129)</v>
      </c>
      <c r="H95" s="3" t="str">
        <f>_xlfn.CONCAT("(",FIXED(ABS(VLOOKUP($A94,Reg2_sf_last_rob!$A:$AG,H$1+1,0)),4),")")</f>
        <v>(0.0128)</v>
      </c>
      <c r="I95" s="3" t="str">
        <f>_xlfn.CONCAT("(",FIXED(ABS(VLOOKUP($A94,Reg2_sf_first_rob!$A:$AG,I$1+1,0)),4),")")</f>
        <v>(0.0174)</v>
      </c>
    </row>
    <row r="96" spans="1:9" x14ac:dyDescent="0.25">
      <c r="A96">
        <v>91</v>
      </c>
      <c r="B96" t="s">
        <v>164</v>
      </c>
      <c r="C96" t="s">
        <v>380</v>
      </c>
      <c r="D96" s="3" t="str">
        <f>_xlfn.CONCAT(FIXED(VLOOKUP($A96,Reg1_ct_Robust!$A:$AG,D$1,0),4),VLOOKUP($A96,Reg1_ct_Robust!$A:$AG,D$1+25,0))</f>
        <v>-0.0056</v>
      </c>
      <c r="E96" s="3" t="str">
        <f>_xlfn.CONCAT(FIXED(VLOOKUP($A96,Reg2_ct_last_rob!$A:$AG,E$1,0),4),VLOOKUP($A96,Reg2_ct_last_rob!$A:$AG,E$1+25,0))</f>
        <v>-0.0064</v>
      </c>
      <c r="F96" s="3" t="str">
        <f>_xlfn.CONCAT(FIXED(VLOOKUP($A96,Reg2_ct_first_rob!$A:$AG,F$1,0),4),VLOOKUP($A96,Reg2_ct_first_rob!$A:$AG,F$1+25,0))</f>
        <v>-0.0065</v>
      </c>
      <c r="G96" s="3" t="str">
        <f>_xlfn.CONCAT(FIXED(VLOOKUP($A96,Reg1_sf_Robust!$A:$AG,G$1,0),4),VLOOKUP($A96,Reg1_sf_Robust!$A:$AG,G$1+25,0))</f>
        <v>0.0021</v>
      </c>
      <c r="H96" s="3" t="str">
        <f>_xlfn.CONCAT(FIXED(VLOOKUP($A96,Reg2_sf_last_rob!$A:$AG,H$1,0),4),VLOOKUP($A96,Reg2_sf_last_rob!$A:$AG,H$1+25,0))</f>
        <v>0.0018</v>
      </c>
      <c r="I96" s="3" t="str">
        <f>_xlfn.CONCAT(FIXED(VLOOKUP($A96,Reg2_sf_first_rob!$A:$AG,I$1,0),4),VLOOKUP($A96,Reg2_sf_first_rob!$A:$AG,I$1+25,0))</f>
        <v>0.0021</v>
      </c>
    </row>
    <row r="97" spans="1:9" x14ac:dyDescent="0.25">
      <c r="A97">
        <v>92</v>
      </c>
      <c r="D97" s="3" t="str">
        <f>_xlfn.CONCAT("(",FIXED(ABS(VLOOKUP($A96,Reg1_ct_Robust!$A:$AG,D$1+1,0)),4),")")</f>
        <v>(0.0111)</v>
      </c>
      <c r="E97" s="3" t="str">
        <f>_xlfn.CONCAT("(",FIXED(ABS(VLOOKUP($A96,Reg2_ct_last_rob!$A:$AG,E$1+1,0)),4),")")</f>
        <v>(0.0110)</v>
      </c>
      <c r="F97" s="3" t="str">
        <f>_xlfn.CONCAT("(",FIXED(ABS(VLOOKUP($A96,Reg2_ct_first_rob!$A:$AG,F$1+1,0)),4),")")</f>
        <v>(0.0117)</v>
      </c>
      <c r="G97" s="3" t="str">
        <f>_xlfn.CONCAT("(",FIXED(ABS(VLOOKUP($A96,Reg1_sf_Robust!$A:$AG,G$1+1,0)),4),")")</f>
        <v>(0.0094)</v>
      </c>
      <c r="H97" s="3" t="str">
        <f>_xlfn.CONCAT("(",FIXED(ABS(VLOOKUP($A96,Reg2_sf_last_rob!$A:$AG,H$1+1,0)),4),")")</f>
        <v>(0.0092)</v>
      </c>
      <c r="I97" s="3" t="str">
        <f>_xlfn.CONCAT("(",FIXED(ABS(VLOOKUP($A96,Reg2_sf_first_rob!$A:$AG,I$1+1,0)),4),")")</f>
        <v>(0.0095)</v>
      </c>
    </row>
    <row r="98" spans="1:9" x14ac:dyDescent="0.25">
      <c r="A98">
        <v>93</v>
      </c>
      <c r="B98" t="s">
        <v>39</v>
      </c>
      <c r="C98" t="s">
        <v>381</v>
      </c>
      <c r="D98" s="3" t="str">
        <f>_xlfn.CONCAT(FIXED(VLOOKUP($A98,Reg1_ct_Robust!$A:$AG,D$1,0),4),VLOOKUP($A98,Reg1_ct_Robust!$A:$AG,D$1+25,0))</f>
        <v>-0.0618</v>
      </c>
      <c r="E98" s="3" t="str">
        <f>_xlfn.CONCAT(FIXED(VLOOKUP($A98,Reg2_ct_last_rob!$A:$AG,E$1,0),4),VLOOKUP($A98,Reg2_ct_last_rob!$A:$AG,E$1+25,0))</f>
        <v>-0.0623</v>
      </c>
      <c r="F98" s="3" t="str">
        <f>_xlfn.CONCAT(FIXED(VLOOKUP($A98,Reg2_ct_first_rob!$A:$AG,F$1,0),4),VLOOKUP($A98,Reg2_ct_first_rob!$A:$AG,F$1+25,0))</f>
        <v>-0.0672</v>
      </c>
      <c r="G98" s="3" t="str">
        <f>_xlfn.CONCAT(FIXED(VLOOKUP($A98,Reg1_sf_Robust!$A:$AG,G$1,0),4),VLOOKUP($A98,Reg1_sf_Robust!$A:$AG,G$1+25,0))</f>
        <v>-0.0620*</v>
      </c>
      <c r="H98" s="3" t="str">
        <f>_xlfn.CONCAT(FIXED(VLOOKUP($A98,Reg2_sf_last_rob!$A:$AG,H$1,0),4),VLOOKUP($A98,Reg2_sf_last_rob!$A:$AG,H$1+25,0))</f>
        <v>-0.0629*</v>
      </c>
      <c r="I98" s="3" t="str">
        <f>_xlfn.CONCAT(FIXED(VLOOKUP($A98,Reg2_sf_first_rob!$A:$AG,I$1,0),4),VLOOKUP($A98,Reg2_sf_first_rob!$A:$AG,I$1+25,0))</f>
        <v>-0.0651*</v>
      </c>
    </row>
    <row r="99" spans="1:9" x14ac:dyDescent="0.25">
      <c r="A99">
        <v>94</v>
      </c>
      <c r="D99" s="3" t="str">
        <f>_xlfn.CONCAT("(",FIXED(ABS(VLOOKUP($A98,Reg1_ct_Robust!$A:$AG,D$1+1,0)),4),")")</f>
        <v>(0.0637)</v>
      </c>
      <c r="E99" s="3" t="str">
        <f>_xlfn.CONCAT("(",FIXED(ABS(VLOOKUP($A98,Reg2_ct_last_rob!$A:$AG,E$1+1,0)),4),")")</f>
        <v>(0.0650)</v>
      </c>
      <c r="F99" s="3" t="str">
        <f>_xlfn.CONCAT("(",FIXED(ABS(VLOOKUP($A98,Reg2_ct_first_rob!$A:$AG,F$1+1,0)),4),")")</f>
        <v>(0.0650)</v>
      </c>
      <c r="G99" s="3" t="str">
        <f>_xlfn.CONCAT("(",FIXED(ABS(VLOOKUP($A98,Reg1_sf_Robust!$A:$AG,G$1+1,0)),4),")")</f>
        <v>(0.0303)</v>
      </c>
      <c r="H99" s="3" t="str">
        <f>_xlfn.CONCAT("(",FIXED(ABS(VLOOKUP($A98,Reg2_sf_last_rob!$A:$AG,H$1+1,0)),4),")")</f>
        <v>(0.0311)</v>
      </c>
      <c r="I99" s="3" t="str">
        <f>_xlfn.CONCAT("(",FIXED(ABS(VLOOKUP($A98,Reg2_sf_first_rob!$A:$AG,I$1+1,0)),4),")")</f>
        <v>(0.0319)</v>
      </c>
    </row>
    <row r="100" spans="1:9" x14ac:dyDescent="0.25">
      <c r="A100">
        <v>95</v>
      </c>
      <c r="B100" t="s">
        <v>40</v>
      </c>
      <c r="C100" t="s">
        <v>382</v>
      </c>
      <c r="D100" s="3" t="str">
        <f>_xlfn.CONCAT(FIXED(VLOOKUP($A100,Reg1_ct_Robust!$A:$AG,D$1,0),4),VLOOKUP($A100,Reg1_ct_Robust!$A:$AG,D$1+25,0))</f>
        <v>-0.0247**</v>
      </c>
      <c r="E100" s="3" t="str">
        <f>_xlfn.CONCAT(FIXED(VLOOKUP($A100,Reg2_ct_last_rob!$A:$AG,E$1,0),4),VLOOKUP($A100,Reg2_ct_last_rob!$A:$AG,E$1+25,0))</f>
        <v>-0.0255**</v>
      </c>
      <c r="F100" s="3" t="str">
        <f>_xlfn.CONCAT(FIXED(VLOOKUP($A100,Reg2_ct_first_rob!$A:$AG,F$1,0),4),VLOOKUP($A100,Reg2_ct_first_rob!$A:$AG,F$1+25,0))</f>
        <v>-0.0258**</v>
      </c>
      <c r="G100" s="3" t="str">
        <f>_xlfn.CONCAT(FIXED(VLOOKUP($A100,Reg1_sf_Robust!$A:$AG,G$1,0),4),VLOOKUP($A100,Reg1_sf_Robust!$A:$AG,G$1+25,0))</f>
        <v>0.0001</v>
      </c>
      <c r="H100" s="3" t="str">
        <f>_xlfn.CONCAT(FIXED(VLOOKUP($A100,Reg2_sf_last_rob!$A:$AG,H$1,0),4),VLOOKUP($A100,Reg2_sf_last_rob!$A:$AG,H$1+25,0))</f>
        <v>0.0004</v>
      </c>
      <c r="I100" s="3" t="str">
        <f>_xlfn.CONCAT(FIXED(VLOOKUP($A100,Reg2_sf_first_rob!$A:$AG,I$1,0),4),VLOOKUP($A100,Reg2_sf_first_rob!$A:$AG,I$1+25,0))</f>
        <v>0.0000</v>
      </c>
    </row>
    <row r="101" spans="1:9" x14ac:dyDescent="0.25">
      <c r="A101">
        <v>96</v>
      </c>
      <c r="D101" s="3" t="str">
        <f>_xlfn.CONCAT("(",FIXED(ABS(VLOOKUP($A100,Reg1_ct_Robust!$A:$AG,D$1+1,0)),4),")")</f>
        <v>(0.0104)</v>
      </c>
      <c r="E101" s="3" t="str">
        <f>_xlfn.CONCAT("(",FIXED(ABS(VLOOKUP($A100,Reg2_ct_last_rob!$A:$AG,E$1+1,0)),4),")")</f>
        <v>(0.0108)</v>
      </c>
      <c r="F101" s="3" t="str">
        <f>_xlfn.CONCAT("(",FIXED(ABS(VLOOKUP($A100,Reg2_ct_first_rob!$A:$AG,F$1+1,0)),4),")")</f>
        <v>(0.0107)</v>
      </c>
      <c r="G101" s="3" t="str">
        <f>_xlfn.CONCAT("(",FIXED(ABS(VLOOKUP($A100,Reg1_sf_Robust!$A:$AG,G$1+1,0)),4),")")</f>
        <v>(0.0086)</v>
      </c>
      <c r="H101" s="3" t="str">
        <f>_xlfn.CONCAT("(",FIXED(ABS(VLOOKUP($A100,Reg2_sf_last_rob!$A:$AG,H$1+1,0)),4),")")</f>
        <v>(0.0084)</v>
      </c>
      <c r="I101" s="3" t="str">
        <f>_xlfn.CONCAT("(",FIXED(ABS(VLOOKUP($A100,Reg2_sf_first_rob!$A:$AG,I$1+1,0)),4),")")</f>
        <v>(0.0087)</v>
      </c>
    </row>
    <row r="102" spans="1:9" x14ac:dyDescent="0.25">
      <c r="A102">
        <v>97</v>
      </c>
      <c r="B102" t="s">
        <v>41</v>
      </c>
      <c r="C102" t="s">
        <v>383</v>
      </c>
      <c r="D102" s="3" t="str">
        <f>_xlfn.CONCAT(FIXED(VLOOKUP($A102,Reg1_ct_Robust!$A:$AG,D$1,0),4),VLOOKUP($A102,Reg1_ct_Robust!$A:$AG,D$1+25,0))</f>
        <v>-0.0030</v>
      </c>
      <c r="E102" s="3" t="str">
        <f>_xlfn.CONCAT(FIXED(VLOOKUP($A102,Reg2_ct_last_rob!$A:$AG,E$1,0),4),VLOOKUP($A102,Reg2_ct_last_rob!$A:$AG,E$1+25,0))</f>
        <v>-0.0021</v>
      </c>
      <c r="F102" s="3" t="str">
        <f>_xlfn.CONCAT(FIXED(VLOOKUP($A102,Reg2_ct_first_rob!$A:$AG,F$1,0),4),VLOOKUP($A102,Reg2_ct_first_rob!$A:$AG,F$1+25,0))</f>
        <v>-0.0029</v>
      </c>
      <c r="G102" s="3" t="str">
        <f>_xlfn.CONCAT(FIXED(VLOOKUP($A102,Reg1_sf_Robust!$A:$AG,G$1,0),4),VLOOKUP($A102,Reg1_sf_Robust!$A:$AG,G$1+25,0))</f>
        <v>-0.0051</v>
      </c>
      <c r="H102" s="3" t="str">
        <f>_xlfn.CONCAT(FIXED(VLOOKUP($A102,Reg2_sf_last_rob!$A:$AG,H$1,0),4),VLOOKUP($A102,Reg2_sf_last_rob!$A:$AG,H$1+25,0))</f>
        <v>-0.0051</v>
      </c>
      <c r="I102" s="3" t="str">
        <f>_xlfn.CONCAT(FIXED(VLOOKUP($A102,Reg2_sf_first_rob!$A:$AG,I$1,0),4),VLOOKUP($A102,Reg2_sf_first_rob!$A:$AG,I$1+25,0))</f>
        <v>-0.0056</v>
      </c>
    </row>
    <row r="103" spans="1:9" x14ac:dyDescent="0.25">
      <c r="A103">
        <v>98</v>
      </c>
      <c r="D103" s="3" t="str">
        <f>_xlfn.CONCAT("(",FIXED(ABS(VLOOKUP($A102,Reg1_ct_Robust!$A:$AG,D$1+1,0)),4),")")</f>
        <v>(0.0066)</v>
      </c>
      <c r="E103" s="3" t="str">
        <f>_xlfn.CONCAT("(",FIXED(ABS(VLOOKUP($A102,Reg2_ct_last_rob!$A:$AG,E$1+1,0)),4),")")</f>
        <v>(0.0066)</v>
      </c>
      <c r="F103" s="3" t="str">
        <f>_xlfn.CONCAT("(",FIXED(ABS(VLOOKUP($A102,Reg2_ct_first_rob!$A:$AG,F$1+1,0)),4),")")</f>
        <v>(0.0067)</v>
      </c>
      <c r="G103" s="3" t="str">
        <f>_xlfn.CONCAT("(",FIXED(ABS(VLOOKUP($A102,Reg1_sf_Robust!$A:$AG,G$1+1,0)),4),")")</f>
        <v>(0.0073)</v>
      </c>
      <c r="H103" s="3" t="str">
        <f>_xlfn.CONCAT("(",FIXED(ABS(VLOOKUP($A102,Reg2_sf_last_rob!$A:$AG,H$1+1,0)),4),")")</f>
        <v>(0.0070)</v>
      </c>
      <c r="I103" s="3" t="str">
        <f>_xlfn.CONCAT("(",FIXED(ABS(VLOOKUP($A102,Reg2_sf_first_rob!$A:$AG,I$1+1,0)),4),")")</f>
        <v>(0.0073)</v>
      </c>
    </row>
    <row r="104" spans="1:9" x14ac:dyDescent="0.25">
      <c r="A104">
        <v>99</v>
      </c>
      <c r="B104" t="s">
        <v>173</v>
      </c>
      <c r="C104" t="s">
        <v>384</v>
      </c>
      <c r="D104" s="3" t="str">
        <f>_xlfn.CONCAT(FIXED(VLOOKUP($A104,Reg1_ct_Robust!$A:$AG,D$1,0),4),VLOOKUP($A104,Reg1_ct_Robust!$A:$AG,D$1+25,0))</f>
        <v>-0.0022</v>
      </c>
      <c r="E104" s="3" t="str">
        <f>_xlfn.CONCAT(FIXED(VLOOKUP($A104,Reg2_ct_last_rob!$A:$AG,E$1,0),4),VLOOKUP($A104,Reg2_ct_last_rob!$A:$AG,E$1+25,0))</f>
        <v>-0.0022</v>
      </c>
      <c r="F104" s="3" t="str">
        <f>_xlfn.CONCAT(FIXED(VLOOKUP($A104,Reg2_ct_first_rob!$A:$AG,F$1,0),4),VLOOKUP($A104,Reg2_ct_first_rob!$A:$AG,F$1+25,0))</f>
        <v>-0.0022</v>
      </c>
      <c r="G104" s="3" t="str">
        <f>_xlfn.CONCAT(FIXED(VLOOKUP($A104,Reg1_sf_Robust!$A:$AG,G$1,0),4),VLOOKUP($A104,Reg1_sf_Robust!$A:$AG,G$1+25,0))</f>
        <v>0.0241</v>
      </c>
      <c r="H104" s="3" t="str">
        <f>_xlfn.CONCAT(FIXED(VLOOKUP($A104,Reg2_sf_last_rob!$A:$AG,H$1,0),4),VLOOKUP($A104,Reg2_sf_last_rob!$A:$AG,H$1+25,0))</f>
        <v>0.0232</v>
      </c>
      <c r="I104" s="3" t="str">
        <f>_xlfn.CONCAT(FIXED(VLOOKUP($A104,Reg2_sf_first_rob!$A:$AG,I$1,0),4),VLOOKUP($A104,Reg2_sf_first_rob!$A:$AG,I$1+25,0))</f>
        <v>0.0239</v>
      </c>
    </row>
    <row r="105" spans="1:9" x14ac:dyDescent="0.25">
      <c r="A105">
        <v>100</v>
      </c>
      <c r="D105" s="3" t="str">
        <f>_xlfn.CONCAT("(",FIXED(ABS(VLOOKUP($A104,Reg1_ct_Robust!$A:$AG,D$1+1,0)),4),")")</f>
        <v>(0.0009)</v>
      </c>
      <c r="E105" s="3" t="str">
        <f>_xlfn.CONCAT("(",FIXED(ABS(VLOOKUP($A104,Reg2_ct_last_rob!$A:$AG,E$1+1,0)),4),")")</f>
        <v>(0.0009)</v>
      </c>
      <c r="F105" s="3" t="str">
        <f>_xlfn.CONCAT("(",FIXED(ABS(VLOOKUP($A104,Reg2_ct_first_rob!$A:$AG,F$1+1,0)),4),")")</f>
        <v>(0.0010)</v>
      </c>
      <c r="G105" s="3" t="str">
        <f>_xlfn.CONCAT("(",FIXED(ABS(VLOOKUP($A104,Reg1_sf_Robust!$A:$AG,G$1+1,0)),4),")")</f>
        <v>(0.0131)</v>
      </c>
      <c r="H105" s="3" t="str">
        <f>_xlfn.CONCAT("(",FIXED(ABS(VLOOKUP($A104,Reg2_sf_last_rob!$A:$AG,H$1+1,0)),4),")")</f>
        <v>(0.0127)</v>
      </c>
      <c r="I105" s="3" t="str">
        <f>_xlfn.CONCAT("(",FIXED(ABS(VLOOKUP($A104,Reg2_sf_first_rob!$A:$AG,I$1+1,0)),4),")")</f>
        <v>(0.0131)</v>
      </c>
    </row>
    <row r="106" spans="1:9" x14ac:dyDescent="0.25">
      <c r="A106">
        <v>101</v>
      </c>
      <c r="B106" t="s">
        <v>174</v>
      </c>
      <c r="C106" t="s">
        <v>385</v>
      </c>
      <c r="D106" s="3" t="str">
        <f>_xlfn.CONCAT(FIXED(VLOOKUP($A106,Reg1_ct_Robust!$A:$AG,D$1,0),4),VLOOKUP($A106,Reg1_ct_Robust!$A:$AG,D$1+25,0))</f>
        <v>0.0355**</v>
      </c>
      <c r="E106" s="3" t="str">
        <f>_xlfn.CONCAT(FIXED(VLOOKUP($A106,Reg2_ct_last_rob!$A:$AG,E$1,0),4),VLOOKUP($A106,Reg2_ct_last_rob!$A:$AG,E$1+25,0))</f>
        <v>0.0350*</v>
      </c>
      <c r="F106" s="3" t="str">
        <f>_xlfn.CONCAT(FIXED(VLOOKUP($A106,Reg2_ct_first_rob!$A:$AG,F$1,0),4),VLOOKUP($A106,Reg2_ct_first_rob!$A:$AG,F$1+25,0))</f>
        <v>0.0377**</v>
      </c>
      <c r="G106" s="3" t="str">
        <f>_xlfn.CONCAT(FIXED(VLOOKUP($A106,Reg1_sf_Robust!$A:$AG,G$1,0),4),VLOOKUP($A106,Reg1_sf_Robust!$A:$AG,G$1+25,0))</f>
        <v>-0.0074</v>
      </c>
      <c r="H106" s="3" t="str">
        <f>_xlfn.CONCAT(FIXED(VLOOKUP($A106,Reg2_sf_last_rob!$A:$AG,H$1,0),4),VLOOKUP($A106,Reg2_sf_last_rob!$A:$AG,H$1+25,0))</f>
        <v>-0.0077</v>
      </c>
      <c r="I106" s="3" t="str">
        <f>_xlfn.CONCAT(FIXED(VLOOKUP($A106,Reg2_sf_first_rob!$A:$AG,I$1,0),4),VLOOKUP($A106,Reg2_sf_first_rob!$A:$AG,I$1+25,0))</f>
        <v>-0.0073</v>
      </c>
    </row>
    <row r="107" spans="1:9" x14ac:dyDescent="0.25">
      <c r="A107">
        <v>102</v>
      </c>
      <c r="D107" s="3" t="str">
        <f>_xlfn.CONCAT("(",FIXED(ABS(VLOOKUP($A106,Reg1_ct_Robust!$A:$AG,D$1+1,0)),4),")")</f>
        <v>(0.0154)</v>
      </c>
      <c r="E107" s="3" t="str">
        <f>_xlfn.CONCAT("(",FIXED(ABS(VLOOKUP($A106,Reg2_ct_last_rob!$A:$AG,E$1+1,0)),4),")")</f>
        <v>(0.0161)</v>
      </c>
      <c r="F107" s="3" t="str">
        <f>_xlfn.CONCAT("(",FIXED(ABS(VLOOKUP($A106,Reg2_ct_first_rob!$A:$AG,F$1+1,0)),4),")")</f>
        <v>(0.0163)</v>
      </c>
      <c r="G107" s="3" t="str">
        <f>_xlfn.CONCAT("(",FIXED(ABS(VLOOKUP($A106,Reg1_sf_Robust!$A:$AG,G$1+1,0)),4),")")</f>
        <v>(0.0110)</v>
      </c>
      <c r="H107" s="3" t="str">
        <f>_xlfn.CONCAT("(",FIXED(ABS(VLOOKUP($A106,Reg2_sf_last_rob!$A:$AG,H$1+1,0)),4),")")</f>
        <v>(0.0112)</v>
      </c>
      <c r="I107" s="3" t="str">
        <f>_xlfn.CONCAT("(",FIXED(ABS(VLOOKUP($A106,Reg2_sf_first_rob!$A:$AG,I$1+1,0)),4),")")</f>
        <v>(0.0113)</v>
      </c>
    </row>
    <row r="108" spans="1:9" x14ac:dyDescent="0.25">
      <c r="A108">
        <v>103</v>
      </c>
      <c r="B108" t="s">
        <v>175</v>
      </c>
      <c r="C108" t="s">
        <v>386</v>
      </c>
      <c r="D108" s="3" t="str">
        <f>_xlfn.CONCAT(FIXED(VLOOKUP($A108,Reg1_ct_Robust!$A:$AG,D$1,0),4),VLOOKUP($A108,Reg1_ct_Robust!$A:$AG,D$1+25,0))</f>
        <v>0.0262</v>
      </c>
      <c r="E108" s="3" t="str">
        <f>_xlfn.CONCAT(FIXED(VLOOKUP($A108,Reg2_ct_last_rob!$A:$AG,E$1,0),4),VLOOKUP($A108,Reg2_ct_last_rob!$A:$AG,E$1+25,0))</f>
        <v>0.0277</v>
      </c>
      <c r="F108" s="3" t="str">
        <f>_xlfn.CONCAT(FIXED(VLOOKUP($A108,Reg2_ct_first_rob!$A:$AG,F$1,0),4),VLOOKUP($A108,Reg2_ct_first_rob!$A:$AG,F$1+25,0))</f>
        <v>0.0262</v>
      </c>
      <c r="G108" s="3" t="str">
        <f>_xlfn.CONCAT(FIXED(VLOOKUP($A108,Reg1_sf_Robust!$A:$AG,G$1,0),4),VLOOKUP($A108,Reg1_sf_Robust!$A:$AG,G$1+25,0))</f>
        <v>0.0131</v>
      </c>
      <c r="H108" s="3" t="str">
        <f>_xlfn.CONCAT(FIXED(VLOOKUP($A108,Reg2_sf_last_rob!$A:$AG,H$1,0),4),VLOOKUP($A108,Reg2_sf_last_rob!$A:$AG,H$1+25,0))</f>
        <v>0.0137*</v>
      </c>
      <c r="I108" s="3" t="str">
        <f>_xlfn.CONCAT(FIXED(VLOOKUP($A108,Reg2_sf_first_rob!$A:$AG,I$1,0),4),VLOOKUP($A108,Reg2_sf_first_rob!$A:$AG,I$1+25,0))</f>
        <v>0.0132</v>
      </c>
    </row>
    <row r="109" spans="1:9" x14ac:dyDescent="0.25">
      <c r="A109">
        <v>104</v>
      </c>
      <c r="D109" s="3" t="str">
        <f>_xlfn.CONCAT("(",FIXED(ABS(VLOOKUP($A108,Reg1_ct_Robust!$A:$AG,D$1+1,0)),4),")")</f>
        <v>(0.0239)</v>
      </c>
      <c r="E109" s="3" t="str">
        <f>_xlfn.CONCAT("(",FIXED(ABS(VLOOKUP($A108,Reg2_ct_last_rob!$A:$AG,E$1+1,0)),4),")")</f>
        <v>(0.0250)</v>
      </c>
      <c r="F109" s="3" t="str">
        <f>_xlfn.CONCAT("(",FIXED(ABS(VLOOKUP($A108,Reg2_ct_first_rob!$A:$AG,F$1+1,0)),4),")")</f>
        <v>(0.0240)</v>
      </c>
      <c r="G109" s="3" t="str">
        <f>_xlfn.CONCAT("(",FIXED(ABS(VLOOKUP($A108,Reg1_sf_Robust!$A:$AG,G$1+1,0)),4),")")</f>
        <v>(0.0074)</v>
      </c>
      <c r="H109" s="3" t="str">
        <f>_xlfn.CONCAT("(",FIXED(ABS(VLOOKUP($A108,Reg2_sf_last_rob!$A:$AG,H$1+1,0)),4),")")</f>
        <v>(0.0076)</v>
      </c>
      <c r="I109" s="3" t="str">
        <f>_xlfn.CONCAT("(",FIXED(ABS(VLOOKUP($A108,Reg2_sf_first_rob!$A:$AG,I$1+1,0)),4),")")</f>
        <v>(0.0077)</v>
      </c>
    </row>
    <row r="110" spans="1:9" hidden="1" x14ac:dyDescent="0.25">
      <c r="A110">
        <v>105</v>
      </c>
      <c r="B110" t="s">
        <v>53</v>
      </c>
      <c r="D110" s="3" t="str">
        <f>_xlfn.CONCAT(FIXED(VLOOKUP($A110,Reg1_ct_Robust!$A:$AG,D$1,0),4),VLOOKUP($A110,Reg1_ct_Robust!$A:$AG,D$1+25,0))</f>
        <v>0.0000</v>
      </c>
      <c r="E110" s="3" t="str">
        <f>_xlfn.CONCAT(FIXED(VLOOKUP($A110,Reg2_ct_last_rob!$A:$AG,E$1,0),4),VLOOKUP($A110,Reg2_ct_last_rob!$A:$AG,E$1+25,0))</f>
        <v>0.0000</v>
      </c>
      <c r="F110" s="3" t="str">
        <f>_xlfn.CONCAT(FIXED(VLOOKUP($A110,Reg2_ct_first_rob!$A:$AG,F$1,0),4),VLOOKUP($A110,Reg2_ct_first_rob!$A:$AG,F$1+25,0))</f>
        <v>0.0000</v>
      </c>
      <c r="G110" s="3" t="str">
        <f>_xlfn.CONCAT(FIXED(VLOOKUP($A110,Reg1_sf_Robust!$A:$AG,G$1,0),4),VLOOKUP($A110,Reg1_sf_Robust!$A:$AG,G$1+25,0))</f>
        <v>0.0000</v>
      </c>
      <c r="H110" s="3" t="str">
        <f>_xlfn.CONCAT(FIXED(VLOOKUP($A110,Reg2_sf_last_rob!$A:$AG,H$1,0),4),VLOOKUP($A110,Reg2_sf_last_rob!$A:$AG,H$1+25,0))</f>
        <v>0.0000</v>
      </c>
      <c r="I110" s="3" t="str">
        <f>_xlfn.CONCAT(FIXED(VLOOKUP($A110,Reg2_sf_first_rob!$A:$AG,I$1,0),4),VLOOKUP($A110,Reg2_sf_first_rob!$A:$AG,I$1+25,0))</f>
        <v>0.0000</v>
      </c>
    </row>
    <row r="111" spans="1:9" hidden="1" x14ac:dyDescent="0.25">
      <c r="A111">
        <v>106</v>
      </c>
      <c r="D111" s="3" t="str">
        <f>_xlfn.CONCAT("(",FIXED(ABS(VLOOKUP($A110,Reg1_ct_Robust!$A:$AG,D$1+1,0)),4),")")</f>
        <v>(0.0000)</v>
      </c>
      <c r="E111" s="3" t="str">
        <f>_xlfn.CONCAT("(",FIXED(ABS(VLOOKUP($A110,Reg2_ct_last_rob!$A:$AG,E$1+1,0)),4),")")</f>
        <v>(0.0000)</v>
      </c>
      <c r="F111" s="3" t="str">
        <f>_xlfn.CONCAT("(",FIXED(ABS(VLOOKUP($A110,Reg2_ct_first_rob!$A:$AG,F$1+1,0)),4),")")</f>
        <v>(0.0000)</v>
      </c>
      <c r="G111" s="3" t="str">
        <f>_xlfn.CONCAT("(",FIXED(ABS(VLOOKUP($A110,Reg1_sf_Robust!$A:$AG,G$1+1,0)),4),")")</f>
        <v>(0.0000)</v>
      </c>
      <c r="H111" s="3" t="str">
        <f>_xlfn.CONCAT("(",FIXED(ABS(VLOOKUP($A110,Reg2_sf_last_rob!$A:$AG,H$1+1,0)),4),")")</f>
        <v>(0.0000)</v>
      </c>
      <c r="I111" s="3" t="str">
        <f>_xlfn.CONCAT("(",FIXED(ABS(VLOOKUP($A110,Reg2_sf_first_rob!$A:$AG,I$1+1,0)),4),")")</f>
        <v>(0.0000)</v>
      </c>
    </row>
    <row r="112" spans="1:9" hidden="1" x14ac:dyDescent="0.25">
      <c r="A112">
        <v>107</v>
      </c>
      <c r="B112" t="s">
        <v>54</v>
      </c>
      <c r="D112" s="3" t="str">
        <f>_xlfn.CONCAT(FIXED(VLOOKUP($A112,Reg1_ct_Robust!$A:$AG,D$1,0),4),VLOOKUP($A112,Reg1_ct_Robust!$A:$AG,D$1+25,0))</f>
        <v>0.0000***</v>
      </c>
      <c r="E112" s="3" t="str">
        <f>_xlfn.CONCAT(FIXED(VLOOKUP($A112,Reg2_ct_last_rob!$A:$AG,E$1,0),4),VLOOKUP($A112,Reg2_ct_last_rob!$A:$AG,E$1+25,0))</f>
        <v>0.0000**</v>
      </c>
      <c r="F112" s="3" t="str">
        <f>_xlfn.CONCAT(FIXED(VLOOKUP($A112,Reg2_ct_first_rob!$A:$AG,F$1,0),4),VLOOKUP($A112,Reg2_ct_first_rob!$A:$AG,F$1+25,0))</f>
        <v>0.0000***</v>
      </c>
      <c r="G112" s="3" t="str">
        <f>_xlfn.CONCAT(FIXED(VLOOKUP($A112,Reg1_sf_Robust!$A:$AG,G$1,0),4),VLOOKUP($A112,Reg1_sf_Robust!$A:$AG,G$1+25,0))</f>
        <v>0.0000***</v>
      </c>
      <c r="H112" s="3" t="str">
        <f>_xlfn.CONCAT(FIXED(VLOOKUP($A112,Reg2_sf_last_rob!$A:$AG,H$1,0),4),VLOOKUP($A112,Reg2_sf_last_rob!$A:$AG,H$1+25,0))</f>
        <v>0.0000***</v>
      </c>
      <c r="I112" s="3" t="str">
        <f>_xlfn.CONCAT(FIXED(VLOOKUP($A112,Reg2_sf_first_rob!$A:$AG,I$1,0),4),VLOOKUP($A112,Reg2_sf_first_rob!$A:$AG,I$1+25,0))</f>
        <v>0.0000***</v>
      </c>
    </row>
    <row r="113" spans="1:9" hidden="1" x14ac:dyDescent="0.25">
      <c r="A113">
        <v>108</v>
      </c>
      <c r="D113" s="3" t="str">
        <f>_xlfn.CONCAT("(",FIXED(ABS(VLOOKUP($A112,Reg1_ct_Robust!$A:$AG,D$1+1,0)),4),")")</f>
        <v>(0.0000)</v>
      </c>
      <c r="E113" s="3" t="str">
        <f>_xlfn.CONCAT("(",FIXED(ABS(VLOOKUP($A112,Reg2_ct_last_rob!$A:$AG,E$1+1,0)),4),")")</f>
        <v>(0.0000)</v>
      </c>
      <c r="F113" s="3" t="str">
        <f>_xlfn.CONCAT("(",FIXED(ABS(VLOOKUP($A112,Reg2_ct_first_rob!$A:$AG,F$1+1,0)),4),")")</f>
        <v>(0.0000)</v>
      </c>
      <c r="G113" s="3" t="str">
        <f>_xlfn.CONCAT("(",FIXED(ABS(VLOOKUP($A112,Reg1_sf_Robust!$A:$AG,G$1+1,0)),4),")")</f>
        <v>(0.0000)</v>
      </c>
      <c r="H113" s="3" t="str">
        <f>_xlfn.CONCAT("(",FIXED(ABS(VLOOKUP($A112,Reg2_sf_last_rob!$A:$AG,H$1+1,0)),4),")")</f>
        <v>(0.0000)</v>
      </c>
      <c r="I113" s="3" t="str">
        <f>_xlfn.CONCAT("(",FIXED(ABS(VLOOKUP($A112,Reg2_sf_first_rob!$A:$AG,I$1+1,0)),4),")")</f>
        <v>(0.0000)</v>
      </c>
    </row>
    <row r="114" spans="1:9" x14ac:dyDescent="0.25">
      <c r="A114">
        <v>109</v>
      </c>
      <c r="B114" t="s">
        <v>43</v>
      </c>
      <c r="C114" t="s">
        <v>387</v>
      </c>
      <c r="D114" s="3" t="str">
        <f>_xlfn.CONCAT(FIXED(VLOOKUP($A114,Reg1_ct_Robust!$A:$AG,D$1,0),4),VLOOKUP($A114,Reg1_ct_Robust!$A:$AG,D$1+25,0))</f>
        <v>-0.3631*</v>
      </c>
      <c r="E114" s="3" t="str">
        <f>_xlfn.CONCAT(FIXED(VLOOKUP($A114,Reg2_ct_last_rob!$A:$AG,E$1,0),4),VLOOKUP($A114,Reg2_ct_last_rob!$A:$AG,E$1+25,0))</f>
        <v>-0.3872**</v>
      </c>
      <c r="F114" s="3" t="str">
        <f>_xlfn.CONCAT(FIXED(VLOOKUP($A114,Reg2_ct_first_rob!$A:$AG,F$1,0),4),VLOOKUP($A114,Reg2_ct_first_rob!$A:$AG,F$1+25,0))</f>
        <v>-0.3971*</v>
      </c>
      <c r="G114" s="3" t="str">
        <f>_xlfn.CONCAT(FIXED(VLOOKUP($A114,Reg1_sf_Robust!$A:$AG,G$1,0),4),VLOOKUP($A114,Reg1_sf_Robust!$A:$AG,G$1+25,0))</f>
        <v>-0.2500</v>
      </c>
      <c r="H114" s="3" t="str">
        <f>_xlfn.CONCAT(FIXED(VLOOKUP($A114,Reg2_sf_last_rob!$A:$AG,H$1,0),4),VLOOKUP($A114,Reg2_sf_last_rob!$A:$AG,H$1+25,0))</f>
        <v>-0.2981</v>
      </c>
      <c r="I114" s="3" t="str">
        <f>_xlfn.CONCAT(FIXED(VLOOKUP($A114,Reg2_sf_first_rob!$A:$AG,I$1,0),4),VLOOKUP($A114,Reg2_sf_first_rob!$A:$AG,I$1+25,0))</f>
        <v>-0.2482</v>
      </c>
    </row>
    <row r="115" spans="1:9" x14ac:dyDescent="0.25">
      <c r="A115">
        <v>110</v>
      </c>
      <c r="D115" s="3" t="str">
        <f>_xlfn.CONCAT("(",FIXED(ABS(VLOOKUP($A114,Reg1_ct_Robust!$A:$AG,D$1+1,0)),4),")")</f>
        <v>(0.1486)</v>
      </c>
      <c r="E115" s="3" t="str">
        <f>_xlfn.CONCAT("(",FIXED(ABS(VLOOKUP($A114,Reg2_ct_last_rob!$A:$AG,E$1+1,0)),4),")")</f>
        <v>(0.1433)</v>
      </c>
      <c r="F115" s="3" t="str">
        <f>_xlfn.CONCAT("(",FIXED(ABS(VLOOKUP($A114,Reg2_ct_first_rob!$A:$AG,F$1+1,0)),4),")")</f>
        <v>(0.1590)</v>
      </c>
      <c r="G115" s="3" t="str">
        <f>_xlfn.CONCAT("(",FIXED(ABS(VLOOKUP($A114,Reg1_sf_Robust!$A:$AG,G$1+1,0)),4),")")</f>
        <v>(0.2225)</v>
      </c>
      <c r="H115" s="3" t="str">
        <f>_xlfn.CONCAT("(",FIXED(ABS(VLOOKUP($A114,Reg2_sf_last_rob!$A:$AG,H$1+1,0)),4),")")</f>
        <v>(0.2358)</v>
      </c>
      <c r="I115" s="3" t="str">
        <f>_xlfn.CONCAT("(",FIXED(ABS(VLOOKUP($A114,Reg2_sf_first_rob!$A:$AG,I$1+1,0)),4),")")</f>
        <v>(0.2339)</v>
      </c>
    </row>
    <row r="116" spans="1:9" x14ac:dyDescent="0.25">
      <c r="A116">
        <v>111</v>
      </c>
      <c r="B116" t="s">
        <v>44</v>
      </c>
      <c r="C116" t="s">
        <v>388</v>
      </c>
      <c r="D116" s="3" t="str">
        <f>_xlfn.CONCAT(FIXED(VLOOKUP($A116,Reg1_ct_Robust!$A:$AG,D$1,0),4),VLOOKUP($A116,Reg1_ct_Robust!$A:$AG,D$1+25,0))</f>
        <v>-0.0941*</v>
      </c>
      <c r="E116" s="3" t="str">
        <f>_xlfn.CONCAT(FIXED(VLOOKUP($A116,Reg2_ct_last_rob!$A:$AG,E$1,0),4),VLOOKUP($A116,Reg2_ct_last_rob!$A:$AG,E$1+25,0))</f>
        <v>-0.1138**</v>
      </c>
      <c r="F116" s="3" t="str">
        <f>_xlfn.CONCAT(FIXED(VLOOKUP($A116,Reg2_ct_first_rob!$A:$AG,F$1,0),4),VLOOKUP($A116,Reg2_ct_first_rob!$A:$AG,F$1+25,0))</f>
        <v>-0.0960*</v>
      </c>
      <c r="G116" s="3" t="str">
        <f>_xlfn.CONCAT(FIXED(VLOOKUP($A116,Reg1_sf_Robust!$A:$AG,G$1,0),4),VLOOKUP($A116,Reg1_sf_Robust!$A:$AG,G$1+25,0))</f>
        <v>-0.1820**</v>
      </c>
      <c r="H116" s="3" t="str">
        <f>_xlfn.CONCAT(FIXED(VLOOKUP($A116,Reg2_sf_last_rob!$A:$AG,H$1,0),4),VLOOKUP($A116,Reg2_sf_last_rob!$A:$AG,H$1+25,0))</f>
        <v>-0.2005***</v>
      </c>
      <c r="I116" s="3" t="str">
        <f>_xlfn.CONCAT(FIXED(VLOOKUP($A116,Reg2_sf_first_rob!$A:$AG,I$1,0),4),VLOOKUP($A116,Reg2_sf_first_rob!$A:$AG,I$1+25,0))</f>
        <v>-0.1747**</v>
      </c>
    </row>
    <row r="117" spans="1:9" x14ac:dyDescent="0.25">
      <c r="A117">
        <v>112</v>
      </c>
      <c r="D117" s="3" t="str">
        <f>_xlfn.CONCAT("(",FIXED(ABS(VLOOKUP($A116,Reg1_ct_Robust!$A:$AG,D$1+1,0)),4),")")</f>
        <v>(0.0435)</v>
      </c>
      <c r="E117" s="3" t="str">
        <f>_xlfn.CONCAT("(",FIXED(ABS(VLOOKUP($A116,Reg2_ct_last_rob!$A:$AG,E$1+1,0)),4),")")</f>
        <v>(0.0411)</v>
      </c>
      <c r="F117" s="3" t="str">
        <f>_xlfn.CONCAT("(",FIXED(ABS(VLOOKUP($A116,Reg2_ct_first_rob!$A:$AG,F$1+1,0)),4),")")</f>
        <v>(0.0445)</v>
      </c>
      <c r="G117" s="3" t="str">
        <f>_xlfn.CONCAT("(",FIXED(ABS(VLOOKUP($A116,Reg1_sf_Robust!$A:$AG,G$1+1,0)),4),")")</f>
        <v>(0.0610)</v>
      </c>
      <c r="H117" s="3" t="str">
        <f>_xlfn.CONCAT("(",FIXED(ABS(VLOOKUP($A116,Reg2_sf_last_rob!$A:$AG,H$1+1,0)),4),")")</f>
        <v>(0.0615)</v>
      </c>
      <c r="I117" s="3" t="str">
        <f>_xlfn.CONCAT("(",FIXED(ABS(VLOOKUP($A116,Reg2_sf_first_rob!$A:$AG,I$1+1,0)),4),")")</f>
        <v>(0.0628)</v>
      </c>
    </row>
    <row r="118" spans="1:9" x14ac:dyDescent="0.25">
      <c r="A118">
        <v>113</v>
      </c>
      <c r="B118" t="s">
        <v>45</v>
      </c>
      <c r="C118" t="s">
        <v>389</v>
      </c>
      <c r="D118" s="3" t="str">
        <f>_xlfn.CONCAT(FIXED(VLOOKUP($A118,Reg1_ct_Robust!$A:$AG,D$1,0),4),VLOOKUP($A118,Reg1_ct_Robust!$A:$AG,D$1+25,0))</f>
        <v>-0.1713</v>
      </c>
      <c r="E118" s="3" t="str">
        <f>_xlfn.CONCAT(FIXED(VLOOKUP($A118,Reg2_ct_last_rob!$A:$AG,E$1,0),4),VLOOKUP($A118,Reg2_ct_last_rob!$A:$AG,E$1+25,0))</f>
        <v>-0.1822</v>
      </c>
      <c r="F118" s="3" t="str">
        <f>_xlfn.CONCAT(FIXED(VLOOKUP($A118,Reg2_ct_first_rob!$A:$AG,F$1,0),4),VLOOKUP($A118,Reg2_ct_first_rob!$A:$AG,F$1+25,0))</f>
        <v>-0.1638</v>
      </c>
      <c r="G118" s="3" t="str">
        <f>_xlfn.CONCAT(FIXED(VLOOKUP($A118,Reg1_sf_Robust!$A:$AG,G$1,0),4),VLOOKUP($A118,Reg1_sf_Robust!$A:$AG,G$1+25,0))</f>
        <v>-0.6222***</v>
      </c>
      <c r="H118" s="3" t="str">
        <f>_xlfn.CONCAT(FIXED(VLOOKUP($A118,Reg2_sf_last_rob!$A:$AG,H$1,0),4),VLOOKUP($A118,Reg2_sf_last_rob!$A:$AG,H$1+25,0))</f>
        <v>-0.6422***</v>
      </c>
      <c r="I118" s="3" t="str">
        <f>_xlfn.CONCAT(FIXED(VLOOKUP($A118,Reg2_sf_first_rob!$A:$AG,I$1,0),4),VLOOKUP($A118,Reg2_sf_first_rob!$A:$AG,I$1+25,0))</f>
        <v>-0.6269***</v>
      </c>
    </row>
    <row r="119" spans="1:9" x14ac:dyDescent="0.25">
      <c r="A119">
        <v>114</v>
      </c>
      <c r="D119" s="3" t="str">
        <f>_xlfn.CONCAT("(",FIXED(ABS(VLOOKUP($A118,Reg1_ct_Robust!$A:$AG,D$1+1,0)),4),")")</f>
        <v>(0.1066)</v>
      </c>
      <c r="E119" s="3" t="str">
        <f>_xlfn.CONCAT("(",FIXED(ABS(VLOOKUP($A118,Reg2_ct_last_rob!$A:$AG,E$1+1,0)),4),")")</f>
        <v>(0.1087)</v>
      </c>
      <c r="F119" s="3" t="str">
        <f>_xlfn.CONCAT("(",FIXED(ABS(VLOOKUP($A118,Reg2_ct_first_rob!$A:$AG,F$1+1,0)),4),")")</f>
        <v>(0.0985)</v>
      </c>
      <c r="G119" s="3" t="str">
        <f>_xlfn.CONCAT("(",FIXED(ABS(VLOOKUP($A118,Reg1_sf_Robust!$A:$AG,G$1+1,0)),4),")")</f>
        <v>(0.1554)</v>
      </c>
      <c r="H119" s="3" t="str">
        <f>_xlfn.CONCAT("(",FIXED(ABS(VLOOKUP($A118,Reg2_sf_last_rob!$A:$AG,H$1+1,0)),4),")")</f>
        <v>(0.1501)</v>
      </c>
      <c r="I119" s="3" t="str">
        <f>_xlfn.CONCAT("(",FIXED(ABS(VLOOKUP($A118,Reg2_sf_first_rob!$A:$AG,I$1+1,0)),4),")")</f>
        <v>(0.1580)</v>
      </c>
    </row>
    <row r="120" spans="1:9" x14ac:dyDescent="0.25">
      <c r="A120">
        <v>115</v>
      </c>
      <c r="B120" t="s">
        <v>48</v>
      </c>
      <c r="C120" t="s">
        <v>390</v>
      </c>
      <c r="D120" s="3" t="str">
        <f>_xlfn.CONCAT(FIXED(VLOOKUP($A120,Reg1_ct_Robust!$A:$AG,D$1,0),4),VLOOKUP($A120,Reg1_ct_Robust!$A:$AG,D$1+25,0))</f>
        <v>0.2728**</v>
      </c>
      <c r="E120" s="3" t="str">
        <f>_xlfn.CONCAT(FIXED(VLOOKUP($A120,Reg2_ct_last_rob!$A:$AG,E$1,0),4),VLOOKUP($A120,Reg2_ct_last_rob!$A:$AG,E$1+25,0))</f>
        <v>0.2727**</v>
      </c>
      <c r="F120" s="3" t="str">
        <f>_xlfn.CONCAT(FIXED(VLOOKUP($A120,Reg2_ct_first_rob!$A:$AG,F$1,0),4),VLOOKUP($A120,Reg2_ct_first_rob!$A:$AG,F$1+25,0))</f>
        <v>0.2853**</v>
      </c>
      <c r="G120" s="3" t="str">
        <f>_xlfn.CONCAT(FIXED(VLOOKUP($A120,Reg1_sf_Robust!$A:$AG,G$1,0),4),VLOOKUP($A120,Reg1_sf_Robust!$A:$AG,G$1+25,0))</f>
        <v>0.0838</v>
      </c>
      <c r="H120" s="3" t="str">
        <f>_xlfn.CONCAT(FIXED(VLOOKUP($A120,Reg2_sf_last_rob!$A:$AG,H$1,0),4),VLOOKUP($A120,Reg2_sf_last_rob!$A:$AG,H$1+25,0))</f>
        <v>0.0858*</v>
      </c>
      <c r="I120" s="3" t="str">
        <f>_xlfn.CONCAT(FIXED(VLOOKUP($A120,Reg2_sf_first_rob!$A:$AG,I$1,0),4),VLOOKUP($A120,Reg2_sf_first_rob!$A:$AG,I$1+25,0))</f>
        <v>0.0859</v>
      </c>
    </row>
    <row r="121" spans="1:9" x14ac:dyDescent="0.25">
      <c r="A121">
        <v>116</v>
      </c>
      <c r="D121" s="3" t="str">
        <f>_xlfn.CONCAT("(",FIXED(ABS(VLOOKUP($A120,Reg1_ct_Robust!$A:$AG,D$1+1,0)),4),")")</f>
        <v>(0.0976)</v>
      </c>
      <c r="E121" s="3" t="str">
        <f>_xlfn.CONCAT("(",FIXED(ABS(VLOOKUP($A120,Reg2_ct_last_rob!$A:$AG,E$1+1,0)),4),")")</f>
        <v>(0.0997)</v>
      </c>
      <c r="F121" s="3" t="str">
        <f>_xlfn.CONCAT("(",FIXED(ABS(VLOOKUP($A120,Reg2_ct_first_rob!$A:$AG,F$1+1,0)),4),")")</f>
        <v>(0.1008)</v>
      </c>
      <c r="G121" s="3" t="str">
        <f>_xlfn.CONCAT("(",FIXED(ABS(VLOOKUP($A120,Reg1_sf_Robust!$A:$AG,G$1+1,0)),4),")")</f>
        <v>(0.0496)</v>
      </c>
      <c r="H121" s="3" t="str">
        <f>_xlfn.CONCAT("(",FIXED(ABS(VLOOKUP($A120,Reg2_sf_last_rob!$A:$AG,H$1+1,0)),4),")")</f>
        <v>(0.0469)</v>
      </c>
      <c r="I121" s="3" t="str">
        <f>_xlfn.CONCAT("(",FIXED(ABS(VLOOKUP($A120,Reg2_sf_first_rob!$A:$AG,I$1+1,0)),4),")")</f>
        <v>(0.0515)</v>
      </c>
    </row>
    <row r="122" spans="1:9" x14ac:dyDescent="0.25">
      <c r="A122">
        <v>117</v>
      </c>
      <c r="B122" t="s">
        <v>46</v>
      </c>
      <c r="C122" t="s">
        <v>391</v>
      </c>
      <c r="D122" s="3" t="str">
        <f>_xlfn.CONCAT(FIXED(VLOOKUP($A122,Reg1_ct_Robust!$A:$AG,D$1,0),4),VLOOKUP($A122,Reg1_ct_Robust!$A:$AG,D$1+25,0))</f>
        <v>-0.5470***</v>
      </c>
      <c r="E122" s="3" t="str">
        <f>_xlfn.CONCAT(FIXED(VLOOKUP($A122,Reg2_ct_last_rob!$A:$AG,E$1,0),4),VLOOKUP($A122,Reg2_ct_last_rob!$A:$AG,E$1+25,0))</f>
        <v>-0.5428***</v>
      </c>
      <c r="F122" s="3" t="str">
        <f>_xlfn.CONCAT(FIXED(VLOOKUP($A122,Reg2_ct_first_rob!$A:$AG,F$1,0),4),VLOOKUP($A122,Reg2_ct_first_rob!$A:$AG,F$1+25,0))</f>
        <v>-0.5522***</v>
      </c>
      <c r="G122" s="3" t="str">
        <f>_xlfn.CONCAT(FIXED(VLOOKUP($A122,Reg1_sf_Robust!$A:$AG,G$1,0),4),VLOOKUP($A122,Reg1_sf_Robust!$A:$AG,G$1+25,0))</f>
        <v>-0.7460***</v>
      </c>
      <c r="H122" s="3" t="str">
        <f>_xlfn.CONCAT(FIXED(VLOOKUP($A122,Reg2_sf_last_rob!$A:$AG,H$1,0),4),VLOOKUP($A122,Reg2_sf_last_rob!$A:$AG,H$1+25,0))</f>
        <v>-0.7224***</v>
      </c>
      <c r="I122" s="3" t="str">
        <f>_xlfn.CONCAT(FIXED(VLOOKUP($A122,Reg2_sf_first_rob!$A:$AG,I$1,0),4),VLOOKUP($A122,Reg2_sf_first_rob!$A:$AG,I$1+25,0))</f>
        <v>-0.7524***</v>
      </c>
    </row>
    <row r="123" spans="1:9" x14ac:dyDescent="0.25">
      <c r="A123">
        <v>118</v>
      </c>
      <c r="D123" s="3" t="str">
        <f>_xlfn.CONCAT("(",FIXED(ABS(VLOOKUP($A122,Reg1_ct_Robust!$A:$AG,D$1+1,0)),4),")")</f>
        <v>(0.0993)</v>
      </c>
      <c r="E123" s="3" t="str">
        <f>_xlfn.CONCAT("(",FIXED(ABS(VLOOKUP($A122,Reg2_ct_last_rob!$A:$AG,E$1+1,0)),4),")")</f>
        <v>(0.1047)</v>
      </c>
      <c r="F123" s="3" t="str">
        <f>_xlfn.CONCAT("(",FIXED(ABS(VLOOKUP($A122,Reg2_ct_first_rob!$A:$AG,F$1+1,0)),4),")")</f>
        <v>(0.1012)</v>
      </c>
      <c r="G123" s="3" t="str">
        <f>_xlfn.CONCAT("(",FIXED(ABS(VLOOKUP($A122,Reg1_sf_Robust!$A:$AG,G$1+1,0)),4),")")</f>
        <v>(0.1131)</v>
      </c>
      <c r="H123" s="3" t="str">
        <f>_xlfn.CONCAT("(",FIXED(ABS(VLOOKUP($A122,Reg2_sf_last_rob!$A:$AG,H$1+1,0)),4),")")</f>
        <v>(0.1109)</v>
      </c>
      <c r="I123" s="3" t="str">
        <f>_xlfn.CONCAT("(",FIXED(ABS(VLOOKUP($A122,Reg2_sf_first_rob!$A:$AG,I$1+1,0)),4),")")</f>
        <v>(0.1140)</v>
      </c>
    </row>
    <row r="124" spans="1:9" x14ac:dyDescent="0.25">
      <c r="A124">
        <v>119</v>
      </c>
      <c r="B124" t="s">
        <v>258</v>
      </c>
      <c r="C124" s="25" t="s">
        <v>258</v>
      </c>
      <c r="D124" s="3" t="str">
        <f>_xlfn.CONCAT(FIXED(VLOOKUP($A124,Reg1_ct_Robust!$A:$AG,D$1,0),4),VLOOKUP($A124,Reg1_ct_Robust!$A:$AG,D$1+25,0))</f>
        <v>2.8073</v>
      </c>
      <c r="E124" s="3" t="str">
        <f>_xlfn.CONCAT(FIXED(VLOOKUP($A124,Reg2_ct_last_rob!$A:$AG,E$1,0),4),VLOOKUP($A124,Reg2_ct_last_rob!$A:$AG,E$1+25,0))</f>
        <v>4.3288</v>
      </c>
      <c r="F124" s="3" t="str">
        <f>_xlfn.CONCAT(FIXED(VLOOKUP($A124,Reg2_ct_first_rob!$A:$AG,F$1,0),4),VLOOKUP($A124,Reg2_ct_first_rob!$A:$AG,F$1+25,0))</f>
        <v>2.0987</v>
      </c>
      <c r="G124" s="3" t="str">
        <f>_xlfn.CONCAT(FIXED(VLOOKUP($A124,Reg1_sf_Robust!$A:$AG,G$1,0),4),VLOOKUP($A124,Reg1_sf_Robust!$A:$AG,G$1+25,0))</f>
        <v>0.1490</v>
      </c>
      <c r="H124" s="3" t="str">
        <f>_xlfn.CONCAT(FIXED(VLOOKUP($A124,Reg2_sf_last_rob!$A:$AG,H$1,0),4),VLOOKUP($A124,Reg2_sf_last_rob!$A:$AG,H$1+25,0))</f>
        <v>0.4806</v>
      </c>
      <c r="I124" s="3" t="str">
        <f>_xlfn.CONCAT(FIXED(VLOOKUP($A124,Reg2_sf_first_rob!$A:$AG,I$1,0),4),VLOOKUP($A124,Reg2_sf_first_rob!$A:$AG,I$1+25,0))</f>
        <v>-0.8843</v>
      </c>
    </row>
    <row r="125" spans="1:9" x14ac:dyDescent="0.25">
      <c r="A125">
        <v>120</v>
      </c>
      <c r="C125" s="16"/>
      <c r="D125" s="3" t="str">
        <f>_xlfn.CONCAT("(",FIXED(ABS(VLOOKUP($A124,Reg1_ct_Robust!$A:$AG,D$1+1,0)),4),")")</f>
        <v>(14.1146)</v>
      </c>
      <c r="E125" s="3" t="str">
        <f>_xlfn.CONCAT("(",FIXED(ABS(VLOOKUP($A124,Reg2_ct_last_rob!$A:$AG,E$1+1,0)),4),")")</f>
        <v>(14.2088)</v>
      </c>
      <c r="F125" s="3" t="str">
        <f>_xlfn.CONCAT("(",FIXED(ABS(VLOOKUP($A124,Reg2_ct_first_rob!$A:$AG,F$1+1,0)),4),")")</f>
        <v>(14.2523)</v>
      </c>
      <c r="G125" s="3" t="str">
        <f>_xlfn.CONCAT("(",FIXED(ABS(VLOOKUP($A124,Reg1_sf_Robust!$A:$AG,G$1+1,0)),4),")")</f>
        <v>(15.3991)</v>
      </c>
      <c r="H125" s="3" t="str">
        <f>_xlfn.CONCAT("(",FIXED(ABS(VLOOKUP($A124,Reg2_sf_last_rob!$A:$AG,H$1+1,0)),4),")")</f>
        <v>(15.2826)</v>
      </c>
      <c r="I125" s="3" t="str">
        <f>_xlfn.CONCAT("(",FIXED(ABS(VLOOKUP($A124,Reg2_sf_first_rob!$A:$AG,I$1+1,0)),4),")")</f>
        <v>(15.6303)</v>
      </c>
    </row>
    <row r="126" spans="1:9" x14ac:dyDescent="0.25">
      <c r="A126">
        <v>120</v>
      </c>
      <c r="B126" t="s">
        <v>349</v>
      </c>
      <c r="C126" t="s">
        <v>349</v>
      </c>
      <c r="D126" s="3" t="s">
        <v>309</v>
      </c>
      <c r="E126" s="3" t="s">
        <v>309</v>
      </c>
      <c r="F126" s="3" t="s">
        <v>309</v>
      </c>
      <c r="G126" s="3" t="s">
        <v>309</v>
      </c>
      <c r="H126" s="3" t="s">
        <v>309</v>
      </c>
      <c r="I126" s="3" t="s">
        <v>309</v>
      </c>
    </row>
    <row r="127" spans="1:9" x14ac:dyDescent="0.25">
      <c r="A127">
        <v>121</v>
      </c>
      <c r="B127" t="s">
        <v>350</v>
      </c>
      <c r="C127" s="18" t="s">
        <v>350</v>
      </c>
      <c r="D127" s="16" t="s">
        <v>309</v>
      </c>
      <c r="E127" s="16" t="s">
        <v>308</v>
      </c>
      <c r="F127" s="16" t="s">
        <v>308</v>
      </c>
      <c r="G127" s="16" t="s">
        <v>309</v>
      </c>
      <c r="H127" s="16" t="s">
        <v>309</v>
      </c>
      <c r="I127" s="16" t="s">
        <v>309</v>
      </c>
    </row>
    <row r="128" spans="1:9" x14ac:dyDescent="0.25">
      <c r="A128">
        <v>123</v>
      </c>
      <c r="B128" t="s">
        <v>187</v>
      </c>
      <c r="C128" t="s">
        <v>187</v>
      </c>
      <c r="D128" s="3">
        <v>27429</v>
      </c>
      <c r="E128" s="3">
        <v>23359</v>
      </c>
      <c r="F128" s="3">
        <v>23359</v>
      </c>
      <c r="G128" s="3">
        <v>22965</v>
      </c>
      <c r="H128" s="3">
        <v>19900</v>
      </c>
      <c r="I128" s="3">
        <v>19900</v>
      </c>
    </row>
    <row r="129" spans="1:9" ht="17.25" x14ac:dyDescent="0.25">
      <c r="A129">
        <v>124</v>
      </c>
      <c r="C129" t="s">
        <v>271</v>
      </c>
      <c r="D129" s="3">
        <v>0.81130000000000002</v>
      </c>
      <c r="E129" s="3">
        <v>0.81179999999999997</v>
      </c>
      <c r="F129" s="3">
        <v>0.8135</v>
      </c>
      <c r="G129" s="3">
        <v>0.79479999999999995</v>
      </c>
      <c r="H129" s="3">
        <v>0.78779999999999994</v>
      </c>
      <c r="I129" s="3">
        <v>0.78739999999999999</v>
      </c>
    </row>
    <row r="130" spans="1:9" ht="17.25" x14ac:dyDescent="0.25">
      <c r="A130">
        <v>125</v>
      </c>
      <c r="C130" t="s">
        <v>272</v>
      </c>
      <c r="D130" s="3">
        <v>0.81089999999999995</v>
      </c>
      <c r="E130" s="3">
        <v>0.81130000000000002</v>
      </c>
      <c r="F130" s="3">
        <v>0.81299999999999994</v>
      </c>
      <c r="G130" s="3">
        <v>0.79430000000000001</v>
      </c>
      <c r="H130" s="3">
        <v>0.78720000000000001</v>
      </c>
      <c r="I130" s="3">
        <v>0.78680000000000005</v>
      </c>
    </row>
    <row r="131" spans="1:9" x14ac:dyDescent="0.25">
      <c r="A131">
        <v>126</v>
      </c>
      <c r="C131" t="s">
        <v>497</v>
      </c>
    </row>
    <row r="132" spans="1:9" x14ac:dyDescent="0.25">
      <c r="A132">
        <v>127</v>
      </c>
      <c r="C132" t="s">
        <v>498</v>
      </c>
    </row>
    <row r="133" spans="1:9" x14ac:dyDescent="0.25">
      <c r="A133">
        <v>128</v>
      </c>
      <c r="B133" t="s">
        <v>192</v>
      </c>
    </row>
    <row r="134" spans="1:9" x14ac:dyDescent="0.25">
      <c r="B134" t="s">
        <v>263</v>
      </c>
    </row>
  </sheetData>
  <mergeCells count="22">
    <mergeCell ref="H62:H63"/>
    <mergeCell ref="I62:I63"/>
    <mergeCell ref="G4:I4"/>
    <mergeCell ref="G62:G63"/>
    <mergeCell ref="G58:G59"/>
    <mergeCell ref="G56:G57"/>
    <mergeCell ref="G54:G55"/>
    <mergeCell ref="G52:G53"/>
    <mergeCell ref="C2:I2"/>
    <mergeCell ref="C3:I3"/>
    <mergeCell ref="D4:F4"/>
    <mergeCell ref="D60:D61"/>
    <mergeCell ref="E60:E61"/>
    <mergeCell ref="F60:F61"/>
    <mergeCell ref="H52:H53"/>
    <mergeCell ref="H54:H55"/>
    <mergeCell ref="H56:H57"/>
    <mergeCell ref="H58:H59"/>
    <mergeCell ref="I52:I53"/>
    <mergeCell ref="I54:I55"/>
    <mergeCell ref="I56:I57"/>
    <mergeCell ref="I58:I59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8E145-71AE-4B4D-863F-11450990D280}">
  <dimension ref="A1:W116"/>
  <sheetViews>
    <sheetView workbookViewId="0"/>
  </sheetViews>
  <sheetFormatPr defaultRowHeight="15" x14ac:dyDescent="0.25"/>
  <cols>
    <col min="1" max="1" width="3" bestFit="1" customWidth="1"/>
    <col min="2" max="2" width="25.85546875" bestFit="1" customWidth="1"/>
    <col min="3" max="3" width="11" bestFit="1" customWidth="1"/>
    <col min="4" max="4" width="11.7109375" bestFit="1" customWidth="1"/>
    <col min="5" max="5" width="13" bestFit="1" customWidth="1"/>
    <col min="6" max="6" width="13.42578125" bestFit="1" customWidth="1"/>
    <col min="7" max="7" width="13" bestFit="1" customWidth="1"/>
    <col min="8" max="8" width="10.85546875" bestFit="1" customWidth="1"/>
    <col min="17" max="17" width="29" bestFit="1" customWidth="1"/>
    <col min="18" max="18" width="9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1">
        <v>2.0468790000000001E-2</v>
      </c>
      <c r="D2" s="51">
        <v>1.467447E-2</v>
      </c>
      <c r="E2" s="51">
        <v>0.49429941080000001</v>
      </c>
      <c r="F2" s="51">
        <v>1.257022E-2</v>
      </c>
      <c r="G2" s="51">
        <v>0.51476819689999997</v>
      </c>
      <c r="H2" s="51">
        <v>1.127357E-2</v>
      </c>
      <c r="J2" t="str">
        <f>IF(D2&lt;0.01,"***",IF(D2&lt;0.05,"**",IF(D2&lt;0.1,"*","")))</f>
        <v>**</v>
      </c>
      <c r="L2" t="str">
        <f>IF(F2&lt;0.01,"***",IF(F2&lt;0.05,"**",IF(F2&lt;0.1,"*","")))</f>
        <v>**</v>
      </c>
      <c r="N2" t="str">
        <f>IF(H2&lt;0.01,"***",IF(H2&lt;0.05,"**",IF(H2&lt;0.1,"*","")))</f>
        <v>**</v>
      </c>
      <c r="P2">
        <v>1</v>
      </c>
      <c r="Q2" t="s">
        <v>273</v>
      </c>
      <c r="R2" s="50">
        <v>1.9956</v>
      </c>
      <c r="S2" s="50">
        <v>5.6895000000000001E-2</v>
      </c>
      <c r="T2">
        <v>35.075899999999997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1">
        <v>-7.1202E-5</v>
      </c>
      <c r="D3" s="51">
        <v>4.3538200000000003E-5</v>
      </c>
      <c r="E3" s="51">
        <v>4.4184610999999999E-3</v>
      </c>
      <c r="F3" s="51">
        <v>0</v>
      </c>
      <c r="G3" s="51">
        <v>4.3472590999999996E-3</v>
      </c>
      <c r="H3" s="51">
        <v>0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***</v>
      </c>
      <c r="N3" t="str">
        <f t="shared" ref="N3:N58" si="2">IF(H3&lt;0.01,"***",IF(H3&lt;0.05,"**",IF(H3&lt;0.1,"*","")))</f>
        <v>***</v>
      </c>
      <c r="P3">
        <v>2</v>
      </c>
      <c r="Q3" t="s">
        <v>11</v>
      </c>
      <c r="R3" s="50">
        <v>1.1351999999999999E-2</v>
      </c>
      <c r="S3" s="50">
        <v>6.7619000000000004E-3</v>
      </c>
      <c r="T3">
        <v>1.6788000000000001</v>
      </c>
      <c r="U3">
        <v>9.3200699999999997E-2</v>
      </c>
      <c r="W3" t="str">
        <f t="shared" ref="W3:W66" si="3">IF(U3&lt;0.01,"***",IF(U3&lt;0.05,"**",IF(U3&lt;0.1,"*","")))</f>
        <v>*</v>
      </c>
    </row>
    <row r="4" spans="1:23" x14ac:dyDescent="0.25">
      <c r="A4">
        <v>3</v>
      </c>
      <c r="B4" t="s">
        <v>197</v>
      </c>
      <c r="C4" s="51">
        <v>3.3436540000000001E-2</v>
      </c>
      <c r="D4" s="51">
        <v>4.4408919999999998E-16</v>
      </c>
      <c r="E4" s="51">
        <v>0.39443797949999998</v>
      </c>
      <c r="F4" s="51">
        <v>4.1028529999999997E-5</v>
      </c>
      <c r="G4" s="51">
        <v>0.42787452390000003</v>
      </c>
      <c r="H4" s="51">
        <v>1.4108239999999999E-5</v>
      </c>
      <c r="J4" t="str">
        <f t="shared" si="0"/>
        <v>***</v>
      </c>
      <c r="L4" t="str">
        <f t="shared" si="1"/>
        <v>***</v>
      </c>
      <c r="N4" t="str">
        <f t="shared" si="2"/>
        <v>***</v>
      </c>
      <c r="P4">
        <v>3</v>
      </c>
      <c r="Q4" t="s">
        <v>16</v>
      </c>
      <c r="R4" s="50">
        <v>-1.5269E-4</v>
      </c>
      <c r="S4" s="50">
        <v>1.5614999999999999E-5</v>
      </c>
      <c r="T4">
        <v>-9.7784999999999993</v>
      </c>
      <c r="U4" s="50">
        <v>2.2E-16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1">
        <v>4.3547460000000003E-2</v>
      </c>
      <c r="D5" s="51">
        <v>0</v>
      </c>
      <c r="E5" s="51">
        <v>0.4387153748</v>
      </c>
      <c r="F5" s="51">
        <v>5.3970390000000002E-6</v>
      </c>
      <c r="G5" s="51">
        <v>0.48226283920000002</v>
      </c>
      <c r="H5" s="51">
        <v>1.0639549999999999E-6</v>
      </c>
      <c r="J5" t="str">
        <f t="shared" si="0"/>
        <v>***</v>
      </c>
      <c r="L5" t="str">
        <f t="shared" si="1"/>
        <v>***</v>
      </c>
      <c r="N5" t="str">
        <f t="shared" si="2"/>
        <v>***</v>
      </c>
      <c r="P5">
        <v>4</v>
      </c>
      <c r="Q5" t="s">
        <v>197</v>
      </c>
      <c r="R5" s="50">
        <v>2.6161E-2</v>
      </c>
      <c r="S5" s="50">
        <v>3.4678E-3</v>
      </c>
      <c r="T5">
        <v>7.5438999999999998</v>
      </c>
      <c r="U5" s="50">
        <v>4.5519999999999998E-14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1">
        <v>2.0666770000000001E-2</v>
      </c>
      <c r="D6" s="51">
        <v>2.7543799999999998E-7</v>
      </c>
      <c r="E6" s="51">
        <v>0.33487261969999998</v>
      </c>
      <c r="F6" s="51">
        <v>2.815583E-4</v>
      </c>
      <c r="G6" s="51">
        <v>0.35553939159999998</v>
      </c>
      <c r="H6" s="51">
        <v>1.6874690000000001E-4</v>
      </c>
      <c r="J6" t="str">
        <f t="shared" si="0"/>
        <v>***</v>
      </c>
      <c r="L6" t="str">
        <f t="shared" si="1"/>
        <v>***</v>
      </c>
      <c r="N6" t="str">
        <f t="shared" si="2"/>
        <v>***</v>
      </c>
      <c r="P6">
        <v>5</v>
      </c>
      <c r="Q6" t="s">
        <v>200</v>
      </c>
      <c r="R6" s="50">
        <v>3.5455E-2</v>
      </c>
      <c r="S6" s="50">
        <v>3.4832999999999999E-3</v>
      </c>
      <c r="T6">
        <v>10.1785</v>
      </c>
      <c r="U6" s="50">
        <v>2.2E-16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1">
        <v>-2.4805700000000001E-3</v>
      </c>
      <c r="D7" s="51">
        <v>0.76984900000000001</v>
      </c>
      <c r="E7" s="51">
        <v>-0.38898498929999997</v>
      </c>
      <c r="F7" s="51">
        <v>4.476364E-2</v>
      </c>
      <c r="G7" s="51">
        <v>-0.39146555900000002</v>
      </c>
      <c r="H7" s="51">
        <v>4.8954600000000001E-2</v>
      </c>
      <c r="J7" t="str">
        <f t="shared" si="0"/>
        <v/>
      </c>
      <c r="L7" t="str">
        <f t="shared" si="1"/>
        <v>**</v>
      </c>
      <c r="N7" t="str">
        <f t="shared" si="2"/>
        <v>**</v>
      </c>
      <c r="P7">
        <v>6</v>
      </c>
      <c r="Q7" t="s">
        <v>204</v>
      </c>
      <c r="R7" s="50">
        <v>1.4489999999999999E-2</v>
      </c>
      <c r="S7" s="50">
        <v>3.4267E-3</v>
      </c>
      <c r="T7">
        <v>4.2286000000000001</v>
      </c>
      <c r="U7" s="50">
        <v>2.3519999999999998E-5</v>
      </c>
      <c r="W7" t="str">
        <f t="shared" si="3"/>
        <v>***</v>
      </c>
    </row>
    <row r="8" spans="1:23" x14ac:dyDescent="0.25">
      <c r="A8">
        <v>7</v>
      </c>
      <c r="B8" t="s">
        <v>207</v>
      </c>
      <c r="C8" s="51">
        <v>7.942051E-2</v>
      </c>
      <c r="D8" s="51">
        <v>0</v>
      </c>
      <c r="E8" s="51">
        <v>6.3367243399999995E-2</v>
      </c>
      <c r="F8" s="51">
        <v>0.76515940000000005</v>
      </c>
      <c r="G8" s="51">
        <v>0.14278775120000001</v>
      </c>
      <c r="H8" s="51">
        <v>0.51541349999999997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4.6937999999999997E-3</v>
      </c>
      <c r="S8" s="50">
        <v>6.8278999999999996E-3</v>
      </c>
      <c r="T8">
        <v>0.68740000000000001</v>
      </c>
      <c r="U8">
        <v>0.49180089999999999</v>
      </c>
      <c r="W8" t="str">
        <f t="shared" si="3"/>
        <v/>
      </c>
    </row>
    <row r="9" spans="1:23" x14ac:dyDescent="0.25">
      <c r="A9">
        <v>8</v>
      </c>
      <c r="B9" t="s">
        <v>209</v>
      </c>
      <c r="C9" s="51">
        <v>0.1087743</v>
      </c>
      <c r="D9" s="51">
        <v>0</v>
      </c>
      <c r="E9" s="51">
        <v>-0.3019888563</v>
      </c>
      <c r="F9" s="51">
        <v>0.1637866</v>
      </c>
      <c r="G9" s="51">
        <v>-0.19321455279999999</v>
      </c>
      <c r="H9" s="51">
        <v>0.38584980000000002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7.825E-2</v>
      </c>
      <c r="S9" s="50">
        <v>7.5066999999999998E-3</v>
      </c>
      <c r="T9">
        <v>10.423999999999999</v>
      </c>
      <c r="U9" s="50">
        <v>2.2E-16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1">
        <v>9.1876749999999993E-2</v>
      </c>
      <c r="D10" s="51">
        <v>4.3161810000000002E-10</v>
      </c>
      <c r="E10" s="51">
        <v>0.55035403910000003</v>
      </c>
      <c r="F10" s="51">
        <v>0.11070049999999999</v>
      </c>
      <c r="G10" s="51">
        <v>0.64223078810000001</v>
      </c>
      <c r="H10" s="51">
        <v>6.9443000000000005E-2</v>
      </c>
      <c r="J10" t="str">
        <f t="shared" si="0"/>
        <v>***</v>
      </c>
      <c r="L10" t="str">
        <f t="shared" si="1"/>
        <v/>
      </c>
      <c r="N10" t="str">
        <f t="shared" si="2"/>
        <v>*</v>
      </c>
      <c r="P10">
        <v>9</v>
      </c>
      <c r="Q10" t="s">
        <v>209</v>
      </c>
      <c r="R10" s="50">
        <v>0.11434</v>
      </c>
      <c r="S10" s="50">
        <v>7.6078999999999999E-3</v>
      </c>
      <c r="T10">
        <v>15.029299999999999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1">
        <v>4.0564080000000002E-2</v>
      </c>
      <c r="D11" s="51">
        <v>0</v>
      </c>
      <c r="E11" s="51">
        <v>-8.57211009E-2</v>
      </c>
      <c r="F11" s="51">
        <v>1.296589E-8</v>
      </c>
      <c r="G11" s="51">
        <v>-4.51570175E-2</v>
      </c>
      <c r="H11" s="51">
        <v>3.585693E-3</v>
      </c>
      <c r="J11" t="str">
        <f t="shared" si="0"/>
        <v>***</v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8.1724000000000005E-2</v>
      </c>
      <c r="S11" s="50">
        <v>1.2234999999999999E-2</v>
      </c>
      <c r="T11">
        <v>6.6795999999999998</v>
      </c>
      <c r="U11" s="50">
        <v>2.3969999999999999E-11</v>
      </c>
      <c r="W11" t="str">
        <f t="shared" si="3"/>
        <v>***</v>
      </c>
    </row>
    <row r="12" spans="1:23" x14ac:dyDescent="0.25">
      <c r="A12">
        <v>11</v>
      </c>
      <c r="B12" t="s">
        <v>13</v>
      </c>
      <c r="C12" s="51">
        <v>4.3960079999999999E-2</v>
      </c>
      <c r="D12" s="51">
        <v>0</v>
      </c>
      <c r="E12" s="51">
        <v>-4.3513149000000001E-2</v>
      </c>
      <c r="F12" s="51">
        <v>8.9369820000000003E-2</v>
      </c>
      <c r="G12" s="51">
        <v>4.469292E-4</v>
      </c>
      <c r="H12" s="51">
        <v>0.99522129999999998</v>
      </c>
      <c r="J12" t="str">
        <f t="shared" si="0"/>
        <v>***</v>
      </c>
      <c r="L12" t="str">
        <f t="shared" si="1"/>
        <v>*</v>
      </c>
      <c r="N12" t="str">
        <f t="shared" si="2"/>
        <v/>
      </c>
      <c r="P12">
        <v>11</v>
      </c>
      <c r="Q12" t="s">
        <v>15</v>
      </c>
      <c r="R12" s="50">
        <v>4.2144000000000001E-2</v>
      </c>
      <c r="S12" s="50">
        <v>1.3255000000000001E-3</v>
      </c>
      <c r="T12">
        <v>31.796099999999999</v>
      </c>
      <c r="U12" s="50">
        <v>2.2E-16</v>
      </c>
      <c r="W12" t="str">
        <f t="shared" si="3"/>
        <v>***</v>
      </c>
    </row>
    <row r="13" spans="1:23" x14ac:dyDescent="0.25">
      <c r="A13">
        <v>12</v>
      </c>
      <c r="B13" t="s">
        <v>14</v>
      </c>
      <c r="C13" s="51">
        <v>4.7186079999999998E-2</v>
      </c>
      <c r="D13" s="51">
        <v>0</v>
      </c>
      <c r="E13" s="51">
        <v>1.4280498000000001E-2</v>
      </c>
      <c r="F13" s="51">
        <v>0.63350200000000001</v>
      </c>
      <c r="G13" s="51">
        <v>6.1466577500000001E-2</v>
      </c>
      <c r="H13" s="51">
        <v>3.9084500000000001E-2</v>
      </c>
      <c r="J13" t="str">
        <f t="shared" si="0"/>
        <v>***</v>
      </c>
      <c r="L13" t="str">
        <f t="shared" si="1"/>
        <v/>
      </c>
      <c r="N13" t="str">
        <f t="shared" si="2"/>
        <v>**</v>
      </c>
      <c r="P13">
        <v>12</v>
      </c>
      <c r="Q13" t="s">
        <v>13</v>
      </c>
      <c r="R13" s="50">
        <v>4.4762000000000003E-2</v>
      </c>
      <c r="S13" s="50">
        <v>2.0902E-3</v>
      </c>
      <c r="T13">
        <v>21.4146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1">
        <v>-4.1186349999999997E-2</v>
      </c>
      <c r="D14" s="51">
        <v>0</v>
      </c>
      <c r="E14" s="51">
        <v>-0.22682076409999999</v>
      </c>
      <c r="F14" s="51">
        <v>1.9856560000000001E-11</v>
      </c>
      <c r="G14" s="51">
        <v>-0.26800711830000001</v>
      </c>
      <c r="H14" s="51">
        <v>9.1038290000000004E-15</v>
      </c>
      <c r="J14" t="str">
        <f t="shared" si="0"/>
        <v>***</v>
      </c>
      <c r="L14" t="str">
        <f t="shared" si="1"/>
        <v>***</v>
      </c>
      <c r="N14" t="str">
        <f t="shared" si="2"/>
        <v>***</v>
      </c>
      <c r="P14">
        <v>13</v>
      </c>
      <c r="Q14" t="s">
        <v>14</v>
      </c>
      <c r="R14" s="50">
        <v>4.6921999999999998E-2</v>
      </c>
      <c r="S14" s="50">
        <v>2.4045E-3</v>
      </c>
      <c r="T14">
        <v>19.514099999999999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1">
        <v>-2.9694990000000001E-2</v>
      </c>
      <c r="D15" s="51">
        <v>0</v>
      </c>
      <c r="E15" s="51">
        <v>0.1014509186</v>
      </c>
      <c r="F15" s="51">
        <v>6.9190450000000001E-2</v>
      </c>
      <c r="G15" s="51">
        <v>7.1755932800000005E-2</v>
      </c>
      <c r="H15" s="51">
        <v>0.20871519999999999</v>
      </c>
      <c r="J15" t="str">
        <f t="shared" si="0"/>
        <v>***</v>
      </c>
      <c r="L15" t="str">
        <f t="shared" si="1"/>
        <v>*</v>
      </c>
      <c r="N15" t="str">
        <f t="shared" si="2"/>
        <v/>
      </c>
      <c r="P15">
        <v>14</v>
      </c>
      <c r="Q15" t="s">
        <v>59</v>
      </c>
      <c r="R15" s="50">
        <v>-3.7002E-2</v>
      </c>
      <c r="S15" s="50">
        <v>2.6754000000000001E-3</v>
      </c>
      <c r="T15">
        <v>-13.8307</v>
      </c>
      <c r="U15" s="50">
        <v>2.2E-16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1">
        <v>1.292035E-4</v>
      </c>
      <c r="D16" s="51">
        <v>0</v>
      </c>
      <c r="E16" s="51">
        <v>2.9968360000000001E-4</v>
      </c>
      <c r="F16" s="51">
        <v>0</v>
      </c>
      <c r="G16" s="51">
        <v>4.2888710000000001E-4</v>
      </c>
      <c r="H16" s="51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-3.1565000000000003E-2</v>
      </c>
      <c r="S16" s="50">
        <v>2.8300999999999999E-3</v>
      </c>
      <c r="T16">
        <v>-11.1534</v>
      </c>
      <c r="U16" s="50">
        <v>2.2E-16</v>
      </c>
      <c r="W16" t="str">
        <f t="shared" si="3"/>
        <v>***</v>
      </c>
    </row>
    <row r="17" spans="1:23" x14ac:dyDescent="0.25">
      <c r="A17">
        <v>16</v>
      </c>
      <c r="B17" t="s">
        <v>33</v>
      </c>
      <c r="C17" s="51">
        <v>-4.8734679999999997E-3</v>
      </c>
      <c r="D17" s="51">
        <v>0</v>
      </c>
      <c r="E17" s="51">
        <v>-2.13958502E-2</v>
      </c>
      <c r="F17" s="51">
        <v>0</v>
      </c>
      <c r="G17" s="51">
        <v>-2.6269318199999999E-2</v>
      </c>
      <c r="H17" s="51">
        <v>0</v>
      </c>
      <c r="J17" t="str">
        <f t="shared" si="0"/>
        <v>***</v>
      </c>
      <c r="L17" t="str">
        <f t="shared" si="1"/>
        <v>***</v>
      </c>
      <c r="N17" t="str">
        <f t="shared" si="2"/>
        <v>***</v>
      </c>
      <c r="P17">
        <v>16</v>
      </c>
      <c r="Q17" t="s">
        <v>18</v>
      </c>
      <c r="R17" s="50">
        <v>1.2366999999999999E-4</v>
      </c>
      <c r="S17" s="50">
        <v>1.8947E-6</v>
      </c>
      <c r="T17">
        <v>65.273799999999994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1">
        <v>5.015095E-2</v>
      </c>
      <c r="D18" s="51">
        <v>0</v>
      </c>
      <c r="E18" s="51">
        <v>0.2339477264</v>
      </c>
      <c r="F18" s="51">
        <v>0</v>
      </c>
      <c r="G18" s="51">
        <v>0.28409867319999998</v>
      </c>
      <c r="H18" s="51">
        <v>0</v>
      </c>
      <c r="J18" t="str">
        <f t="shared" si="0"/>
        <v>***</v>
      </c>
      <c r="L18" t="str">
        <f t="shared" si="1"/>
        <v>***</v>
      </c>
      <c r="N18" t="str">
        <f t="shared" si="2"/>
        <v>***</v>
      </c>
      <c r="P18">
        <v>17</v>
      </c>
      <c r="Q18" t="s">
        <v>33</v>
      </c>
      <c r="R18" s="50">
        <v>-4.4787000000000004E-3</v>
      </c>
      <c r="S18" s="50">
        <v>2.6809000000000002E-4</v>
      </c>
      <c r="T18">
        <v>-16.706</v>
      </c>
      <c r="U18" s="50">
        <v>2.2E-16</v>
      </c>
      <c r="W18" t="str">
        <f t="shared" si="3"/>
        <v>***</v>
      </c>
    </row>
    <row r="19" spans="1:23" x14ac:dyDescent="0.25">
      <c r="A19">
        <v>18</v>
      </c>
      <c r="B19" t="s">
        <v>21</v>
      </c>
      <c r="C19" s="51">
        <v>-1.411606E-2</v>
      </c>
      <c r="D19" s="51">
        <v>9.4161449999999994E-2</v>
      </c>
      <c r="E19" s="51">
        <v>6.0851166E-3</v>
      </c>
      <c r="F19" s="51">
        <v>0.96935039999999995</v>
      </c>
      <c r="G19" s="51">
        <v>-8.0309426000000003E-3</v>
      </c>
      <c r="H19" s="51">
        <v>0.96487719999999999</v>
      </c>
      <c r="J19" t="str">
        <f t="shared" si="0"/>
        <v>*</v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4.5835000000000001E-2</v>
      </c>
      <c r="S19" s="50">
        <v>2.8035999999999998E-3</v>
      </c>
      <c r="T19">
        <v>16.3489</v>
      </c>
      <c r="U19" s="50">
        <v>2.2E-16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1">
        <v>8.8966980000000001E-2</v>
      </c>
      <c r="D20" s="51">
        <v>0</v>
      </c>
      <c r="E20" s="51">
        <v>0.14591150059999999</v>
      </c>
      <c r="F20" s="51">
        <v>1.6268680000000001E-2</v>
      </c>
      <c r="G20" s="51">
        <v>0.23487848550000001</v>
      </c>
      <c r="H20" s="51">
        <v>1.613714E-4</v>
      </c>
      <c r="J20" t="str">
        <f t="shared" si="0"/>
        <v>***</v>
      </c>
      <c r="L20" t="str">
        <f t="shared" si="1"/>
        <v>**</v>
      </c>
      <c r="N20" t="str">
        <f t="shared" si="2"/>
        <v>***</v>
      </c>
      <c r="P20">
        <v>19</v>
      </c>
      <c r="Q20" t="s">
        <v>21</v>
      </c>
      <c r="R20" s="50">
        <v>-1.4227999999999999E-2</v>
      </c>
      <c r="S20" s="50">
        <v>7.5411000000000002E-3</v>
      </c>
      <c r="T20">
        <v>-1.8867</v>
      </c>
      <c r="U20">
        <v>5.9198899999999999E-2</v>
      </c>
      <c r="W20" t="str">
        <f t="shared" si="3"/>
        <v>*</v>
      </c>
    </row>
    <row r="21" spans="1:23" x14ac:dyDescent="0.25">
      <c r="A21">
        <v>20</v>
      </c>
      <c r="B21" t="s">
        <v>226</v>
      </c>
      <c r="C21" s="51">
        <v>4.5733309999999999E-2</v>
      </c>
      <c r="D21" s="51">
        <v>0</v>
      </c>
      <c r="E21" s="51">
        <v>-0.1765519981</v>
      </c>
      <c r="F21" s="51">
        <v>3.4927159999999999E-3</v>
      </c>
      <c r="G21" s="51">
        <v>-0.13081868669999999</v>
      </c>
      <c r="H21" s="51">
        <v>3.4696270000000001E-2</v>
      </c>
      <c r="J21" t="str">
        <f t="shared" si="0"/>
        <v>***</v>
      </c>
      <c r="L21" t="str">
        <f t="shared" si="1"/>
        <v>***</v>
      </c>
      <c r="N21" t="str">
        <f t="shared" si="2"/>
        <v>**</v>
      </c>
      <c r="P21">
        <v>20</v>
      </c>
      <c r="Q21" t="s">
        <v>224</v>
      </c>
      <c r="R21" s="50">
        <v>8.6274000000000003E-2</v>
      </c>
      <c r="S21" s="50">
        <v>2.6691000000000002E-3</v>
      </c>
      <c r="T21">
        <v>32.322800000000001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1">
        <v>-5.2067280000000001E-2</v>
      </c>
      <c r="D22" s="51">
        <v>0</v>
      </c>
      <c r="E22" s="51">
        <v>7.0290556599999998E-2</v>
      </c>
      <c r="F22" s="51">
        <v>0.53754990000000002</v>
      </c>
      <c r="G22" s="51">
        <v>1.8223276300000001E-2</v>
      </c>
      <c r="H22" s="51">
        <v>0.86791839999999998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4.8988999999999998E-2</v>
      </c>
      <c r="S22" s="50">
        <v>2.3777999999999998E-3</v>
      </c>
      <c r="T22">
        <v>20.6021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1">
        <v>1.59585E-2</v>
      </c>
      <c r="D23" s="51">
        <v>3.5864429999999999E-3</v>
      </c>
      <c r="E23" s="51">
        <v>0.1672045097</v>
      </c>
      <c r="F23" s="51">
        <v>8.9113910000000005E-2</v>
      </c>
      <c r="G23" s="51">
        <v>0.18316300860000001</v>
      </c>
      <c r="H23" s="51">
        <v>6.9466459999999994E-2</v>
      </c>
      <c r="J23" t="str">
        <f t="shared" si="0"/>
        <v>***</v>
      </c>
      <c r="L23" t="str">
        <f t="shared" si="1"/>
        <v>*</v>
      </c>
      <c r="N23" t="str">
        <f t="shared" si="2"/>
        <v>*</v>
      </c>
      <c r="P23">
        <v>22</v>
      </c>
      <c r="Q23" t="s">
        <v>230</v>
      </c>
      <c r="R23" s="50">
        <v>-5.3363000000000001E-2</v>
      </c>
      <c r="S23" s="50">
        <v>4.4482999999999997E-3</v>
      </c>
      <c r="T23">
        <v>-11.9962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1">
        <v>-1.050101E-2</v>
      </c>
      <c r="D24" s="51">
        <v>0.33363159999999997</v>
      </c>
      <c r="E24" s="51">
        <v>0.23391954440000001</v>
      </c>
      <c r="F24" s="51">
        <v>0.1190703</v>
      </c>
      <c r="G24" s="51">
        <v>0.22341853280000001</v>
      </c>
      <c r="H24" s="51">
        <v>0.14628240000000001</v>
      </c>
      <c r="J24" t="str">
        <f t="shared" si="0"/>
        <v/>
      </c>
      <c r="L24" t="str">
        <f t="shared" si="1"/>
        <v/>
      </c>
      <c r="N24" t="str">
        <f t="shared" si="2"/>
        <v/>
      </c>
      <c r="P24">
        <v>23</v>
      </c>
      <c r="Q24" t="s">
        <v>22</v>
      </c>
      <c r="R24" s="50">
        <v>1.2874E-2</v>
      </c>
      <c r="S24" s="50">
        <v>4.9145999999999999E-3</v>
      </c>
      <c r="T24">
        <v>2.6196000000000002</v>
      </c>
      <c r="U24">
        <v>8.8036E-3</v>
      </c>
      <c r="W24" t="str">
        <f t="shared" si="3"/>
        <v>***</v>
      </c>
    </row>
    <row r="25" spans="1:23" x14ac:dyDescent="0.25">
      <c r="A25">
        <v>24</v>
      </c>
      <c r="B25" t="s">
        <v>24</v>
      </c>
      <c r="C25" s="51">
        <v>-0.10934919999999999</v>
      </c>
      <c r="D25" s="51">
        <v>0</v>
      </c>
      <c r="E25" s="51">
        <v>4.9833072999999999E-3</v>
      </c>
      <c r="F25" s="51">
        <v>0.95001060000000004</v>
      </c>
      <c r="G25" s="51">
        <v>-0.104365866</v>
      </c>
      <c r="H25" s="51">
        <v>0.16394810000000001</v>
      </c>
      <c r="J25" t="str">
        <f t="shared" si="0"/>
        <v>***</v>
      </c>
      <c r="L25" t="str">
        <f t="shared" si="1"/>
        <v/>
      </c>
      <c r="N25" t="str">
        <f t="shared" si="2"/>
        <v/>
      </c>
      <c r="P25">
        <v>24</v>
      </c>
      <c r="Q25" t="s">
        <v>23</v>
      </c>
      <c r="R25" s="50">
        <v>-1.4815E-2</v>
      </c>
      <c r="S25" s="50">
        <v>1.0387E-2</v>
      </c>
      <c r="T25">
        <v>-1.4262999999999999</v>
      </c>
      <c r="U25">
        <v>0.15378729999999999</v>
      </c>
      <c r="W25" t="str">
        <f t="shared" si="3"/>
        <v/>
      </c>
    </row>
    <row r="26" spans="1:23" x14ac:dyDescent="0.25">
      <c r="A26">
        <v>25</v>
      </c>
      <c r="B26" t="s">
        <v>25</v>
      </c>
      <c r="C26" s="51">
        <v>-4.866521E-2</v>
      </c>
      <c r="D26" s="51">
        <v>5.9952040000000001E-15</v>
      </c>
      <c r="E26" s="51">
        <v>0.1683557759</v>
      </c>
      <c r="F26" s="51">
        <v>2.844325E-2</v>
      </c>
      <c r="G26" s="51">
        <v>0.1196905699</v>
      </c>
      <c r="H26" s="51">
        <v>0.1275876</v>
      </c>
      <c r="J26" t="str">
        <f t="shared" si="0"/>
        <v>***</v>
      </c>
      <c r="L26" t="str">
        <f t="shared" si="1"/>
        <v>**</v>
      </c>
      <c r="N26" t="str">
        <f t="shared" si="2"/>
        <v/>
      </c>
      <c r="P26">
        <v>25</v>
      </c>
      <c r="Q26" t="s">
        <v>24</v>
      </c>
      <c r="R26" s="50">
        <v>-0.10944</v>
      </c>
      <c r="S26" s="50">
        <v>4.5231999999999998E-3</v>
      </c>
      <c r="T26">
        <v>-24.1951</v>
      </c>
      <c r="U26" s="50">
        <v>2.2E-16</v>
      </c>
      <c r="W26" t="str">
        <f t="shared" si="3"/>
        <v>***</v>
      </c>
    </row>
    <row r="27" spans="1:23" x14ac:dyDescent="0.25">
      <c r="A27">
        <v>26</v>
      </c>
      <c r="B27" t="s">
        <v>26</v>
      </c>
      <c r="C27" s="51">
        <v>-8.0464900000000006E-2</v>
      </c>
      <c r="D27" s="51">
        <v>0</v>
      </c>
      <c r="E27" s="51">
        <v>0.23463564049999999</v>
      </c>
      <c r="F27" s="51">
        <v>7.6684450000000004E-5</v>
      </c>
      <c r="G27" s="51">
        <v>0.15417073619999999</v>
      </c>
      <c r="H27" s="51">
        <v>1.097824E-2</v>
      </c>
      <c r="J27" t="str">
        <f t="shared" si="0"/>
        <v>***</v>
      </c>
      <c r="L27" t="str">
        <f t="shared" si="1"/>
        <v>***</v>
      </c>
      <c r="N27" t="str">
        <f t="shared" si="2"/>
        <v>**</v>
      </c>
      <c r="P27">
        <v>26</v>
      </c>
      <c r="Q27" t="s">
        <v>25</v>
      </c>
      <c r="R27" s="50">
        <v>-5.1769000000000003E-2</v>
      </c>
      <c r="S27" s="50">
        <v>6.0743999999999998E-3</v>
      </c>
      <c r="T27">
        <v>-8.5226000000000006</v>
      </c>
      <c r="U27" s="50">
        <v>2.2E-16</v>
      </c>
      <c r="W27" t="str">
        <f t="shared" si="3"/>
        <v>***</v>
      </c>
    </row>
    <row r="28" spans="1:23" x14ac:dyDescent="0.25">
      <c r="A28">
        <v>27</v>
      </c>
      <c r="B28" t="s">
        <v>27</v>
      </c>
      <c r="C28" s="51">
        <v>-1.1196090000000001E-2</v>
      </c>
      <c r="D28" s="51">
        <v>0.1674967</v>
      </c>
      <c r="E28" s="51">
        <v>0.36374358499999998</v>
      </c>
      <c r="F28" s="51">
        <v>3.6272060000000001E-7</v>
      </c>
      <c r="G28" s="51">
        <v>0.35254749800000001</v>
      </c>
      <c r="H28" s="51">
        <v>1.23308E-6</v>
      </c>
      <c r="J28" t="str">
        <f t="shared" si="0"/>
        <v/>
      </c>
      <c r="L28" t="str">
        <f t="shared" si="1"/>
        <v>***</v>
      </c>
      <c r="N28" t="str">
        <f t="shared" si="2"/>
        <v>***</v>
      </c>
      <c r="P28">
        <v>27</v>
      </c>
      <c r="Q28" t="s">
        <v>26</v>
      </c>
      <c r="R28" s="50">
        <v>-8.4791000000000005E-2</v>
      </c>
      <c r="S28" s="50">
        <v>5.0832999999999998E-3</v>
      </c>
      <c r="T28">
        <v>-16.680199999999999</v>
      </c>
      <c r="U28" s="50">
        <v>2.2E-16</v>
      </c>
      <c r="W28" t="str">
        <f t="shared" si="3"/>
        <v>***</v>
      </c>
    </row>
    <row r="29" spans="1:23" x14ac:dyDescent="0.25">
      <c r="A29">
        <v>28</v>
      </c>
      <c r="B29" t="s">
        <v>29</v>
      </c>
      <c r="C29" s="51">
        <v>5.4881810000000003E-2</v>
      </c>
      <c r="D29" s="51">
        <v>2.8334240000000002E-7</v>
      </c>
      <c r="E29" s="51">
        <v>0.64767466689999997</v>
      </c>
      <c r="F29" s="51">
        <v>1.4618700000000001E-3</v>
      </c>
      <c r="G29" s="51">
        <v>0.70255647379999997</v>
      </c>
      <c r="H29" s="51">
        <v>7.4375869999999998E-4</v>
      </c>
      <c r="J29" t="str">
        <f t="shared" si="0"/>
        <v>***</v>
      </c>
      <c r="L29" t="str">
        <f t="shared" si="1"/>
        <v>***</v>
      </c>
      <c r="N29" t="str">
        <f t="shared" si="2"/>
        <v>***</v>
      </c>
      <c r="P29">
        <v>28</v>
      </c>
      <c r="Q29" t="s">
        <v>27</v>
      </c>
      <c r="R29" s="50">
        <v>-1.7905000000000001E-2</v>
      </c>
      <c r="S29" s="50">
        <v>7.9982000000000004E-3</v>
      </c>
      <c r="T29">
        <v>-2.2385999999999999</v>
      </c>
      <c r="U29">
        <v>2.5182800000000002E-2</v>
      </c>
      <c r="W29" t="str">
        <f t="shared" si="3"/>
        <v>**</v>
      </c>
    </row>
    <row r="30" spans="1:23" x14ac:dyDescent="0.25">
      <c r="A30">
        <v>29</v>
      </c>
      <c r="B30" t="s">
        <v>31</v>
      </c>
      <c r="C30" s="51">
        <v>-4.6665440000000002E-2</v>
      </c>
      <c r="D30" s="51">
        <v>0</v>
      </c>
      <c r="E30" s="51">
        <v>0.1032166335</v>
      </c>
      <c r="F30" s="51">
        <v>0.1445292</v>
      </c>
      <c r="G30" s="51">
        <v>5.6551193700000002E-2</v>
      </c>
      <c r="H30" s="51">
        <v>0.43242799999999998</v>
      </c>
      <c r="J30" t="str">
        <f t="shared" si="0"/>
        <v>***</v>
      </c>
      <c r="L30" t="str">
        <f t="shared" si="1"/>
        <v/>
      </c>
      <c r="N30" t="str">
        <f t="shared" si="2"/>
        <v/>
      </c>
      <c r="P30">
        <v>29</v>
      </c>
      <c r="Q30" t="s">
        <v>29</v>
      </c>
      <c r="R30" s="50">
        <v>4.2935000000000001E-2</v>
      </c>
      <c r="S30" s="50">
        <v>9.7728999999999993E-3</v>
      </c>
      <c r="T30">
        <v>4.3933</v>
      </c>
      <c r="U30" s="50">
        <v>1.117E-5</v>
      </c>
      <c r="W30" t="str">
        <f t="shared" si="3"/>
        <v>***</v>
      </c>
    </row>
    <row r="31" spans="1:23" x14ac:dyDescent="0.25">
      <c r="A31">
        <v>30</v>
      </c>
      <c r="B31" t="s">
        <v>28</v>
      </c>
      <c r="C31" s="51">
        <v>0.19239909999999999</v>
      </c>
      <c r="D31" s="51">
        <v>0</v>
      </c>
      <c r="E31" s="51">
        <v>-2.8949658000000001E-3</v>
      </c>
      <c r="F31" s="51">
        <v>0.96046399999999998</v>
      </c>
      <c r="G31" s="51">
        <v>0.18950415940000001</v>
      </c>
      <c r="H31" s="51">
        <v>5.4433420000000003E-3</v>
      </c>
      <c r="J31" t="str">
        <f t="shared" si="0"/>
        <v>***</v>
      </c>
      <c r="L31" t="str">
        <f t="shared" si="1"/>
        <v/>
      </c>
      <c r="N31" t="str">
        <f t="shared" si="2"/>
        <v>***</v>
      </c>
      <c r="P31">
        <v>30</v>
      </c>
      <c r="Q31" t="s">
        <v>31</v>
      </c>
      <c r="R31" s="50">
        <v>-4.8568E-2</v>
      </c>
      <c r="S31" s="50">
        <v>4.8478999999999996E-3</v>
      </c>
      <c r="T31">
        <v>-10.0184</v>
      </c>
      <c r="U31" s="50">
        <v>2.2E-16</v>
      </c>
      <c r="W31" t="str">
        <f t="shared" si="3"/>
        <v>***</v>
      </c>
    </row>
    <row r="32" spans="1:23" x14ac:dyDescent="0.25">
      <c r="A32">
        <v>31</v>
      </c>
      <c r="B32" t="s">
        <v>235</v>
      </c>
      <c r="C32" s="51">
        <v>0.1062123</v>
      </c>
      <c r="D32" s="51">
        <v>1.0113009999999999E-9</v>
      </c>
      <c r="E32" s="51">
        <v>-0.2092238501</v>
      </c>
      <c r="F32" s="51">
        <v>6.9774310000000001E-3</v>
      </c>
      <c r="G32" s="51">
        <v>-0.10301150789999999</v>
      </c>
      <c r="H32" s="51">
        <v>0.18194379999999999</v>
      </c>
      <c r="J32" t="str">
        <f t="shared" si="0"/>
        <v>***</v>
      </c>
      <c r="L32" t="str">
        <f t="shared" si="1"/>
        <v>***</v>
      </c>
      <c r="N32" t="str">
        <f t="shared" si="2"/>
        <v/>
      </c>
      <c r="P32">
        <v>31</v>
      </c>
      <c r="Q32" t="s">
        <v>28</v>
      </c>
      <c r="R32" s="50">
        <v>0.19245000000000001</v>
      </c>
      <c r="S32" s="50">
        <v>4.5091000000000003E-3</v>
      </c>
      <c r="T32">
        <v>42.679600000000001</v>
      </c>
      <c r="U32" s="50">
        <v>2.2E-16</v>
      </c>
      <c r="W32" t="str">
        <f t="shared" si="3"/>
        <v>***</v>
      </c>
    </row>
    <row r="33" spans="1:23" x14ac:dyDescent="0.25">
      <c r="A33">
        <v>32</v>
      </c>
      <c r="B33" t="s">
        <v>236</v>
      </c>
      <c r="C33" s="51">
        <v>-5.0862860000000003E-2</v>
      </c>
      <c r="D33" s="51">
        <v>1.903931E-4</v>
      </c>
      <c r="E33" s="51">
        <v>5.00821303E-2</v>
      </c>
      <c r="F33" s="51">
        <v>0.29346260000000002</v>
      </c>
      <c r="G33" s="51">
        <v>-7.8072769999999996E-4</v>
      </c>
      <c r="H33" s="51">
        <v>0.98448550000000001</v>
      </c>
      <c r="J33" t="str">
        <f t="shared" si="0"/>
        <v>***</v>
      </c>
      <c r="L33" t="str">
        <f t="shared" si="1"/>
        <v/>
      </c>
      <c r="N33" t="str">
        <f t="shared" si="2"/>
        <v/>
      </c>
      <c r="P33">
        <v>32</v>
      </c>
      <c r="Q33" t="s">
        <v>235</v>
      </c>
      <c r="R33" s="50">
        <v>0.11007</v>
      </c>
      <c r="S33" s="50">
        <v>1.7498E-2</v>
      </c>
      <c r="T33">
        <v>6.2901999999999996</v>
      </c>
      <c r="U33" s="50">
        <v>3.1699999999999999E-10</v>
      </c>
      <c r="W33" t="str">
        <f t="shared" si="3"/>
        <v>***</v>
      </c>
    </row>
    <row r="34" spans="1:23" x14ac:dyDescent="0.25">
      <c r="A34">
        <v>33</v>
      </c>
      <c r="B34" t="s">
        <v>238</v>
      </c>
      <c r="C34" s="51">
        <v>-7.5447970000000003E-2</v>
      </c>
      <c r="D34" s="51">
        <v>0</v>
      </c>
      <c r="E34" s="51">
        <v>-7.3478168100000005E-2</v>
      </c>
      <c r="F34" s="51">
        <v>2.6832399999999999E-3</v>
      </c>
      <c r="G34" s="51">
        <v>-0.1489261419</v>
      </c>
      <c r="H34" s="51">
        <v>6.8603410000000002E-10</v>
      </c>
      <c r="J34" t="str">
        <f t="shared" si="0"/>
        <v>***</v>
      </c>
      <c r="L34" t="str">
        <f t="shared" si="1"/>
        <v>***</v>
      </c>
      <c r="N34" t="str">
        <f t="shared" si="2"/>
        <v>***</v>
      </c>
      <c r="P34">
        <v>33</v>
      </c>
      <c r="Q34" t="s">
        <v>236</v>
      </c>
      <c r="R34" s="50">
        <v>-5.1784999999999998E-2</v>
      </c>
      <c r="S34" s="50">
        <v>1.3661E-2</v>
      </c>
      <c r="T34">
        <v>-3.7906</v>
      </c>
      <c r="U34">
        <v>1.5029999999999999E-4</v>
      </c>
      <c r="W34" t="str">
        <f t="shared" si="3"/>
        <v>***</v>
      </c>
    </row>
    <row r="35" spans="1:23" x14ac:dyDescent="0.25">
      <c r="A35">
        <v>34</v>
      </c>
      <c r="B35" t="s">
        <v>240</v>
      </c>
      <c r="C35" s="51">
        <v>-9.9223919999999993E-2</v>
      </c>
      <c r="D35" s="51">
        <v>0</v>
      </c>
      <c r="E35" s="51">
        <v>3.9466466E-3</v>
      </c>
      <c r="F35" s="51">
        <v>0.89723220000000004</v>
      </c>
      <c r="G35" s="51">
        <v>-9.5277270400000003E-2</v>
      </c>
      <c r="H35" s="51">
        <v>1.8782429999999999E-3</v>
      </c>
      <c r="J35" t="str">
        <f t="shared" si="0"/>
        <v>***</v>
      </c>
      <c r="L35" t="str">
        <f t="shared" si="1"/>
        <v/>
      </c>
      <c r="N35" t="str">
        <f t="shared" si="2"/>
        <v>***</v>
      </c>
      <c r="P35">
        <v>34</v>
      </c>
      <c r="Q35" t="s">
        <v>238</v>
      </c>
      <c r="R35" s="50">
        <v>-7.4091000000000004E-2</v>
      </c>
      <c r="S35" s="50">
        <v>6.8108999999999999E-3</v>
      </c>
      <c r="T35">
        <v>-10.878299999999999</v>
      </c>
      <c r="U35" s="50">
        <v>2.2E-16</v>
      </c>
      <c r="W35" t="str">
        <f t="shared" si="3"/>
        <v>***</v>
      </c>
    </row>
    <row r="36" spans="1:23" x14ac:dyDescent="0.25">
      <c r="A36">
        <v>35</v>
      </c>
      <c r="B36" t="s">
        <v>241</v>
      </c>
      <c r="C36" s="51">
        <v>-9.122371E-2</v>
      </c>
      <c r="D36" s="51">
        <v>4.5496590000000002E-6</v>
      </c>
      <c r="E36" s="51">
        <v>0.2195428576</v>
      </c>
      <c r="F36" s="51">
        <v>3.8876309999999996E-6</v>
      </c>
      <c r="G36" s="51">
        <v>0.12831914580000001</v>
      </c>
      <c r="H36" s="51">
        <v>3.5085110000000002E-3</v>
      </c>
      <c r="J36" t="str">
        <f t="shared" si="0"/>
        <v>***</v>
      </c>
      <c r="L36" t="str">
        <f t="shared" si="1"/>
        <v>***</v>
      </c>
      <c r="N36" t="str">
        <f t="shared" si="2"/>
        <v>***</v>
      </c>
      <c r="P36">
        <v>35</v>
      </c>
      <c r="Q36" t="s">
        <v>240</v>
      </c>
      <c r="R36" s="50">
        <v>-9.9294999999999994E-2</v>
      </c>
      <c r="S36" s="50">
        <v>8.2387999999999992E-3</v>
      </c>
      <c r="T36">
        <v>-12.052</v>
      </c>
      <c r="U36" s="50">
        <v>2.2E-16</v>
      </c>
      <c r="W36" t="str">
        <f t="shared" si="3"/>
        <v>***</v>
      </c>
    </row>
    <row r="37" spans="1:23" x14ac:dyDescent="0.25">
      <c r="A37">
        <v>36</v>
      </c>
      <c r="B37" t="s">
        <v>243</v>
      </c>
      <c r="C37" s="51">
        <v>-4.1897690000000001E-2</v>
      </c>
      <c r="D37" s="51">
        <v>3.999201E-5</v>
      </c>
      <c r="E37" s="51">
        <v>0.168737254</v>
      </c>
      <c r="F37" s="51">
        <v>1.383586E-5</v>
      </c>
      <c r="G37" s="51">
        <v>0.1268395618</v>
      </c>
      <c r="H37" s="51">
        <v>8.9653580000000001E-4</v>
      </c>
      <c r="J37" t="str">
        <f t="shared" si="0"/>
        <v>***</v>
      </c>
      <c r="L37" t="str">
        <f t="shared" si="1"/>
        <v>***</v>
      </c>
      <c r="N37" t="str">
        <f t="shared" si="2"/>
        <v>***</v>
      </c>
      <c r="P37">
        <v>36</v>
      </c>
      <c r="Q37" t="s">
        <v>241</v>
      </c>
      <c r="R37" s="50">
        <v>-9.5270999999999995E-2</v>
      </c>
      <c r="S37" s="50">
        <v>1.9965E-2</v>
      </c>
      <c r="T37">
        <v>-4.7718999999999996</v>
      </c>
      <c r="U37" s="50">
        <v>1.8250000000000001E-6</v>
      </c>
      <c r="W37" t="str">
        <f t="shared" si="3"/>
        <v>***</v>
      </c>
    </row>
    <row r="38" spans="1:23" x14ac:dyDescent="0.25">
      <c r="A38">
        <v>37</v>
      </c>
      <c r="B38" t="s">
        <v>245</v>
      </c>
      <c r="C38" s="51">
        <v>4.8092999999999997E-2</v>
      </c>
      <c r="D38" s="51">
        <v>6.7883659999999998E-2</v>
      </c>
      <c r="E38" s="51">
        <v>0.51558136139999999</v>
      </c>
      <c r="F38" s="51">
        <v>1.110223E-15</v>
      </c>
      <c r="G38" s="51">
        <v>0.56367436240000002</v>
      </c>
      <c r="H38" s="51">
        <v>0</v>
      </c>
      <c r="J38" t="str">
        <f t="shared" si="0"/>
        <v>*</v>
      </c>
      <c r="L38" t="str">
        <f t="shared" si="1"/>
        <v>***</v>
      </c>
      <c r="N38" t="str">
        <f t="shared" si="2"/>
        <v>***</v>
      </c>
      <c r="P38">
        <v>37</v>
      </c>
      <c r="Q38" t="s">
        <v>243</v>
      </c>
      <c r="R38" s="50">
        <v>-4.5009E-2</v>
      </c>
      <c r="S38" s="50">
        <v>1.0214000000000001E-2</v>
      </c>
      <c r="T38">
        <v>-4.4066999999999998</v>
      </c>
      <c r="U38" s="50">
        <v>1.0499999999999999E-5</v>
      </c>
      <c r="W38" t="str">
        <f t="shared" si="3"/>
        <v>***</v>
      </c>
    </row>
    <row r="39" spans="1:23" x14ac:dyDescent="0.25">
      <c r="A39">
        <v>38</v>
      </c>
      <c r="B39" t="s">
        <v>166</v>
      </c>
      <c r="C39" s="51">
        <v>0.20771970000000001</v>
      </c>
      <c r="D39" s="51">
        <v>0</v>
      </c>
      <c r="E39" s="51">
        <v>0.34149181080000002</v>
      </c>
      <c r="F39" s="51">
        <v>1.376677E-14</v>
      </c>
      <c r="G39" s="51">
        <v>0.5492115071</v>
      </c>
      <c r="H39" s="51">
        <v>0</v>
      </c>
      <c r="J39" t="str">
        <f t="shared" si="0"/>
        <v>***</v>
      </c>
      <c r="L39" t="str">
        <f t="shared" si="1"/>
        <v>***</v>
      </c>
      <c r="N39" t="str">
        <f t="shared" si="2"/>
        <v>***</v>
      </c>
      <c r="P39">
        <v>38</v>
      </c>
      <c r="Q39" t="s">
        <v>245</v>
      </c>
      <c r="R39" s="50">
        <v>3.8582999999999999E-2</v>
      </c>
      <c r="S39" s="50">
        <v>2.6811000000000001E-2</v>
      </c>
      <c r="T39">
        <v>1.4391</v>
      </c>
      <c r="U39">
        <v>0.15013080000000001</v>
      </c>
      <c r="W39" t="str">
        <f t="shared" si="3"/>
        <v/>
      </c>
    </row>
    <row r="40" spans="1:23" x14ac:dyDescent="0.25">
      <c r="A40">
        <v>39</v>
      </c>
      <c r="B40" t="s">
        <v>167</v>
      </c>
      <c r="C40" s="51">
        <v>0.36463899999999999</v>
      </c>
      <c r="D40" s="51">
        <v>0</v>
      </c>
      <c r="E40" s="51">
        <v>0.44642774839999999</v>
      </c>
      <c r="F40" s="51">
        <v>4.4408919999999998E-16</v>
      </c>
      <c r="G40" s="51">
        <v>0.81106673539999996</v>
      </c>
      <c r="H40" s="51">
        <v>0</v>
      </c>
      <c r="J40" t="str">
        <f t="shared" si="0"/>
        <v>***</v>
      </c>
      <c r="L40" t="str">
        <f t="shared" si="1"/>
        <v>***</v>
      </c>
      <c r="N40" t="str">
        <f t="shared" si="2"/>
        <v>***</v>
      </c>
      <c r="P40">
        <v>39</v>
      </c>
      <c r="Q40" t="s">
        <v>166</v>
      </c>
      <c r="R40" s="50">
        <v>0.20141999999999999</v>
      </c>
      <c r="S40" s="50">
        <v>8.2632999999999995E-3</v>
      </c>
      <c r="T40">
        <v>24.375</v>
      </c>
      <c r="U40" s="50">
        <v>2.2E-16</v>
      </c>
      <c r="W40" t="str">
        <f t="shared" si="3"/>
        <v>***</v>
      </c>
    </row>
    <row r="41" spans="1:23" x14ac:dyDescent="0.25">
      <c r="A41">
        <v>40</v>
      </c>
      <c r="B41" t="s">
        <v>168</v>
      </c>
      <c r="C41" s="51">
        <v>0.38966519999999999</v>
      </c>
      <c r="D41" s="51">
        <v>0</v>
      </c>
      <c r="E41" s="51">
        <v>0.42196461689999998</v>
      </c>
      <c r="F41" s="51">
        <v>2.6646349999999999E-5</v>
      </c>
      <c r="G41" s="51">
        <v>0.81162982979999998</v>
      </c>
      <c r="H41" s="51">
        <v>2.6645349999999998E-15</v>
      </c>
      <c r="J41" t="str">
        <f t="shared" si="0"/>
        <v>***</v>
      </c>
      <c r="L41" t="str">
        <f t="shared" si="1"/>
        <v>***</v>
      </c>
      <c r="N41" t="str">
        <f t="shared" si="2"/>
        <v>***</v>
      </c>
      <c r="P41">
        <v>40</v>
      </c>
      <c r="Q41" t="s">
        <v>167</v>
      </c>
      <c r="R41" s="50">
        <v>0.35639999999999999</v>
      </c>
      <c r="S41" s="50">
        <v>8.6350000000000003E-3</v>
      </c>
      <c r="T41">
        <v>41.273499999999999</v>
      </c>
      <c r="U41" s="50">
        <v>2.2E-16</v>
      </c>
      <c r="W41" t="str">
        <f t="shared" si="3"/>
        <v>***</v>
      </c>
    </row>
    <row r="42" spans="1:23" x14ac:dyDescent="0.25">
      <c r="A42">
        <v>41</v>
      </c>
      <c r="B42" t="s">
        <v>169</v>
      </c>
      <c r="C42" s="51">
        <v>0.38944610000000002</v>
      </c>
      <c r="D42" s="51">
        <v>0</v>
      </c>
      <c r="E42" s="51">
        <v>0.31497537399999997</v>
      </c>
      <c r="F42" s="51">
        <v>7.9752350000000002E-5</v>
      </c>
      <c r="G42" s="51">
        <v>0.70442150999999997</v>
      </c>
      <c r="H42" s="51">
        <v>0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168</v>
      </c>
      <c r="R42" s="50">
        <v>0.38186999999999999</v>
      </c>
      <c r="S42" s="50">
        <v>9.3130999999999995E-3</v>
      </c>
      <c r="T42">
        <v>41.004100000000001</v>
      </c>
      <c r="U42" s="50">
        <v>2.2E-16</v>
      </c>
      <c r="W42" t="str">
        <f t="shared" si="3"/>
        <v>***</v>
      </c>
    </row>
    <row r="43" spans="1:23" x14ac:dyDescent="0.25">
      <c r="A43">
        <v>42</v>
      </c>
      <c r="B43" t="s">
        <v>170</v>
      </c>
      <c r="C43" s="51">
        <v>0.37292160000000002</v>
      </c>
      <c r="D43" s="51">
        <v>0</v>
      </c>
      <c r="E43" s="51">
        <v>0.1911459694</v>
      </c>
      <c r="F43" s="51">
        <v>0.13359660000000001</v>
      </c>
      <c r="G43" s="51">
        <v>0.56406753229999995</v>
      </c>
      <c r="H43" s="51">
        <v>1.305304E-5</v>
      </c>
      <c r="J43" t="str">
        <f t="shared" si="0"/>
        <v>***</v>
      </c>
      <c r="L43" t="str">
        <f t="shared" si="1"/>
        <v/>
      </c>
      <c r="N43" t="str">
        <f t="shared" si="2"/>
        <v>***</v>
      </c>
      <c r="P43">
        <v>42</v>
      </c>
      <c r="Q43" t="s">
        <v>169</v>
      </c>
      <c r="R43" s="50">
        <v>0.38363000000000003</v>
      </c>
      <c r="S43" s="50">
        <v>9.0541000000000007E-3</v>
      </c>
      <c r="T43">
        <v>42.370800000000003</v>
      </c>
      <c r="U43" s="50">
        <v>2.2E-16</v>
      </c>
      <c r="W43" t="str">
        <f t="shared" si="3"/>
        <v>***</v>
      </c>
    </row>
    <row r="44" spans="1:23" x14ac:dyDescent="0.25">
      <c r="A44">
        <v>43</v>
      </c>
      <c r="B44" t="s">
        <v>50</v>
      </c>
      <c r="C44" s="51">
        <v>1.9546729999999999E-5</v>
      </c>
      <c r="D44" s="51">
        <v>0.43086720000000001</v>
      </c>
      <c r="E44" s="51">
        <v>-7.8483869999999996E-4</v>
      </c>
      <c r="F44" s="51">
        <v>1.2594829999999999E-4</v>
      </c>
      <c r="G44" s="51">
        <v>-7.6529199999999999E-4</v>
      </c>
      <c r="H44" s="51">
        <v>2.3313709999999999E-4</v>
      </c>
      <c r="J44" t="str">
        <f t="shared" si="0"/>
        <v/>
      </c>
      <c r="L44" t="str">
        <f t="shared" si="1"/>
        <v>***</v>
      </c>
      <c r="N44" t="str">
        <f t="shared" si="2"/>
        <v>***</v>
      </c>
      <c r="P44">
        <v>43</v>
      </c>
      <c r="Q44" t="s">
        <v>170</v>
      </c>
      <c r="R44" s="50">
        <v>0.36939</v>
      </c>
      <c r="S44" s="50">
        <v>9.8566999999999995E-3</v>
      </c>
      <c r="T44">
        <v>37.4758</v>
      </c>
      <c r="U44" s="50">
        <v>2.2E-16</v>
      </c>
      <c r="W44" t="str">
        <f t="shared" si="3"/>
        <v>***</v>
      </c>
    </row>
    <row r="45" spans="1:23" x14ac:dyDescent="0.25">
      <c r="A45">
        <v>44</v>
      </c>
      <c r="B45" t="s">
        <v>52</v>
      </c>
      <c r="C45" s="51">
        <v>8.8648960000000006E-3</v>
      </c>
      <c r="D45" s="51">
        <v>6.5230529999999994E-5</v>
      </c>
      <c r="E45" s="51">
        <v>-8.6321677799999996E-2</v>
      </c>
      <c r="F45" s="51">
        <v>7.7974849999999998E-2</v>
      </c>
      <c r="G45" s="51">
        <v>-7.7456782200000004E-2</v>
      </c>
      <c r="H45" s="51">
        <v>0.1235739</v>
      </c>
      <c r="J45" t="str">
        <f t="shared" si="0"/>
        <v>***</v>
      </c>
      <c r="L45" t="str">
        <f t="shared" si="1"/>
        <v>*</v>
      </c>
      <c r="N45" t="str">
        <f t="shared" si="2"/>
        <v/>
      </c>
      <c r="P45">
        <v>44</v>
      </c>
      <c r="Q45" t="s">
        <v>50</v>
      </c>
      <c r="R45" s="50">
        <v>3.4022000000000001E-5</v>
      </c>
      <c r="S45" s="50">
        <v>2.4607E-5</v>
      </c>
      <c r="T45">
        <v>1.3826000000000001</v>
      </c>
      <c r="U45">
        <v>0.1667804</v>
      </c>
      <c r="W45" t="str">
        <f t="shared" si="3"/>
        <v/>
      </c>
    </row>
    <row r="46" spans="1:23" x14ac:dyDescent="0.25">
      <c r="A46">
        <v>45</v>
      </c>
      <c r="B46" t="s">
        <v>51</v>
      </c>
      <c r="C46" s="51">
        <v>6.6381039999999995E-4</v>
      </c>
      <c r="D46" s="51">
        <v>0.4305833</v>
      </c>
      <c r="E46" s="51">
        <v>-1.083061E-4</v>
      </c>
      <c r="F46" s="51">
        <v>0.99990290000000004</v>
      </c>
      <c r="G46" s="51">
        <v>5.5550429999999995E-4</v>
      </c>
      <c r="H46" s="51">
        <v>0.95779780000000003</v>
      </c>
      <c r="J46" t="str">
        <f t="shared" si="0"/>
        <v/>
      </c>
      <c r="L46" t="str">
        <f t="shared" si="1"/>
        <v/>
      </c>
      <c r="N46" t="str">
        <f t="shared" si="2"/>
        <v/>
      </c>
      <c r="P46">
        <v>45</v>
      </c>
      <c r="Q46" t="s">
        <v>52</v>
      </c>
      <c r="R46" s="50">
        <v>1.0456999999999999E-2</v>
      </c>
      <c r="S46" s="50">
        <v>1.9292000000000001E-3</v>
      </c>
      <c r="T46">
        <v>5.4203000000000001</v>
      </c>
      <c r="U46" s="50">
        <v>5.9499999999999997E-8</v>
      </c>
      <c r="W46" t="str">
        <f t="shared" si="3"/>
        <v>***</v>
      </c>
    </row>
    <row r="47" spans="1:23" x14ac:dyDescent="0.25">
      <c r="A47">
        <v>46</v>
      </c>
      <c r="B47" t="s">
        <v>164</v>
      </c>
      <c r="C47" s="51">
        <v>-8.5910790000000001E-2</v>
      </c>
      <c r="D47" s="51">
        <v>2.0965840000000001E-7</v>
      </c>
      <c r="E47" s="51">
        <v>6.5961899800000001E-2</v>
      </c>
      <c r="F47" s="51">
        <v>8.4394900000000001E-5</v>
      </c>
      <c r="G47" s="51">
        <v>-1.9948891699999999E-2</v>
      </c>
      <c r="H47" s="51">
        <v>3.805845E-13</v>
      </c>
      <c r="J47" t="str">
        <f t="shared" si="0"/>
        <v>***</v>
      </c>
      <c r="L47" t="str">
        <f t="shared" si="1"/>
        <v>***</v>
      </c>
      <c r="N47" t="str">
        <f t="shared" si="2"/>
        <v>***</v>
      </c>
      <c r="P47">
        <v>46</v>
      </c>
      <c r="Q47" t="s">
        <v>51</v>
      </c>
      <c r="R47" s="50">
        <v>6.6578999999999998E-4</v>
      </c>
      <c r="S47" s="50">
        <v>7.9491999999999996E-4</v>
      </c>
      <c r="T47">
        <v>0.83760000000000001</v>
      </c>
      <c r="U47">
        <v>0.40227849999999998</v>
      </c>
      <c r="W47" t="str">
        <f t="shared" si="3"/>
        <v/>
      </c>
    </row>
    <row r="48" spans="1:23" x14ac:dyDescent="0.25">
      <c r="A48">
        <v>47</v>
      </c>
      <c r="B48" t="s">
        <v>39</v>
      </c>
      <c r="C48" s="51">
        <v>9.2797840000000006E-2</v>
      </c>
      <c r="D48" s="51">
        <v>1.6280139999999999E-8</v>
      </c>
      <c r="E48" s="51">
        <v>-0.24763009180000001</v>
      </c>
      <c r="F48" s="51">
        <v>0</v>
      </c>
      <c r="G48" s="51">
        <v>-0.15483224809999999</v>
      </c>
      <c r="H48" s="51">
        <v>9.7033489999999994E-14</v>
      </c>
      <c r="J48" t="str">
        <f t="shared" si="0"/>
        <v>***</v>
      </c>
      <c r="L48" t="str">
        <f t="shared" si="1"/>
        <v>***</v>
      </c>
      <c r="N48" t="str">
        <f t="shared" si="2"/>
        <v>***</v>
      </c>
      <c r="P48">
        <v>47</v>
      </c>
      <c r="Q48" t="s">
        <v>164</v>
      </c>
      <c r="R48" s="50">
        <v>-8.7124999999999994E-2</v>
      </c>
      <c r="S48" s="50">
        <v>1.6771000000000001E-2</v>
      </c>
      <c r="T48">
        <v>-5.1950000000000003</v>
      </c>
      <c r="U48" s="50">
        <v>2.047E-7</v>
      </c>
      <c r="W48" t="str">
        <f t="shared" si="3"/>
        <v>***</v>
      </c>
    </row>
    <row r="49" spans="1:23" x14ac:dyDescent="0.25">
      <c r="A49">
        <v>48</v>
      </c>
      <c r="B49" t="s">
        <v>40</v>
      </c>
      <c r="C49" s="51">
        <v>2.3827850000000001E-2</v>
      </c>
      <c r="D49" s="51">
        <v>6.003124E-2</v>
      </c>
      <c r="E49" s="51">
        <v>-5.1193878499999998E-2</v>
      </c>
      <c r="F49" s="51">
        <v>5.336255E-5</v>
      </c>
      <c r="G49" s="51">
        <v>-2.7366027899999999E-2</v>
      </c>
      <c r="H49" s="51">
        <v>0</v>
      </c>
      <c r="J49" t="str">
        <f t="shared" si="0"/>
        <v>*</v>
      </c>
      <c r="L49" t="str">
        <f t="shared" si="1"/>
        <v>***</v>
      </c>
      <c r="N49" t="str">
        <f t="shared" si="2"/>
        <v>***</v>
      </c>
      <c r="P49">
        <v>48</v>
      </c>
      <c r="Q49" t="s">
        <v>39</v>
      </c>
      <c r="R49" s="50">
        <v>9.7363000000000005E-2</v>
      </c>
      <c r="S49" s="50">
        <v>1.6744999999999999E-2</v>
      </c>
      <c r="T49">
        <v>5.8146000000000004</v>
      </c>
      <c r="U49" s="50">
        <v>6.0790000000000002E-9</v>
      </c>
      <c r="W49" t="str">
        <f t="shared" si="3"/>
        <v>***</v>
      </c>
    </row>
    <row r="50" spans="1:23" x14ac:dyDescent="0.25">
      <c r="A50">
        <v>49</v>
      </c>
      <c r="B50" t="s">
        <v>41</v>
      </c>
      <c r="C50" s="51">
        <v>2.3376379999999999E-2</v>
      </c>
      <c r="D50" s="51">
        <v>8.6704340000000005E-2</v>
      </c>
      <c r="E50" s="51">
        <v>-1.6734657300000001E-2</v>
      </c>
      <c r="F50" s="51">
        <v>0.22466249999999999</v>
      </c>
      <c r="G50" s="51">
        <v>6.6417255999999996E-3</v>
      </c>
      <c r="H50" s="51">
        <v>3.5882580000000001E-6</v>
      </c>
      <c r="J50" t="str">
        <f t="shared" si="0"/>
        <v>*</v>
      </c>
      <c r="L50" t="str">
        <f t="shared" si="1"/>
        <v/>
      </c>
      <c r="N50" t="str">
        <f t="shared" si="2"/>
        <v>***</v>
      </c>
      <c r="P50">
        <v>49</v>
      </c>
      <c r="Q50" t="s">
        <v>40</v>
      </c>
      <c r="R50" s="50">
        <v>2.4771999999999999E-2</v>
      </c>
      <c r="S50" s="50">
        <v>1.285E-2</v>
      </c>
      <c r="T50">
        <v>1.9277</v>
      </c>
      <c r="U50">
        <v>5.3891399999999999E-2</v>
      </c>
      <c r="W50" t="str">
        <f t="shared" si="3"/>
        <v>*</v>
      </c>
    </row>
    <row r="51" spans="1:23" x14ac:dyDescent="0.25">
      <c r="A51">
        <v>50</v>
      </c>
      <c r="B51" t="s">
        <v>173</v>
      </c>
      <c r="C51" s="51">
        <v>2.6273029999999999E-2</v>
      </c>
      <c r="D51" s="51">
        <v>1.0080550000000001E-3</v>
      </c>
      <c r="E51" s="51">
        <v>-2.8900424599999999E-2</v>
      </c>
      <c r="F51" s="51">
        <v>3.4031099999999999E-4</v>
      </c>
      <c r="G51" s="51">
        <v>-2.6273924999999998E-3</v>
      </c>
      <c r="H51" s="51">
        <v>2.426333E-2</v>
      </c>
      <c r="J51" t="str">
        <f t="shared" si="0"/>
        <v>***</v>
      </c>
      <c r="L51" t="str">
        <f t="shared" si="1"/>
        <v>***</v>
      </c>
      <c r="N51" t="str">
        <f t="shared" si="2"/>
        <v>**</v>
      </c>
      <c r="P51">
        <v>50</v>
      </c>
      <c r="Q51" t="s">
        <v>41</v>
      </c>
      <c r="R51" s="50">
        <v>2.3685000000000001E-2</v>
      </c>
      <c r="S51" s="50">
        <v>1.3965999999999999E-2</v>
      </c>
      <c r="T51">
        <v>1.6958</v>
      </c>
      <c r="U51">
        <v>8.9921100000000004E-2</v>
      </c>
      <c r="W51" t="str">
        <f t="shared" si="3"/>
        <v>*</v>
      </c>
    </row>
    <row r="52" spans="1:23" x14ac:dyDescent="0.25">
      <c r="A52">
        <v>51</v>
      </c>
      <c r="B52" t="s">
        <v>174</v>
      </c>
      <c r="C52" s="51">
        <v>2.3754770000000001E-2</v>
      </c>
      <c r="D52" s="51">
        <v>8.0719959999999997E-3</v>
      </c>
      <c r="E52" s="51">
        <v>-1.1270306900000001E-2</v>
      </c>
      <c r="F52" s="51">
        <v>0.27546039999999999</v>
      </c>
      <c r="G52" s="51">
        <v>1.24844667E-2</v>
      </c>
      <c r="H52" s="51">
        <v>1.8326490000000001E-2</v>
      </c>
      <c r="J52" t="str">
        <f t="shared" si="0"/>
        <v>***</v>
      </c>
      <c r="L52" t="str">
        <f t="shared" si="1"/>
        <v/>
      </c>
      <c r="N52" t="str">
        <f t="shared" si="2"/>
        <v>**</v>
      </c>
      <c r="P52">
        <v>51</v>
      </c>
      <c r="Q52" t="s">
        <v>173</v>
      </c>
      <c r="R52" s="50">
        <v>2.6804999999999999E-2</v>
      </c>
      <c r="S52" s="50">
        <v>8.1156000000000006E-3</v>
      </c>
      <c r="T52">
        <v>3.3029999999999999</v>
      </c>
      <c r="U52">
        <v>9.567E-4</v>
      </c>
      <c r="W52" t="str">
        <f t="shared" si="3"/>
        <v>***</v>
      </c>
    </row>
    <row r="53" spans="1:23" x14ac:dyDescent="0.25">
      <c r="A53">
        <v>52</v>
      </c>
      <c r="B53" t="s">
        <v>175</v>
      </c>
      <c r="C53" s="51">
        <v>3.4060119999999999E-2</v>
      </c>
      <c r="D53" s="51">
        <v>2.6383129999999999E-6</v>
      </c>
      <c r="E53" s="51">
        <v>-3.2898797600000002E-2</v>
      </c>
      <c r="F53" s="51">
        <v>2.4502090000000002E-4</v>
      </c>
      <c r="G53" s="51">
        <v>1.1613232E-3</v>
      </c>
      <c r="H53" s="51">
        <v>0.82601100000000005</v>
      </c>
      <c r="J53" t="str">
        <f t="shared" si="0"/>
        <v>***</v>
      </c>
      <c r="L53" t="str">
        <f t="shared" si="1"/>
        <v>***</v>
      </c>
      <c r="N53" t="str">
        <f t="shared" si="2"/>
        <v/>
      </c>
      <c r="P53">
        <v>52</v>
      </c>
      <c r="Q53" t="s">
        <v>174</v>
      </c>
      <c r="R53" s="50">
        <v>2.3962000000000001E-2</v>
      </c>
      <c r="S53" s="50">
        <v>9.1228999999999998E-3</v>
      </c>
      <c r="T53">
        <v>2.6265999999999998</v>
      </c>
      <c r="U53">
        <v>8.6247000000000008E-3</v>
      </c>
      <c r="W53" t="str">
        <f t="shared" si="3"/>
        <v>***</v>
      </c>
    </row>
    <row r="54" spans="1:23" x14ac:dyDescent="0.25">
      <c r="A54">
        <v>53</v>
      </c>
      <c r="B54" t="s">
        <v>43</v>
      </c>
      <c r="C54" s="51">
        <v>4.5909949999999998E-2</v>
      </c>
      <c r="D54" s="51">
        <v>0.23986469999999999</v>
      </c>
      <c r="E54" s="51">
        <v>-1.5667750814000001</v>
      </c>
      <c r="F54" s="51">
        <v>6.0938370000000001E-11</v>
      </c>
      <c r="G54" s="51">
        <v>-1.5208651280000001</v>
      </c>
      <c r="H54" s="51">
        <v>3.0008949999999999E-10</v>
      </c>
      <c r="J54" t="str">
        <f t="shared" si="0"/>
        <v/>
      </c>
      <c r="L54" t="str">
        <f t="shared" si="1"/>
        <v>***</v>
      </c>
      <c r="N54" t="str">
        <f t="shared" si="2"/>
        <v>***</v>
      </c>
      <c r="P54">
        <v>53</v>
      </c>
      <c r="Q54" t="s">
        <v>175</v>
      </c>
      <c r="R54" s="50">
        <v>3.4666000000000002E-2</v>
      </c>
      <c r="S54" s="50">
        <v>7.3553000000000004E-3</v>
      </c>
      <c r="T54">
        <v>4.7130999999999998</v>
      </c>
      <c r="U54" s="50">
        <v>2.4399999999999999E-6</v>
      </c>
      <c r="W54" t="str">
        <f t="shared" si="3"/>
        <v>***</v>
      </c>
    </row>
    <row r="55" spans="1:23" x14ac:dyDescent="0.25">
      <c r="A55">
        <v>54</v>
      </c>
      <c r="B55" t="s">
        <v>44</v>
      </c>
      <c r="C55" s="51">
        <v>-1.391205E-2</v>
      </c>
      <c r="D55" s="51">
        <v>0.26539509999999999</v>
      </c>
      <c r="E55" s="51">
        <v>-0.26332628619999998</v>
      </c>
      <c r="F55" s="51">
        <v>7.0147229999999997E-9</v>
      </c>
      <c r="G55" s="51">
        <v>-0.2772383356</v>
      </c>
      <c r="H55" s="51">
        <v>7.189893E-10</v>
      </c>
      <c r="J55" t="str">
        <f t="shared" si="0"/>
        <v/>
      </c>
      <c r="L55" t="str">
        <f t="shared" si="1"/>
        <v>***</v>
      </c>
      <c r="N55" t="str">
        <f t="shared" si="2"/>
        <v>***</v>
      </c>
      <c r="P55">
        <v>54</v>
      </c>
      <c r="Q55" t="s">
        <v>43</v>
      </c>
      <c r="R55" s="50">
        <v>7.4805999999999997E-2</v>
      </c>
      <c r="S55" s="50">
        <v>3.8745000000000002E-2</v>
      </c>
      <c r="T55">
        <v>1.9307000000000001</v>
      </c>
      <c r="U55">
        <v>5.3515399999999998E-2</v>
      </c>
      <c r="W55" t="str">
        <f t="shared" si="3"/>
        <v>*</v>
      </c>
    </row>
    <row r="56" spans="1:23" x14ac:dyDescent="0.25">
      <c r="A56">
        <v>55</v>
      </c>
      <c r="B56" t="s">
        <v>45</v>
      </c>
      <c r="C56" s="51">
        <v>7.0073319999999998E-3</v>
      </c>
      <c r="D56" s="51">
        <v>0.72321489999999999</v>
      </c>
      <c r="E56" s="51">
        <v>-0.3686340823</v>
      </c>
      <c r="F56" s="51">
        <v>1.210628E-4</v>
      </c>
      <c r="G56" s="51">
        <v>-0.36162675030000002</v>
      </c>
      <c r="H56" s="51">
        <v>1.5058399999999999E-4</v>
      </c>
      <c r="J56" t="str">
        <f t="shared" si="0"/>
        <v/>
      </c>
      <c r="L56" t="str">
        <f t="shared" si="1"/>
        <v>***</v>
      </c>
      <c r="N56" t="str">
        <f t="shared" si="2"/>
        <v>***</v>
      </c>
      <c r="P56">
        <v>55</v>
      </c>
      <c r="Q56" t="s">
        <v>44</v>
      </c>
      <c r="R56" s="50">
        <v>-9.0550000000000005E-3</v>
      </c>
      <c r="S56" s="50">
        <v>1.2708000000000001E-2</v>
      </c>
      <c r="T56">
        <v>-0.71250000000000002</v>
      </c>
      <c r="U56">
        <v>0.47613280000000002</v>
      </c>
      <c r="W56" t="str">
        <f t="shared" si="3"/>
        <v/>
      </c>
    </row>
    <row r="57" spans="1:23" x14ac:dyDescent="0.25">
      <c r="A57">
        <v>56</v>
      </c>
      <c r="B57" t="s">
        <v>48</v>
      </c>
      <c r="C57" s="51">
        <v>-4.7000319999999998E-2</v>
      </c>
      <c r="D57" s="51">
        <v>3.5943419999999999E-6</v>
      </c>
      <c r="E57" s="51">
        <v>0.65897808189999996</v>
      </c>
      <c r="F57" s="51">
        <v>0</v>
      </c>
      <c r="G57" s="51">
        <v>0.6119777595</v>
      </c>
      <c r="H57" s="51">
        <v>0</v>
      </c>
      <c r="J57" t="str">
        <f t="shared" si="0"/>
        <v>***</v>
      </c>
      <c r="L57" t="str">
        <f t="shared" si="1"/>
        <v>***</v>
      </c>
      <c r="N57" t="str">
        <f t="shared" si="2"/>
        <v>***</v>
      </c>
      <c r="P57">
        <v>56</v>
      </c>
      <c r="Q57" t="s">
        <v>45</v>
      </c>
      <c r="R57" s="50">
        <v>1.3806000000000001E-2</v>
      </c>
      <c r="S57" s="50">
        <v>2.0323999999999998E-2</v>
      </c>
      <c r="T57">
        <v>0.67930000000000001</v>
      </c>
      <c r="U57">
        <v>0.49694480000000002</v>
      </c>
      <c r="W57" t="str">
        <f t="shared" si="3"/>
        <v/>
      </c>
    </row>
    <row r="58" spans="1:23" x14ac:dyDescent="0.25">
      <c r="A58">
        <v>57</v>
      </c>
      <c r="B58" t="s">
        <v>46</v>
      </c>
      <c r="C58" s="51">
        <v>-0.13655610000000001</v>
      </c>
      <c r="D58" s="51">
        <v>2.2204459999999999E-16</v>
      </c>
      <c r="E58" s="51">
        <v>-5.72030678E-2</v>
      </c>
      <c r="F58" s="51">
        <v>0.41718250000000001</v>
      </c>
      <c r="G58" s="51">
        <v>-0.1937591421</v>
      </c>
      <c r="H58" s="51">
        <v>4.5346279999999997E-3</v>
      </c>
      <c r="J58" t="str">
        <f t="shared" si="0"/>
        <v>***</v>
      </c>
      <c r="L58" t="str">
        <f t="shared" si="1"/>
        <v/>
      </c>
      <c r="N58" t="str">
        <f t="shared" si="2"/>
        <v>***</v>
      </c>
      <c r="P58">
        <v>57</v>
      </c>
      <c r="Q58" t="s">
        <v>48</v>
      </c>
      <c r="R58" s="50">
        <v>-5.9152999999999997E-2</v>
      </c>
      <c r="S58" s="50">
        <v>1.0481000000000001E-2</v>
      </c>
      <c r="T58">
        <v>-5.6440999999999999</v>
      </c>
      <c r="U58" s="50">
        <v>1.66E-8</v>
      </c>
      <c r="W58" t="str">
        <f t="shared" si="3"/>
        <v>***</v>
      </c>
    </row>
    <row r="59" spans="1:23" x14ac:dyDescent="0.25">
      <c r="B59" t="s">
        <v>716</v>
      </c>
      <c r="C59" s="26">
        <v>43259</v>
      </c>
      <c r="D59" s="50"/>
      <c r="F59" s="50"/>
      <c r="H59" s="50"/>
      <c r="P59">
        <v>58</v>
      </c>
      <c r="Q59" t="s">
        <v>46</v>
      </c>
      <c r="R59" s="50">
        <v>-0.13550000000000001</v>
      </c>
      <c r="S59" s="50">
        <v>1.6809000000000001E-2</v>
      </c>
      <c r="T59">
        <v>-8.0611999999999995</v>
      </c>
      <c r="U59" s="50">
        <v>6.6610000000000002E-16</v>
      </c>
      <c r="W59" t="str">
        <f t="shared" si="3"/>
        <v>***</v>
      </c>
    </row>
    <row r="60" spans="1:23" x14ac:dyDescent="0.25">
      <c r="P60">
        <v>59</v>
      </c>
      <c r="Q60" t="s">
        <v>731</v>
      </c>
      <c r="R60" s="50">
        <v>7.1994000000000002E-2</v>
      </c>
      <c r="S60" s="50">
        <v>3.2189000000000002E-2</v>
      </c>
      <c r="T60">
        <v>2.2366000000000001</v>
      </c>
      <c r="U60">
        <v>2.5313100000000002E-2</v>
      </c>
      <c r="W60" t="str">
        <f t="shared" si="3"/>
        <v>**</v>
      </c>
    </row>
    <row r="61" spans="1:23" x14ac:dyDescent="0.25">
      <c r="B61" t="s">
        <v>718</v>
      </c>
      <c r="C61">
        <v>0.83892</v>
      </c>
      <c r="D61" t="s">
        <v>719</v>
      </c>
      <c r="E61">
        <v>22267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732</v>
      </c>
      <c r="R61" s="50">
        <v>8.5654999999999998E-4</v>
      </c>
      <c r="S61" s="50">
        <v>5.6845999999999997E-5</v>
      </c>
      <c r="T61">
        <v>15.068099999999999</v>
      </c>
      <c r="U61" s="50">
        <v>2.2E-16</v>
      </c>
      <c r="W61" t="str">
        <f t="shared" si="3"/>
        <v>***</v>
      </c>
    </row>
    <row r="62" spans="1:23" x14ac:dyDescent="0.25">
      <c r="B62" t="s">
        <v>497</v>
      </c>
      <c r="C62">
        <v>-26309</v>
      </c>
      <c r="P62">
        <v>61</v>
      </c>
      <c r="Q62" t="s">
        <v>733</v>
      </c>
      <c r="R62" s="50">
        <v>4.3116000000000002E-2</v>
      </c>
      <c r="S62" s="50">
        <v>1.5341E-2</v>
      </c>
      <c r="T62">
        <v>2.8106</v>
      </c>
      <c r="U62">
        <v>4.9452999999999997E-3</v>
      </c>
      <c r="W62" t="str">
        <f t="shared" si="3"/>
        <v>***</v>
      </c>
    </row>
    <row r="63" spans="1:23" x14ac:dyDescent="0.25">
      <c r="B63" t="s">
        <v>717</v>
      </c>
      <c r="C63">
        <v>13271.41</v>
      </c>
      <c r="P63">
        <v>62</v>
      </c>
      <c r="Q63" t="s">
        <v>734</v>
      </c>
      <c r="R63" s="50">
        <v>4.2627999999999999E-2</v>
      </c>
      <c r="S63" s="50">
        <v>1.5317000000000001E-2</v>
      </c>
      <c r="T63">
        <v>2.7831000000000001</v>
      </c>
      <c r="U63">
        <v>5.3842999999999999E-3</v>
      </c>
      <c r="W63" t="str">
        <f t="shared" si="3"/>
        <v>***</v>
      </c>
    </row>
    <row r="64" spans="1:23" x14ac:dyDescent="0.25">
      <c r="P64">
        <v>63</v>
      </c>
      <c r="Q64" t="s">
        <v>735</v>
      </c>
      <c r="R64" s="50">
        <v>4.3075000000000002E-2</v>
      </c>
      <c r="S64" s="50">
        <v>1.5036000000000001E-2</v>
      </c>
      <c r="T64">
        <v>2.8649</v>
      </c>
      <c r="U64">
        <v>4.1717999999999998E-3</v>
      </c>
      <c r="W64" t="str">
        <f t="shared" si="3"/>
        <v>***</v>
      </c>
    </row>
    <row r="65" spans="16:23" x14ac:dyDescent="0.25">
      <c r="P65">
        <v>64</v>
      </c>
      <c r="Q65" t="s">
        <v>736</v>
      </c>
      <c r="R65" s="50">
        <v>-6.8075999999999998E-2</v>
      </c>
      <c r="S65" s="50">
        <v>3.168E-2</v>
      </c>
      <c r="T65">
        <v>-2.1488</v>
      </c>
      <c r="U65">
        <v>3.16484E-2</v>
      </c>
      <c r="W65" t="str">
        <f t="shared" si="3"/>
        <v>**</v>
      </c>
    </row>
    <row r="66" spans="16:23" x14ac:dyDescent="0.25">
      <c r="P66">
        <v>65</v>
      </c>
      <c r="Q66" t="s">
        <v>737</v>
      </c>
      <c r="R66" s="50">
        <v>-5.5130999999999999E-2</v>
      </c>
      <c r="S66" s="50">
        <v>3.5328999999999999E-2</v>
      </c>
      <c r="T66">
        <v>-1.5605</v>
      </c>
      <c r="U66">
        <v>0.1186429</v>
      </c>
      <c r="W66" t="str">
        <f t="shared" si="3"/>
        <v/>
      </c>
    </row>
    <row r="67" spans="16:23" x14ac:dyDescent="0.25">
      <c r="P67">
        <v>66</v>
      </c>
      <c r="Q67" t="s">
        <v>738</v>
      </c>
      <c r="R67" s="50">
        <v>-0.14562</v>
      </c>
      <c r="S67" s="50">
        <v>3.5485000000000003E-2</v>
      </c>
      <c r="T67">
        <v>-4.1039000000000003</v>
      </c>
      <c r="U67" s="50">
        <v>4.0630000000000002E-5</v>
      </c>
      <c r="W67" t="str">
        <f t="shared" ref="W67:W116" si="4">IF(U67&lt;0.01,"***",IF(U67&lt;0.05,"**",IF(U67&lt;0.1,"*","")))</f>
        <v>***</v>
      </c>
    </row>
    <row r="68" spans="16:23" x14ac:dyDescent="0.25">
      <c r="P68">
        <v>67</v>
      </c>
      <c r="Q68" t="s">
        <v>739</v>
      </c>
      <c r="R68" s="50">
        <v>2.2259000000000001E-2</v>
      </c>
      <c r="S68" s="50">
        <v>5.7029000000000003E-2</v>
      </c>
      <c r="T68">
        <v>0.39029999999999998</v>
      </c>
      <c r="U68">
        <v>0.69630630000000004</v>
      </c>
      <c r="W68" t="str">
        <f t="shared" si="4"/>
        <v/>
      </c>
    </row>
    <row r="69" spans="16:23" x14ac:dyDescent="0.25">
      <c r="P69">
        <v>68</v>
      </c>
      <c r="Q69" t="s">
        <v>740</v>
      </c>
      <c r="R69" s="50">
        <v>-4.9456E-2</v>
      </c>
      <c r="S69" s="50">
        <v>2.6841999999999999E-3</v>
      </c>
      <c r="T69">
        <v>-18.424399999999999</v>
      </c>
      <c r="U69" s="50">
        <v>2.2E-16</v>
      </c>
      <c r="W69" t="str">
        <f t="shared" si="4"/>
        <v>***</v>
      </c>
    </row>
    <row r="70" spans="16:23" x14ac:dyDescent="0.25">
      <c r="P70">
        <v>69</v>
      </c>
      <c r="Q70" t="s">
        <v>741</v>
      </c>
      <c r="R70" s="50">
        <v>-4.4689E-2</v>
      </c>
      <c r="S70" s="50">
        <v>4.5510999999999998E-3</v>
      </c>
      <c r="T70">
        <v>-9.8194999999999997</v>
      </c>
      <c r="U70" s="50">
        <v>2.2E-16</v>
      </c>
      <c r="W70" t="str">
        <f t="shared" si="4"/>
        <v>***</v>
      </c>
    </row>
    <row r="71" spans="16:23" x14ac:dyDescent="0.25">
      <c r="P71">
        <v>70</v>
      </c>
      <c r="Q71" t="s">
        <v>742</v>
      </c>
      <c r="R71" s="50">
        <v>-3.6970000000000003E-2</v>
      </c>
      <c r="S71" s="50">
        <v>5.2002999999999997E-3</v>
      </c>
      <c r="T71">
        <v>-7.1090999999999998</v>
      </c>
      <c r="U71" s="50">
        <v>1.1680000000000001E-12</v>
      </c>
      <c r="W71" t="str">
        <f t="shared" si="4"/>
        <v>***</v>
      </c>
    </row>
    <row r="72" spans="16:23" x14ac:dyDescent="0.25">
      <c r="P72">
        <v>71</v>
      </c>
      <c r="Q72" t="s">
        <v>743</v>
      </c>
      <c r="R72" s="50">
        <v>-6.3908000000000003E-3</v>
      </c>
      <c r="S72" s="50">
        <v>6.0594000000000004E-3</v>
      </c>
      <c r="T72">
        <v>-1.0547</v>
      </c>
      <c r="U72">
        <v>0.29156559999999998</v>
      </c>
      <c r="W72" t="str">
        <f t="shared" si="4"/>
        <v/>
      </c>
    </row>
    <row r="73" spans="16:23" x14ac:dyDescent="0.25">
      <c r="P73">
        <v>72</v>
      </c>
      <c r="Q73" t="s">
        <v>744</v>
      </c>
      <c r="R73" s="50">
        <v>4.3182999999999999E-2</v>
      </c>
      <c r="S73" s="50">
        <v>9.2014000000000002E-3</v>
      </c>
      <c r="T73">
        <v>4.6931000000000003</v>
      </c>
      <c r="U73" s="50">
        <v>2.6900000000000001E-6</v>
      </c>
      <c r="W73" t="str">
        <f t="shared" si="4"/>
        <v>***</v>
      </c>
    </row>
    <row r="74" spans="16:23" x14ac:dyDescent="0.25">
      <c r="P74">
        <v>73</v>
      </c>
      <c r="Q74" t="s">
        <v>745</v>
      </c>
      <c r="R74" s="50">
        <v>-5.4233000000000001E-5</v>
      </c>
      <c r="S74" s="50">
        <v>4.2543000000000001E-6</v>
      </c>
      <c r="T74">
        <v>-12.7476</v>
      </c>
      <c r="U74" s="50">
        <v>2.2E-16</v>
      </c>
      <c r="W74" t="str">
        <f t="shared" si="4"/>
        <v>***</v>
      </c>
    </row>
    <row r="75" spans="16:23" x14ac:dyDescent="0.25">
      <c r="P75">
        <v>74</v>
      </c>
      <c r="Q75" t="s">
        <v>746</v>
      </c>
      <c r="R75" s="50">
        <v>2.2550000000000001E-4</v>
      </c>
      <c r="S75" s="50">
        <v>3.9949000000000001E-4</v>
      </c>
      <c r="T75">
        <v>0.5645</v>
      </c>
      <c r="U75">
        <v>0.57244419999999996</v>
      </c>
      <c r="W75" t="str">
        <f t="shared" si="4"/>
        <v/>
      </c>
    </row>
    <row r="76" spans="16:23" x14ac:dyDescent="0.25">
      <c r="P76">
        <v>75</v>
      </c>
      <c r="Q76" t="s">
        <v>747</v>
      </c>
      <c r="R76" s="50">
        <v>1.6322E-4</v>
      </c>
      <c r="S76" s="50">
        <v>4.4799999999999996E-3</v>
      </c>
      <c r="T76">
        <v>3.6400000000000002E-2</v>
      </c>
      <c r="U76">
        <v>0.97093669999999999</v>
      </c>
      <c r="W76" t="str">
        <f t="shared" si="4"/>
        <v/>
      </c>
    </row>
    <row r="77" spans="16:23" x14ac:dyDescent="0.25">
      <c r="P77">
        <v>76</v>
      </c>
      <c r="Q77" t="s">
        <v>748</v>
      </c>
      <c r="R77" s="50">
        <v>1.2928E-2</v>
      </c>
      <c r="S77" s="50">
        <v>2.7890999999999999E-2</v>
      </c>
      <c r="T77">
        <v>0.46350000000000002</v>
      </c>
      <c r="U77">
        <v>0.64299680000000003</v>
      </c>
      <c r="W77" t="str">
        <f t="shared" si="4"/>
        <v/>
      </c>
    </row>
    <row r="78" spans="16:23" x14ac:dyDescent="0.25">
      <c r="P78">
        <v>77</v>
      </c>
      <c r="Q78" t="s">
        <v>749</v>
      </c>
      <c r="R78" s="50">
        <v>-4.8245000000000003E-2</v>
      </c>
      <c r="S78" s="50">
        <v>9.9042999999999996E-3</v>
      </c>
      <c r="T78">
        <v>-4.8711000000000002</v>
      </c>
      <c r="U78" s="50">
        <v>1.11E-6</v>
      </c>
      <c r="W78" t="str">
        <f t="shared" si="4"/>
        <v>***</v>
      </c>
    </row>
    <row r="79" spans="16:23" x14ac:dyDescent="0.25">
      <c r="P79">
        <v>78</v>
      </c>
      <c r="Q79" t="s">
        <v>750</v>
      </c>
      <c r="R79" s="50">
        <v>-7.0168999999999995E-2</v>
      </c>
      <c r="S79" s="50">
        <v>9.7695999999999998E-3</v>
      </c>
      <c r="T79">
        <v>-7.1824000000000003</v>
      </c>
      <c r="U79" s="50">
        <v>6.8479999999999997E-13</v>
      </c>
      <c r="W79" t="str">
        <f t="shared" si="4"/>
        <v>***</v>
      </c>
    </row>
    <row r="80" spans="16:23" x14ac:dyDescent="0.25">
      <c r="P80">
        <v>79</v>
      </c>
      <c r="Q80" t="s">
        <v>751</v>
      </c>
      <c r="R80" s="50">
        <v>5.6313000000000002E-2</v>
      </c>
      <c r="S80" s="50">
        <v>1.8998000000000001E-2</v>
      </c>
      <c r="T80">
        <v>2.9641999999999999</v>
      </c>
      <c r="U80">
        <v>3.0347999999999998E-3</v>
      </c>
      <c r="W80" t="str">
        <f t="shared" si="4"/>
        <v>***</v>
      </c>
    </row>
    <row r="81" spans="16:23" x14ac:dyDescent="0.25">
      <c r="P81">
        <v>80</v>
      </c>
      <c r="Q81" t="s">
        <v>752</v>
      </c>
      <c r="R81" s="50">
        <v>1.6781999999999998E-2</v>
      </c>
      <c r="S81" s="50">
        <v>1.6091999999999999E-2</v>
      </c>
      <c r="T81">
        <v>1.0427999999999999</v>
      </c>
      <c r="U81">
        <v>0.29701919999999998</v>
      </c>
      <c r="W81" t="str">
        <f t="shared" si="4"/>
        <v/>
      </c>
    </row>
    <row r="82" spans="16:23" x14ac:dyDescent="0.25">
      <c r="P82">
        <v>81</v>
      </c>
      <c r="Q82" t="s">
        <v>753</v>
      </c>
      <c r="R82" s="50">
        <v>5.0989E-2</v>
      </c>
      <c r="S82" s="50">
        <v>2.5388999999999998E-2</v>
      </c>
      <c r="T82">
        <v>2.0083000000000002</v>
      </c>
      <c r="U82">
        <v>4.4614599999999997E-2</v>
      </c>
      <c r="W82" t="str">
        <f t="shared" si="4"/>
        <v>**</v>
      </c>
    </row>
    <row r="83" spans="16:23" x14ac:dyDescent="0.25">
      <c r="P83">
        <v>82</v>
      </c>
      <c r="Q83" t="s">
        <v>754</v>
      </c>
      <c r="R83" s="50">
        <v>9.2540999999999998E-2</v>
      </c>
      <c r="S83" s="50">
        <v>1.2262E-2</v>
      </c>
      <c r="T83">
        <v>7.5468000000000002</v>
      </c>
      <c r="U83" s="50">
        <v>4.4630000000000001E-14</v>
      </c>
      <c r="W83" t="str">
        <f t="shared" si="4"/>
        <v>***</v>
      </c>
    </row>
    <row r="84" spans="16:23" x14ac:dyDescent="0.25">
      <c r="P84">
        <v>83</v>
      </c>
      <c r="Q84" t="s">
        <v>755</v>
      </c>
      <c r="R84" s="50">
        <v>7.1148000000000003E-2</v>
      </c>
      <c r="S84" s="50">
        <v>1.3363999999999999E-2</v>
      </c>
      <c r="T84">
        <v>5.3239000000000001</v>
      </c>
      <c r="U84" s="50">
        <v>1.015E-7</v>
      </c>
      <c r="W84" t="str">
        <f t="shared" si="4"/>
        <v>***</v>
      </c>
    </row>
    <row r="85" spans="16:23" x14ac:dyDescent="0.25">
      <c r="P85">
        <v>84</v>
      </c>
      <c r="Q85" t="s">
        <v>756</v>
      </c>
      <c r="R85" s="50">
        <v>0.10975</v>
      </c>
      <c r="S85" s="50">
        <v>1.0586999999999999E-2</v>
      </c>
      <c r="T85">
        <v>10.366899999999999</v>
      </c>
      <c r="U85" s="50">
        <v>2.2E-16</v>
      </c>
      <c r="W85" t="str">
        <f t="shared" si="4"/>
        <v>***</v>
      </c>
    </row>
    <row r="86" spans="16:23" x14ac:dyDescent="0.25">
      <c r="P86">
        <v>85</v>
      </c>
      <c r="Q86" t="s">
        <v>757</v>
      </c>
      <c r="R86" s="50">
        <v>7.4984999999999996E-2</v>
      </c>
      <c r="S86" s="50">
        <v>1.3559999999999999E-2</v>
      </c>
      <c r="T86">
        <v>5.5298999999999996</v>
      </c>
      <c r="U86" s="50">
        <v>3.2040000000000001E-8</v>
      </c>
      <c r="W86" t="str">
        <f t="shared" si="4"/>
        <v>***</v>
      </c>
    </row>
    <row r="87" spans="16:23" x14ac:dyDescent="0.25">
      <c r="P87">
        <v>86</v>
      </c>
      <c r="Q87" t="s">
        <v>758</v>
      </c>
      <c r="R87" s="50">
        <v>7.0815000000000003E-2</v>
      </c>
      <c r="S87" s="50">
        <v>3.2861000000000001E-2</v>
      </c>
      <c r="T87">
        <v>2.1549999999999998</v>
      </c>
      <c r="U87">
        <v>3.1159599999999999E-2</v>
      </c>
      <c r="W87" t="str">
        <f t="shared" si="4"/>
        <v>**</v>
      </c>
    </row>
    <row r="88" spans="16:23" x14ac:dyDescent="0.25">
      <c r="P88">
        <v>87</v>
      </c>
      <c r="Q88" t="s">
        <v>759</v>
      </c>
      <c r="R88" s="50">
        <v>5.7723999999999998E-2</v>
      </c>
      <c r="S88" s="50">
        <v>1.2336E-2</v>
      </c>
      <c r="T88">
        <v>4.6791999999999998</v>
      </c>
      <c r="U88" s="50">
        <v>2.88E-6</v>
      </c>
      <c r="W88" t="str">
        <f t="shared" si="4"/>
        <v>***</v>
      </c>
    </row>
    <row r="89" spans="16:23" x14ac:dyDescent="0.25">
      <c r="P89">
        <v>88</v>
      </c>
      <c r="Q89" t="s">
        <v>760</v>
      </c>
      <c r="R89" s="50">
        <v>-0.16177</v>
      </c>
      <c r="S89" s="50">
        <v>1.1318E-2</v>
      </c>
      <c r="T89">
        <v>-14.293200000000001</v>
      </c>
      <c r="U89" s="50">
        <v>2.2E-16</v>
      </c>
      <c r="W89" t="str">
        <f t="shared" si="4"/>
        <v>***</v>
      </c>
    </row>
    <row r="90" spans="16:23" x14ac:dyDescent="0.25">
      <c r="P90">
        <v>89</v>
      </c>
      <c r="Q90" t="s">
        <v>761</v>
      </c>
      <c r="R90" s="50">
        <v>-0.12675</v>
      </c>
      <c r="S90" s="50">
        <v>2.1714000000000001E-2</v>
      </c>
      <c r="T90">
        <v>-5.8372000000000002</v>
      </c>
      <c r="U90" s="50">
        <v>5.3100000000000001E-9</v>
      </c>
      <c r="W90" t="str">
        <f t="shared" si="4"/>
        <v>***</v>
      </c>
    </row>
    <row r="91" spans="16:23" x14ac:dyDescent="0.25">
      <c r="P91">
        <v>90</v>
      </c>
      <c r="Q91" t="s">
        <v>762</v>
      </c>
      <c r="R91" s="50">
        <v>5.1658999999999997E-2</v>
      </c>
      <c r="S91" s="50">
        <v>1.5354E-2</v>
      </c>
      <c r="T91">
        <v>3.3645999999999998</v>
      </c>
      <c r="U91">
        <v>7.6650000000000004E-4</v>
      </c>
      <c r="W91" t="str">
        <f t="shared" si="4"/>
        <v>***</v>
      </c>
    </row>
    <row r="92" spans="16:23" x14ac:dyDescent="0.25">
      <c r="P92">
        <v>91</v>
      </c>
      <c r="Q92" t="s">
        <v>763</v>
      </c>
      <c r="R92" s="50">
        <v>4.9979000000000003E-2</v>
      </c>
      <c r="S92" s="50">
        <v>7.5983999999999999E-3</v>
      </c>
      <c r="T92">
        <v>6.5774999999999997</v>
      </c>
      <c r="U92" s="50">
        <v>4.784E-11</v>
      </c>
      <c r="W92" t="str">
        <f t="shared" si="4"/>
        <v>***</v>
      </c>
    </row>
    <row r="93" spans="16:23" x14ac:dyDescent="0.25">
      <c r="P93">
        <v>92</v>
      </c>
      <c r="Q93" t="s">
        <v>764</v>
      </c>
      <c r="R93" s="50">
        <v>8.3867999999999998E-2</v>
      </c>
      <c r="S93" s="50">
        <v>9.4385000000000007E-3</v>
      </c>
      <c r="T93">
        <v>8.8857999999999997</v>
      </c>
      <c r="U93" s="50">
        <v>2.2E-16</v>
      </c>
      <c r="W93" t="str">
        <f t="shared" si="4"/>
        <v>***</v>
      </c>
    </row>
    <row r="94" spans="16:23" x14ac:dyDescent="0.25">
      <c r="P94">
        <v>93</v>
      </c>
      <c r="Q94" t="s">
        <v>765</v>
      </c>
      <c r="R94" s="50">
        <v>0.11605</v>
      </c>
      <c r="S94" s="50">
        <v>2.111E-2</v>
      </c>
      <c r="T94">
        <v>5.4973999999999998</v>
      </c>
      <c r="U94" s="50">
        <v>3.8549999999999998E-8</v>
      </c>
      <c r="W94" t="str">
        <f t="shared" si="4"/>
        <v>***</v>
      </c>
    </row>
    <row r="95" spans="16:23" x14ac:dyDescent="0.25">
      <c r="P95">
        <v>94</v>
      </c>
      <c r="Q95" t="s">
        <v>766</v>
      </c>
      <c r="R95" s="50">
        <v>6.5545000000000006E-2</v>
      </c>
      <c r="S95" s="50">
        <v>1.1949E-2</v>
      </c>
      <c r="T95">
        <v>5.4852999999999996</v>
      </c>
      <c r="U95" s="50">
        <v>4.1280000000000003E-8</v>
      </c>
      <c r="W95" t="str">
        <f t="shared" si="4"/>
        <v>***</v>
      </c>
    </row>
    <row r="96" spans="16:23" x14ac:dyDescent="0.25">
      <c r="P96">
        <v>95</v>
      </c>
      <c r="Q96" t="s">
        <v>767</v>
      </c>
      <c r="R96" s="50">
        <v>5.2680999999999999E-2</v>
      </c>
      <c r="S96" s="50">
        <v>2.8454E-2</v>
      </c>
      <c r="T96">
        <v>1.8514999999999999</v>
      </c>
      <c r="U96">
        <v>6.4101099999999994E-2</v>
      </c>
      <c r="W96" t="str">
        <f t="shared" si="4"/>
        <v>*</v>
      </c>
    </row>
    <row r="97" spans="16:23" x14ac:dyDescent="0.25">
      <c r="P97">
        <v>96</v>
      </c>
      <c r="Q97" t="s">
        <v>768</v>
      </c>
      <c r="R97" s="50">
        <v>-0.11249000000000001</v>
      </c>
      <c r="S97" s="50">
        <v>1.0514000000000001E-2</v>
      </c>
      <c r="T97">
        <v>-10.6996</v>
      </c>
      <c r="U97" s="50">
        <v>2.2E-16</v>
      </c>
      <c r="W97" t="str">
        <f t="shared" si="4"/>
        <v>***</v>
      </c>
    </row>
    <row r="98" spans="16:23" x14ac:dyDescent="0.25">
      <c r="P98">
        <v>97</v>
      </c>
      <c r="Q98" t="s">
        <v>769</v>
      </c>
      <c r="R98" s="50">
        <v>-0.22508</v>
      </c>
      <c r="S98" s="50">
        <v>1.1945000000000001E-2</v>
      </c>
      <c r="T98">
        <v>-18.843</v>
      </c>
      <c r="U98" s="50">
        <v>2.2E-16</v>
      </c>
      <c r="W98" t="str">
        <f t="shared" si="4"/>
        <v>***</v>
      </c>
    </row>
    <row r="99" spans="16:23" x14ac:dyDescent="0.25">
      <c r="P99">
        <v>98</v>
      </c>
      <c r="Q99" t="s">
        <v>770</v>
      </c>
      <c r="R99" s="50">
        <v>-0.25046000000000002</v>
      </c>
      <c r="S99" s="50">
        <v>1.7885000000000002E-2</v>
      </c>
      <c r="T99">
        <v>-14.0044</v>
      </c>
      <c r="U99" s="50">
        <v>2.2E-16</v>
      </c>
      <c r="W99" t="str">
        <f t="shared" si="4"/>
        <v>***</v>
      </c>
    </row>
    <row r="100" spans="16:23" x14ac:dyDescent="0.25">
      <c r="P100">
        <v>99</v>
      </c>
      <c r="Q100" t="s">
        <v>771</v>
      </c>
      <c r="R100" s="50">
        <v>-0.26957999999999999</v>
      </c>
      <c r="S100" s="50">
        <v>1.5313999999999999E-2</v>
      </c>
      <c r="T100">
        <v>-17.603300000000001</v>
      </c>
      <c r="U100" s="50">
        <v>2.2E-16</v>
      </c>
      <c r="W100" t="str">
        <f t="shared" si="4"/>
        <v>***</v>
      </c>
    </row>
    <row r="101" spans="16:23" x14ac:dyDescent="0.25">
      <c r="P101">
        <v>100</v>
      </c>
      <c r="Q101" t="s">
        <v>772</v>
      </c>
      <c r="R101" s="50">
        <v>-0.27805999999999997</v>
      </c>
      <c r="S101" s="50">
        <v>2.1739000000000001E-2</v>
      </c>
      <c r="T101">
        <v>-12.790900000000001</v>
      </c>
      <c r="U101" s="50">
        <v>2.2E-16</v>
      </c>
      <c r="W101" t="str">
        <f t="shared" si="4"/>
        <v>***</v>
      </c>
    </row>
    <row r="102" spans="16:23" x14ac:dyDescent="0.25">
      <c r="P102">
        <v>101</v>
      </c>
      <c r="Q102" t="s">
        <v>773</v>
      </c>
      <c r="R102" s="50">
        <v>-1.5793E-4</v>
      </c>
      <c r="S102" s="50">
        <v>4.0479000000000003E-5</v>
      </c>
      <c r="T102">
        <v>-3.9015</v>
      </c>
      <c r="U102" s="50">
        <v>9.5589999999999998E-5</v>
      </c>
      <c r="W102" t="str">
        <f t="shared" si="4"/>
        <v>***</v>
      </c>
    </row>
    <row r="103" spans="16:23" x14ac:dyDescent="0.25">
      <c r="P103">
        <v>102</v>
      </c>
      <c r="Q103" t="s">
        <v>774</v>
      </c>
      <c r="R103" s="50">
        <v>-2.2998000000000001E-2</v>
      </c>
      <c r="S103" s="50">
        <v>7.8767000000000004E-3</v>
      </c>
      <c r="T103">
        <v>-2.9197000000000002</v>
      </c>
      <c r="U103">
        <v>3.5035000000000001E-3</v>
      </c>
      <c r="W103" t="str">
        <f t="shared" si="4"/>
        <v>***</v>
      </c>
    </row>
    <row r="104" spans="16:23" x14ac:dyDescent="0.25">
      <c r="P104">
        <v>103</v>
      </c>
      <c r="Q104" t="s">
        <v>775</v>
      </c>
      <c r="R104" s="50">
        <v>-5.7585000000000004E-4</v>
      </c>
      <c r="S104" s="50">
        <v>2.1175E-3</v>
      </c>
      <c r="T104">
        <v>-0.27200000000000002</v>
      </c>
      <c r="U104">
        <v>0.78565940000000001</v>
      </c>
      <c r="W104" t="str">
        <f t="shared" si="4"/>
        <v/>
      </c>
    </row>
    <row r="105" spans="16:23" x14ac:dyDescent="0.25">
      <c r="P105">
        <v>104</v>
      </c>
      <c r="Q105" t="s">
        <v>776</v>
      </c>
      <c r="R105" s="50">
        <v>8.3895999999999998E-2</v>
      </c>
      <c r="S105" s="50">
        <v>1.6789999999999999E-2</v>
      </c>
      <c r="T105">
        <v>4.9965999999999999</v>
      </c>
      <c r="U105" s="50">
        <v>5.834E-7</v>
      </c>
      <c r="W105" t="str">
        <f t="shared" si="4"/>
        <v>***</v>
      </c>
    </row>
    <row r="106" spans="16:23" x14ac:dyDescent="0.25">
      <c r="P106">
        <v>105</v>
      </c>
      <c r="Q106" t="s">
        <v>777</v>
      </c>
      <c r="R106" s="50">
        <v>-0.12243</v>
      </c>
      <c r="S106" s="50">
        <v>1.7472000000000001E-2</v>
      </c>
      <c r="T106">
        <v>-7.0072000000000001</v>
      </c>
      <c r="U106" s="50">
        <v>2.4320000000000001E-12</v>
      </c>
      <c r="W106" t="str">
        <f t="shared" si="4"/>
        <v>***</v>
      </c>
    </row>
    <row r="107" spans="16:23" x14ac:dyDescent="0.25">
      <c r="P107">
        <v>106</v>
      </c>
      <c r="Q107" t="s">
        <v>778</v>
      </c>
      <c r="R107" s="50">
        <v>-2.9201999999999999E-2</v>
      </c>
      <c r="S107" s="50">
        <v>1.2846E-2</v>
      </c>
      <c r="T107">
        <v>-2.2732999999999999</v>
      </c>
      <c r="U107">
        <v>2.3006700000000001E-2</v>
      </c>
      <c r="W107" t="str">
        <f t="shared" si="4"/>
        <v>**</v>
      </c>
    </row>
    <row r="108" spans="16:23" x14ac:dyDescent="0.25">
      <c r="P108">
        <v>107</v>
      </c>
      <c r="Q108" t="s">
        <v>779</v>
      </c>
      <c r="R108" s="50">
        <v>-2.2609000000000001E-2</v>
      </c>
      <c r="S108" s="50">
        <v>1.3969000000000001E-2</v>
      </c>
      <c r="T108">
        <v>-1.6186</v>
      </c>
      <c r="U108">
        <v>0.1055408</v>
      </c>
      <c r="W108" t="str">
        <f t="shared" si="4"/>
        <v/>
      </c>
    </row>
    <row r="109" spans="16:23" x14ac:dyDescent="0.25">
      <c r="P109">
        <v>108</v>
      </c>
      <c r="Q109" t="s">
        <v>780</v>
      </c>
      <c r="R109" s="50">
        <v>-2.7231000000000002E-2</v>
      </c>
      <c r="S109" s="50">
        <v>8.1188000000000007E-3</v>
      </c>
      <c r="T109">
        <v>-3.3540000000000001</v>
      </c>
      <c r="U109">
        <v>7.9639999999999995E-4</v>
      </c>
      <c r="W109" t="str">
        <f t="shared" si="4"/>
        <v>***</v>
      </c>
    </row>
    <row r="110" spans="16:23" x14ac:dyDescent="0.25">
      <c r="P110">
        <v>109</v>
      </c>
      <c r="Q110" t="s">
        <v>781</v>
      </c>
      <c r="R110" s="50">
        <v>-2.1940999999999999E-2</v>
      </c>
      <c r="S110" s="50">
        <v>9.1713999999999997E-3</v>
      </c>
      <c r="T110">
        <v>-2.3923000000000001</v>
      </c>
      <c r="U110">
        <v>1.67425E-2</v>
      </c>
      <c r="W110" t="str">
        <f t="shared" si="4"/>
        <v>**</v>
      </c>
    </row>
    <row r="111" spans="16:23" x14ac:dyDescent="0.25">
      <c r="P111">
        <v>110</v>
      </c>
      <c r="Q111" t="s">
        <v>782</v>
      </c>
      <c r="R111" s="50">
        <v>-3.4478000000000002E-2</v>
      </c>
      <c r="S111" s="50">
        <v>7.4222000000000003E-3</v>
      </c>
      <c r="T111">
        <v>-4.6452</v>
      </c>
      <c r="U111" s="50">
        <v>3.3969999999999998E-6</v>
      </c>
      <c r="W111" t="str">
        <f t="shared" si="4"/>
        <v>***</v>
      </c>
    </row>
    <row r="112" spans="16:23" x14ac:dyDescent="0.25">
      <c r="P112">
        <v>111</v>
      </c>
      <c r="Q112" t="s">
        <v>783</v>
      </c>
      <c r="R112" s="50">
        <v>-0.32105</v>
      </c>
      <c r="S112" s="50">
        <v>5.3872999999999997E-2</v>
      </c>
      <c r="T112">
        <v>-5.9593999999999996</v>
      </c>
      <c r="U112" s="50">
        <v>2.5319999999999999E-9</v>
      </c>
      <c r="W112" t="str">
        <f t="shared" si="4"/>
        <v>***</v>
      </c>
    </row>
    <row r="113" spans="16:23" x14ac:dyDescent="0.25">
      <c r="P113">
        <v>112</v>
      </c>
      <c r="Q113" t="s">
        <v>784</v>
      </c>
      <c r="R113" s="50">
        <v>-3.5832000000000003E-2</v>
      </c>
      <c r="S113" s="50">
        <v>1.4473E-2</v>
      </c>
      <c r="T113">
        <v>-2.4759000000000002</v>
      </c>
      <c r="U113">
        <v>1.3291499999999999E-2</v>
      </c>
      <c r="W113" t="str">
        <f t="shared" si="4"/>
        <v>**</v>
      </c>
    </row>
    <row r="114" spans="16:23" x14ac:dyDescent="0.25">
      <c r="P114">
        <v>113</v>
      </c>
      <c r="Q114" t="s">
        <v>785</v>
      </c>
      <c r="R114" s="50">
        <v>-7.2357000000000005E-2</v>
      </c>
      <c r="S114" s="50">
        <v>2.5579000000000001E-2</v>
      </c>
      <c r="T114">
        <v>-2.8288000000000002</v>
      </c>
      <c r="U114">
        <v>4.6721999999999996E-3</v>
      </c>
      <c r="W114" t="str">
        <f t="shared" si="4"/>
        <v>***</v>
      </c>
    </row>
    <row r="115" spans="16:23" x14ac:dyDescent="0.25">
      <c r="P115">
        <v>114</v>
      </c>
      <c r="Q115" t="s">
        <v>786</v>
      </c>
      <c r="R115" s="50">
        <v>0.15823999999999999</v>
      </c>
      <c r="S115" s="50">
        <v>1.2818E-2</v>
      </c>
      <c r="T115">
        <v>12.344900000000001</v>
      </c>
      <c r="U115" s="50">
        <v>2.2E-16</v>
      </c>
      <c r="W115" t="str">
        <f t="shared" si="4"/>
        <v>***</v>
      </c>
    </row>
    <row r="116" spans="16:23" x14ac:dyDescent="0.25">
      <c r="P116">
        <v>115</v>
      </c>
      <c r="Q116" t="s">
        <v>787</v>
      </c>
      <c r="R116" s="50">
        <v>0.10413</v>
      </c>
      <c r="S116" s="50">
        <v>2.0007E-2</v>
      </c>
      <c r="T116">
        <v>5.2045000000000003</v>
      </c>
      <c r="U116" s="50">
        <v>1.945E-7</v>
      </c>
      <c r="W116" t="str">
        <f t="shared" si="4"/>
        <v>***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D5B00-26FA-475D-98E8-49EC16D72BDB}">
  <dimension ref="A1:W116"/>
  <sheetViews>
    <sheetView workbookViewId="0">
      <selection sqref="A1:A58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0.5703125" bestFit="1" customWidth="1"/>
    <col min="4" max="4" width="12.5703125" bestFit="1" customWidth="1"/>
    <col min="5" max="5" width="12.7109375" bestFit="1" customWidth="1"/>
    <col min="6" max="6" width="13.140625" bestFit="1" customWidth="1"/>
    <col min="7" max="7" width="12.7109375" bestFit="1" customWidth="1"/>
    <col min="8" max="8" width="10.5703125" bestFit="1" customWidth="1"/>
    <col min="17" max="17" width="29" bestFit="1" customWidth="1"/>
    <col min="18" max="18" width="9" bestFit="1" customWidth="1"/>
    <col min="20" max="20" width="8.7109375" bestFit="1" customWidth="1"/>
    <col min="21" max="21" width="10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0">
        <v>1.365267E-2</v>
      </c>
      <c r="D2" s="50">
        <v>0.1131781</v>
      </c>
      <c r="E2">
        <v>0.16441003770000001</v>
      </c>
      <c r="F2" s="50">
        <v>0.43186600000000003</v>
      </c>
      <c r="G2">
        <v>0.17806270399999999</v>
      </c>
      <c r="H2" s="50">
        <v>0.40629860000000001</v>
      </c>
      <c r="J2" t="str">
        <f>IF(D2&lt;0.01,"***",IF(D2&lt;0.05,"**",IF(D2&lt;0.1,"*","")))</f>
        <v/>
      </c>
      <c r="L2" t="str">
        <f>IF(F2&lt;0.01,"***",IF(F2&lt;0.05,"**",IF(F2&lt;0.1,"*","")))</f>
        <v/>
      </c>
      <c r="N2" t="str">
        <f>IF(H2&lt;0.01,"***",IF(H2&lt;0.05,"**",IF(H2&lt;0.1,"*","")))</f>
        <v/>
      </c>
      <c r="P2">
        <v>1</v>
      </c>
      <c r="Q2" t="s">
        <v>273</v>
      </c>
      <c r="R2" s="50">
        <v>1.9384999999999999</v>
      </c>
      <c r="S2" s="50">
        <v>5.5578000000000002E-2</v>
      </c>
      <c r="T2">
        <v>34.878799999999998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0">
        <v>-5.1784289999999997E-5</v>
      </c>
      <c r="D3" s="50">
        <v>1.8926730000000001E-3</v>
      </c>
      <c r="E3">
        <v>4.2167144E-3</v>
      </c>
      <c r="F3" s="50">
        <v>0</v>
      </c>
      <c r="G3">
        <v>4.1649301999999999E-3</v>
      </c>
      <c r="H3" s="50">
        <v>0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***</v>
      </c>
      <c r="N3" t="str">
        <f t="shared" ref="N3:N58" si="2">IF(H3&lt;0.01,"***",IF(H3&lt;0.05,"**",IF(H3&lt;0.1,"*","")))</f>
        <v>***</v>
      </c>
      <c r="P3">
        <v>2</v>
      </c>
      <c r="Q3" t="s">
        <v>11</v>
      </c>
      <c r="R3" s="50">
        <v>1.0578000000000001E-2</v>
      </c>
      <c r="S3" s="50">
        <v>6.9346E-3</v>
      </c>
      <c r="T3">
        <v>1.5254000000000001</v>
      </c>
      <c r="U3">
        <v>0.127163</v>
      </c>
      <c r="W3" t="str">
        <f t="shared" ref="W3:W66" si="3">IF(U3&lt;0.01,"***",IF(U3&lt;0.05,"**",IF(U3&lt;0.1,"*","")))</f>
        <v/>
      </c>
    </row>
    <row r="4" spans="1:23" x14ac:dyDescent="0.25">
      <c r="A4">
        <v>3</v>
      </c>
      <c r="B4" t="s">
        <v>197</v>
      </c>
      <c r="C4" s="50">
        <v>3.3030089999999998E-2</v>
      </c>
      <c r="D4" s="50">
        <v>0</v>
      </c>
      <c r="E4">
        <v>0.37016198090000002</v>
      </c>
      <c r="F4" s="50">
        <v>1.6096020000000001E-5</v>
      </c>
      <c r="G4">
        <v>0.40319207299999998</v>
      </c>
      <c r="H4" s="50">
        <v>4.667115E-6</v>
      </c>
      <c r="J4" t="str">
        <f t="shared" si="0"/>
        <v>***</v>
      </c>
      <c r="L4" t="str">
        <f t="shared" si="1"/>
        <v>***</v>
      </c>
      <c r="N4" t="str">
        <f t="shared" si="2"/>
        <v>***</v>
      </c>
      <c r="P4">
        <v>3</v>
      </c>
      <c r="Q4" t="s">
        <v>16</v>
      </c>
      <c r="R4" s="50">
        <v>-1.3064000000000001E-4</v>
      </c>
      <c r="S4" s="50">
        <v>1.5119E-5</v>
      </c>
      <c r="T4">
        <v>-8.6402000000000001</v>
      </c>
      <c r="U4" s="50">
        <v>2.2E-16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0">
        <v>4.1020349999999997E-2</v>
      </c>
      <c r="D5" s="50">
        <v>0</v>
      </c>
      <c r="E5">
        <v>0.28827733169999997</v>
      </c>
      <c r="F5" s="50">
        <v>8.711681E-4</v>
      </c>
      <c r="G5">
        <v>0.32929768320000002</v>
      </c>
      <c r="H5" s="50">
        <v>2.027621E-4</v>
      </c>
      <c r="J5" t="str">
        <f t="shared" si="0"/>
        <v>***</v>
      </c>
      <c r="L5" t="str">
        <f t="shared" si="1"/>
        <v>***</v>
      </c>
      <c r="N5" t="str">
        <f t="shared" si="2"/>
        <v>***</v>
      </c>
      <c r="P5">
        <v>4</v>
      </c>
      <c r="Q5" t="s">
        <v>197</v>
      </c>
      <c r="R5" s="50">
        <v>2.6107000000000002E-2</v>
      </c>
      <c r="S5" s="50">
        <v>2.9897999999999999E-3</v>
      </c>
      <c r="T5">
        <v>8.7319999999999993</v>
      </c>
      <c r="U5" s="50">
        <v>2.2E-16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0">
        <v>2.6549989999999999E-2</v>
      </c>
      <c r="D6" s="50">
        <v>7.6894050000000004E-13</v>
      </c>
      <c r="E6">
        <v>0.48717922460000002</v>
      </c>
      <c r="F6" s="50">
        <v>1.8982449999999999E-8</v>
      </c>
      <c r="G6">
        <v>0.51372921910000002</v>
      </c>
      <c r="H6" s="50">
        <v>7.4513969999999992E-9</v>
      </c>
      <c r="J6" t="str">
        <f t="shared" si="0"/>
        <v>***</v>
      </c>
      <c r="L6" t="str">
        <f t="shared" si="1"/>
        <v>***</v>
      </c>
      <c r="N6" t="str">
        <f t="shared" si="2"/>
        <v>***</v>
      </c>
      <c r="P6">
        <v>5</v>
      </c>
      <c r="Q6" t="s">
        <v>200</v>
      </c>
      <c r="R6" s="50">
        <v>3.5629000000000001E-2</v>
      </c>
      <c r="S6" s="50">
        <v>3.0915999999999999E-3</v>
      </c>
      <c r="T6">
        <v>11.5243</v>
      </c>
      <c r="U6" s="50">
        <v>2.2E-16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0">
        <v>8.8609359999999998E-3</v>
      </c>
      <c r="D7" s="50">
        <v>0.28361229999999998</v>
      </c>
      <c r="E7">
        <v>0.1626968389</v>
      </c>
      <c r="F7" s="50">
        <v>0.40406120000000001</v>
      </c>
      <c r="G7">
        <v>0.1715577744</v>
      </c>
      <c r="H7" s="50">
        <v>0.3911751</v>
      </c>
      <c r="J7" t="str">
        <f t="shared" si="0"/>
        <v/>
      </c>
      <c r="L7" t="str">
        <f t="shared" si="1"/>
        <v/>
      </c>
      <c r="N7" t="str">
        <f t="shared" si="2"/>
        <v/>
      </c>
      <c r="P7">
        <v>6</v>
      </c>
      <c r="Q7" t="s">
        <v>204</v>
      </c>
      <c r="R7" s="50">
        <v>1.7439E-2</v>
      </c>
      <c r="S7" s="50">
        <v>3.1402000000000001E-3</v>
      </c>
      <c r="T7">
        <v>5.5536000000000003</v>
      </c>
      <c r="U7" s="50">
        <v>2.7990000000000001E-8</v>
      </c>
      <c r="W7" t="str">
        <f t="shared" si="3"/>
        <v>***</v>
      </c>
    </row>
    <row r="8" spans="1:23" x14ac:dyDescent="0.25">
      <c r="A8">
        <v>7</v>
      </c>
      <c r="B8" t="s">
        <v>207</v>
      </c>
      <c r="C8" s="50">
        <v>8.552013E-2</v>
      </c>
      <c r="D8" s="50">
        <v>0</v>
      </c>
      <c r="E8">
        <v>0.55856733729999997</v>
      </c>
      <c r="F8" s="50">
        <v>1.259474E-2</v>
      </c>
      <c r="G8">
        <v>0.64408747119999998</v>
      </c>
      <c r="H8" s="50">
        <v>5.0338839999999998E-3</v>
      </c>
      <c r="J8" t="str">
        <f t="shared" si="0"/>
        <v>***</v>
      </c>
      <c r="L8" t="str">
        <f t="shared" si="1"/>
        <v>**</v>
      </c>
      <c r="N8" t="str">
        <f t="shared" si="2"/>
        <v>***</v>
      </c>
      <c r="P8">
        <v>7</v>
      </c>
      <c r="Q8" t="s">
        <v>206</v>
      </c>
      <c r="R8" s="50">
        <v>5.8183000000000002E-3</v>
      </c>
      <c r="S8" s="50">
        <v>6.8024000000000001E-3</v>
      </c>
      <c r="T8">
        <v>0.85529999999999995</v>
      </c>
      <c r="U8">
        <v>0.3923721</v>
      </c>
      <c r="W8" t="str">
        <f t="shared" si="3"/>
        <v/>
      </c>
    </row>
    <row r="9" spans="1:23" x14ac:dyDescent="0.25">
      <c r="A9">
        <v>8</v>
      </c>
      <c r="B9" t="s">
        <v>209</v>
      </c>
      <c r="C9" s="50">
        <v>0.1146755</v>
      </c>
      <c r="D9" s="50">
        <v>0</v>
      </c>
      <c r="E9">
        <v>0.23123901350000001</v>
      </c>
      <c r="F9" s="50">
        <v>0.30468669999999998</v>
      </c>
      <c r="G9">
        <v>0.34591446539999998</v>
      </c>
      <c r="H9" s="50">
        <v>0.13477359999999999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7.5073000000000001E-2</v>
      </c>
      <c r="S9" s="50">
        <v>7.6096000000000002E-3</v>
      </c>
      <c r="T9">
        <v>9.8656000000000006</v>
      </c>
      <c r="U9" s="50">
        <v>2.2E-16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0">
        <v>9.4808519999999993E-2</v>
      </c>
      <c r="D10" s="50">
        <v>1.1911859999999999E-8</v>
      </c>
      <c r="E10">
        <v>0.9708175497</v>
      </c>
      <c r="F10" s="50">
        <v>1.6027960000000001E-2</v>
      </c>
      <c r="G10">
        <v>1.0656260653</v>
      </c>
      <c r="H10" s="50">
        <v>9.8868879999999999E-3</v>
      </c>
      <c r="J10" t="str">
        <f t="shared" si="0"/>
        <v>***</v>
      </c>
      <c r="L10" t="str">
        <f t="shared" si="1"/>
        <v>**</v>
      </c>
      <c r="N10" t="str">
        <f t="shared" si="2"/>
        <v>***</v>
      </c>
      <c r="P10">
        <v>9</v>
      </c>
      <c r="Q10" t="s">
        <v>209</v>
      </c>
      <c r="R10" s="50">
        <v>0.11035</v>
      </c>
      <c r="S10" s="50">
        <v>7.7621000000000001E-3</v>
      </c>
      <c r="T10">
        <v>14.216200000000001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0">
        <v>4.008602E-2</v>
      </c>
      <c r="D11" s="50">
        <v>0</v>
      </c>
      <c r="E11">
        <v>-8.0980052100000005E-2</v>
      </c>
      <c r="F11" s="50">
        <v>8.2922799999999997E-8</v>
      </c>
      <c r="G11">
        <v>-4.0894030499999998E-2</v>
      </c>
      <c r="H11" s="50">
        <v>8.2799770000000009E-3</v>
      </c>
      <c r="J11" t="str">
        <f t="shared" si="0"/>
        <v>***</v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7.6651999999999998E-2</v>
      </c>
      <c r="S11" s="50">
        <v>1.3457E-2</v>
      </c>
      <c r="T11">
        <v>5.6959</v>
      </c>
      <c r="U11" s="50">
        <v>1.227E-8</v>
      </c>
      <c r="W11" t="str">
        <f t="shared" si="3"/>
        <v>***</v>
      </c>
    </row>
    <row r="12" spans="1:23" x14ac:dyDescent="0.25">
      <c r="A12">
        <v>11</v>
      </c>
      <c r="B12" t="s">
        <v>13</v>
      </c>
      <c r="C12" s="50">
        <v>4.6062190000000003E-2</v>
      </c>
      <c r="D12" s="50">
        <v>0</v>
      </c>
      <c r="E12">
        <v>-6.3341426300000003E-2</v>
      </c>
      <c r="F12" s="50">
        <v>1.5008469999999999E-2</v>
      </c>
      <c r="G12">
        <v>-1.7279236699999999E-2</v>
      </c>
      <c r="H12" s="50">
        <v>0.51222129999999999</v>
      </c>
      <c r="J12" t="str">
        <f t="shared" si="0"/>
        <v>***</v>
      </c>
      <c r="L12" t="str">
        <f t="shared" si="1"/>
        <v>**</v>
      </c>
      <c r="N12" t="str">
        <f t="shared" si="2"/>
        <v/>
      </c>
      <c r="P12">
        <v>11</v>
      </c>
      <c r="Q12" t="s">
        <v>15</v>
      </c>
      <c r="R12" s="50">
        <v>4.1598999999999997E-2</v>
      </c>
      <c r="S12" s="50">
        <v>1.325E-3</v>
      </c>
      <c r="T12">
        <v>31.395</v>
      </c>
      <c r="U12" s="50">
        <v>2.2E-16</v>
      </c>
      <c r="W12" t="str">
        <f t="shared" si="3"/>
        <v>***</v>
      </c>
    </row>
    <row r="13" spans="1:23" x14ac:dyDescent="0.25">
      <c r="A13">
        <v>12</v>
      </c>
      <c r="B13" t="s">
        <v>14</v>
      </c>
      <c r="C13" s="50">
        <v>4.7356049999999997E-2</v>
      </c>
      <c r="D13" s="50">
        <v>0</v>
      </c>
      <c r="E13">
        <v>-1.9440200000000001E-3</v>
      </c>
      <c r="F13" s="50">
        <v>0.95088349999999999</v>
      </c>
      <c r="G13">
        <v>4.5412032499999998E-2</v>
      </c>
      <c r="H13" s="50">
        <v>0.13458899999999999</v>
      </c>
      <c r="J13" t="str">
        <f t="shared" si="0"/>
        <v>***</v>
      </c>
      <c r="L13" t="str">
        <f t="shared" si="1"/>
        <v/>
      </c>
      <c r="N13" t="str">
        <f t="shared" si="2"/>
        <v/>
      </c>
      <c r="P13">
        <v>12</v>
      </c>
      <c r="Q13" t="s">
        <v>13</v>
      </c>
      <c r="R13" s="50">
        <v>4.7246000000000003E-2</v>
      </c>
      <c r="S13" s="50">
        <v>2.1032999999999998E-3</v>
      </c>
      <c r="T13">
        <v>22.462199999999999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0">
        <v>-4.2554700000000001E-2</v>
      </c>
      <c r="D14" s="50">
        <v>0</v>
      </c>
      <c r="E14">
        <v>-0.2029079338</v>
      </c>
      <c r="F14" s="50">
        <v>3.8702910000000002E-9</v>
      </c>
      <c r="G14">
        <v>-0.24546263290000001</v>
      </c>
      <c r="H14" s="50">
        <v>3.2298609999999999E-12</v>
      </c>
      <c r="J14" t="str">
        <f t="shared" si="0"/>
        <v>***</v>
      </c>
      <c r="L14" t="str">
        <f t="shared" si="1"/>
        <v>***</v>
      </c>
      <c r="N14" t="str">
        <f t="shared" si="2"/>
        <v>***</v>
      </c>
      <c r="P14">
        <v>13</v>
      </c>
      <c r="Q14" t="s">
        <v>14</v>
      </c>
      <c r="R14" s="50">
        <v>4.7391000000000003E-2</v>
      </c>
      <c r="S14" s="50">
        <v>2.3995000000000002E-3</v>
      </c>
      <c r="T14">
        <v>19.750599999999999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0">
        <v>-3.2489480000000001E-2</v>
      </c>
      <c r="D15" s="50">
        <v>0</v>
      </c>
      <c r="E15">
        <v>-1.9757649E-3</v>
      </c>
      <c r="F15" s="50">
        <v>0.94666609999999995</v>
      </c>
      <c r="G15">
        <v>-3.4465248900000002E-2</v>
      </c>
      <c r="H15" s="50">
        <v>0.5305571</v>
      </c>
      <c r="J15" t="str">
        <f t="shared" si="0"/>
        <v>***</v>
      </c>
      <c r="L15" t="str">
        <f t="shared" si="1"/>
        <v/>
      </c>
      <c r="N15" t="str">
        <f t="shared" si="2"/>
        <v/>
      </c>
      <c r="P15">
        <v>14</v>
      </c>
      <c r="Q15" t="s">
        <v>59</v>
      </c>
      <c r="R15" s="50">
        <v>-3.8759000000000002E-2</v>
      </c>
      <c r="S15" s="50">
        <v>2.6716999999999999E-3</v>
      </c>
      <c r="T15">
        <v>-14.5075</v>
      </c>
      <c r="U15" s="50">
        <v>2.2E-16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0">
        <v>1.2797709999999999E-4</v>
      </c>
      <c r="D16" s="50">
        <v>0</v>
      </c>
      <c r="E16">
        <v>3.1620740000000002E-4</v>
      </c>
      <c r="F16" s="50">
        <v>0</v>
      </c>
      <c r="G16">
        <v>4.4418449999999998E-4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-3.2452000000000002E-2</v>
      </c>
      <c r="S16" s="50">
        <v>2.8097999999999999E-3</v>
      </c>
      <c r="T16">
        <v>-11.5494</v>
      </c>
      <c r="U16" s="50">
        <v>2.2E-16</v>
      </c>
      <c r="W16" t="str">
        <f t="shared" si="3"/>
        <v>***</v>
      </c>
    </row>
    <row r="17" spans="1:23" x14ac:dyDescent="0.25">
      <c r="A17">
        <v>16</v>
      </c>
      <c r="B17" t="s">
        <v>33</v>
      </c>
      <c r="C17" s="50">
        <v>-5.0200380000000001E-3</v>
      </c>
      <c r="D17" s="50">
        <v>0</v>
      </c>
      <c r="E17">
        <v>-2.1727487199999999E-2</v>
      </c>
      <c r="F17" s="50">
        <v>0</v>
      </c>
      <c r="G17">
        <v>-2.6747525599999999E-2</v>
      </c>
      <c r="H17" s="50">
        <v>0</v>
      </c>
      <c r="J17" t="str">
        <f t="shared" si="0"/>
        <v>***</v>
      </c>
      <c r="L17" t="str">
        <f t="shared" si="1"/>
        <v>***</v>
      </c>
      <c r="N17" t="str">
        <f t="shared" si="2"/>
        <v>***</v>
      </c>
      <c r="P17">
        <v>16</v>
      </c>
      <c r="Q17" t="s">
        <v>18</v>
      </c>
      <c r="R17" s="50">
        <v>1.2205999999999999E-4</v>
      </c>
      <c r="S17" s="50">
        <v>1.8897000000000001E-6</v>
      </c>
      <c r="T17">
        <v>64.592699999999994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0">
        <v>5.2438829999999999E-2</v>
      </c>
      <c r="D18" s="50">
        <v>0</v>
      </c>
      <c r="E18">
        <v>0.24646504590000001</v>
      </c>
      <c r="F18" s="50">
        <v>0</v>
      </c>
      <c r="G18">
        <v>0.29890387550000003</v>
      </c>
      <c r="H18" s="50">
        <v>0</v>
      </c>
      <c r="J18" t="str">
        <f t="shared" si="0"/>
        <v>***</v>
      </c>
      <c r="L18" t="str">
        <f t="shared" si="1"/>
        <v>***</v>
      </c>
      <c r="N18" t="str">
        <f t="shared" si="2"/>
        <v>***</v>
      </c>
      <c r="P18">
        <v>17</v>
      </c>
      <c r="Q18" t="s">
        <v>33</v>
      </c>
      <c r="R18" s="50">
        <v>-4.6135999999999998E-3</v>
      </c>
      <c r="S18" s="50">
        <v>2.6767000000000002E-4</v>
      </c>
      <c r="T18">
        <v>-17.236000000000001</v>
      </c>
      <c r="U18" s="50">
        <v>2.2E-16</v>
      </c>
      <c r="W18" t="str">
        <f t="shared" si="3"/>
        <v>***</v>
      </c>
    </row>
    <row r="19" spans="1:23" x14ac:dyDescent="0.25">
      <c r="A19">
        <v>18</v>
      </c>
      <c r="B19" t="s">
        <v>21</v>
      </c>
      <c r="C19" s="50">
        <v>-1.506994E-2</v>
      </c>
      <c r="D19" s="50">
        <v>7.2170159999999997E-2</v>
      </c>
      <c r="E19">
        <v>-1.1523447500000001E-2</v>
      </c>
      <c r="F19" s="50">
        <v>0.94511820000000002</v>
      </c>
      <c r="G19">
        <v>-2.65933847E-2</v>
      </c>
      <c r="H19" s="50">
        <v>0.87827820000000001</v>
      </c>
      <c r="J19" t="str">
        <f t="shared" si="0"/>
        <v>*</v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4.7829000000000003E-2</v>
      </c>
      <c r="S19" s="50">
        <v>2.8051999999999999E-3</v>
      </c>
      <c r="T19">
        <v>17.0501</v>
      </c>
      <c r="U19" s="50">
        <v>2.2E-16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0">
        <v>9.0207999999999997E-2</v>
      </c>
      <c r="D20" s="50">
        <v>0</v>
      </c>
      <c r="E20">
        <v>0.12869296969999999</v>
      </c>
      <c r="F20" s="50">
        <v>3.017481E-2</v>
      </c>
      <c r="G20">
        <v>0.21890097210000001</v>
      </c>
      <c r="H20" s="50">
        <v>3.3837899999999998E-4</v>
      </c>
      <c r="J20" t="str">
        <f t="shared" si="0"/>
        <v>***</v>
      </c>
      <c r="L20" t="str">
        <f t="shared" si="1"/>
        <v>**</v>
      </c>
      <c r="N20" t="str">
        <f t="shared" si="2"/>
        <v>***</v>
      </c>
      <c r="P20">
        <v>19</v>
      </c>
      <c r="Q20" t="s">
        <v>21</v>
      </c>
      <c r="R20" s="50">
        <v>-1.4853999999999999E-2</v>
      </c>
      <c r="S20" s="50">
        <v>7.5218000000000004E-3</v>
      </c>
      <c r="T20">
        <v>-1.9748000000000001</v>
      </c>
      <c r="U20">
        <v>4.8291599999999997E-2</v>
      </c>
      <c r="W20" t="str">
        <f t="shared" si="3"/>
        <v>**</v>
      </c>
    </row>
    <row r="21" spans="1:23" x14ac:dyDescent="0.25">
      <c r="A21">
        <v>20</v>
      </c>
      <c r="B21" t="s">
        <v>226</v>
      </c>
      <c r="C21" s="50">
        <v>4.9758959999999998E-2</v>
      </c>
      <c r="D21" s="50">
        <v>0</v>
      </c>
      <c r="E21">
        <v>-7.7084815799999998E-2</v>
      </c>
      <c r="F21" s="50">
        <v>0.21776719999999999</v>
      </c>
      <c r="G21">
        <v>-2.7325857200000001E-2</v>
      </c>
      <c r="H21" s="50">
        <v>0.67983280000000001</v>
      </c>
      <c r="J21" t="str">
        <f t="shared" si="0"/>
        <v>***</v>
      </c>
      <c r="L21" t="str">
        <f t="shared" si="1"/>
        <v/>
      </c>
      <c r="N21" t="str">
        <f t="shared" si="2"/>
        <v/>
      </c>
      <c r="P21">
        <v>20</v>
      </c>
      <c r="Q21" t="s">
        <v>224</v>
      </c>
      <c r="R21" s="50">
        <v>8.7799000000000002E-2</v>
      </c>
      <c r="S21" s="50">
        <v>2.6505999999999999E-3</v>
      </c>
      <c r="T21">
        <v>33.123699999999999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0">
        <v>-6.5422579999999994E-2</v>
      </c>
      <c r="D22" s="50">
        <v>0</v>
      </c>
      <c r="E22">
        <v>-1.7214133199999999E-2</v>
      </c>
      <c r="F22" s="50">
        <v>0.8917136</v>
      </c>
      <c r="G22">
        <v>-8.2636712700000003E-2</v>
      </c>
      <c r="H22" s="50">
        <v>0.48017680000000001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5.1199000000000001E-2</v>
      </c>
      <c r="S22" s="50">
        <v>2.3429000000000002E-3</v>
      </c>
      <c r="T22">
        <v>21.852499999999999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0">
        <v>1.632138E-2</v>
      </c>
      <c r="D23" s="50">
        <v>2.1620039999999999E-3</v>
      </c>
      <c r="E23">
        <v>0.19842915059999999</v>
      </c>
      <c r="F23" s="50">
        <v>4.2650359999999998E-2</v>
      </c>
      <c r="G23">
        <v>0.2147505257</v>
      </c>
      <c r="H23" s="50">
        <v>3.2315629999999998E-2</v>
      </c>
      <c r="J23" t="str">
        <f t="shared" si="0"/>
        <v>***</v>
      </c>
      <c r="L23" t="str">
        <f t="shared" si="1"/>
        <v>**</v>
      </c>
      <c r="N23" t="str">
        <f t="shared" si="2"/>
        <v>**</v>
      </c>
      <c r="P23">
        <v>22</v>
      </c>
      <c r="Q23" t="s">
        <v>230</v>
      </c>
      <c r="R23" s="50">
        <v>-6.5099000000000004E-2</v>
      </c>
      <c r="S23" s="50">
        <v>4.0873999999999997E-3</v>
      </c>
      <c r="T23">
        <v>-15.9267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0">
        <v>-1.1943779999999999E-2</v>
      </c>
      <c r="D24" s="50">
        <v>0.27971580000000001</v>
      </c>
      <c r="E24">
        <v>0.26706819659999997</v>
      </c>
      <c r="F24" s="50">
        <v>8.1506579999999995E-2</v>
      </c>
      <c r="G24">
        <v>0.25512441450000001</v>
      </c>
      <c r="H24" s="50">
        <v>0.1038733</v>
      </c>
      <c r="J24" t="str">
        <f t="shared" si="0"/>
        <v/>
      </c>
      <c r="L24" t="str">
        <f t="shared" si="1"/>
        <v>*</v>
      </c>
      <c r="N24" t="str">
        <f t="shared" si="2"/>
        <v/>
      </c>
      <c r="P24">
        <v>23</v>
      </c>
      <c r="Q24" t="s">
        <v>22</v>
      </c>
      <c r="R24" s="50">
        <v>1.261E-2</v>
      </c>
      <c r="S24" s="50">
        <v>4.8640999999999997E-3</v>
      </c>
      <c r="T24">
        <v>2.5926</v>
      </c>
      <c r="U24">
        <v>9.5265999999999997E-3</v>
      </c>
      <c r="W24" t="str">
        <f t="shared" si="3"/>
        <v>***</v>
      </c>
    </row>
    <row r="25" spans="1:23" x14ac:dyDescent="0.25">
      <c r="A25">
        <v>24</v>
      </c>
      <c r="B25" t="s">
        <v>24</v>
      </c>
      <c r="C25" s="50">
        <v>-0.1042274</v>
      </c>
      <c r="D25" s="50">
        <v>0</v>
      </c>
      <c r="E25">
        <v>0.155759705</v>
      </c>
      <c r="F25" s="50">
        <v>3.6623759999999998E-2</v>
      </c>
      <c r="G25">
        <v>5.1532260900000001E-2</v>
      </c>
      <c r="H25" s="50">
        <v>0.50897910000000002</v>
      </c>
      <c r="J25" t="str">
        <f t="shared" si="0"/>
        <v>***</v>
      </c>
      <c r="L25" t="str">
        <f t="shared" si="1"/>
        <v>**</v>
      </c>
      <c r="N25" t="str">
        <f t="shared" si="2"/>
        <v/>
      </c>
      <c r="P25">
        <v>24</v>
      </c>
      <c r="Q25" t="s">
        <v>23</v>
      </c>
      <c r="R25" s="50">
        <v>-1.6938000000000002E-2</v>
      </c>
      <c r="S25" s="50">
        <v>1.0489E-2</v>
      </c>
      <c r="T25">
        <v>-1.6149</v>
      </c>
      <c r="U25">
        <v>0.10634010000000001</v>
      </c>
      <c r="W25" t="str">
        <f t="shared" si="3"/>
        <v/>
      </c>
    </row>
    <row r="26" spans="1:23" x14ac:dyDescent="0.25">
      <c r="A26">
        <v>25</v>
      </c>
      <c r="B26" t="s">
        <v>25</v>
      </c>
      <c r="C26" s="50">
        <v>-5.487707E-2</v>
      </c>
      <c r="D26" s="50">
        <v>0</v>
      </c>
      <c r="E26">
        <v>0.36552613369999998</v>
      </c>
      <c r="F26" s="50">
        <v>1.274628E-6</v>
      </c>
      <c r="G26">
        <v>0.31064906310000001</v>
      </c>
      <c r="H26" s="50">
        <v>5.8459679999999997E-5</v>
      </c>
      <c r="J26" t="str">
        <f t="shared" si="0"/>
        <v>***</v>
      </c>
      <c r="L26" t="str">
        <f t="shared" si="1"/>
        <v>***</v>
      </c>
      <c r="N26" t="str">
        <f t="shared" si="2"/>
        <v>***</v>
      </c>
      <c r="P26">
        <v>25</v>
      </c>
      <c r="Q26" t="s">
        <v>24</v>
      </c>
      <c r="R26" s="50">
        <v>-0.10714</v>
      </c>
      <c r="S26" s="50">
        <v>4.4573E-3</v>
      </c>
      <c r="T26">
        <v>-24.0365</v>
      </c>
      <c r="U26" s="50">
        <v>2.2E-16</v>
      </c>
      <c r="W26" t="str">
        <f t="shared" si="3"/>
        <v>***</v>
      </c>
    </row>
    <row r="27" spans="1:23" x14ac:dyDescent="0.25">
      <c r="A27">
        <v>26</v>
      </c>
      <c r="B27" t="s">
        <v>26</v>
      </c>
      <c r="C27" s="50">
        <v>-7.8692499999999999E-2</v>
      </c>
      <c r="D27" s="50">
        <v>0</v>
      </c>
      <c r="E27">
        <v>0.25823337759999998</v>
      </c>
      <c r="F27" s="50">
        <v>2.1915529999999999E-5</v>
      </c>
      <c r="G27">
        <v>0.1795408778</v>
      </c>
      <c r="H27" s="50">
        <v>3.9943679999999999E-3</v>
      </c>
      <c r="J27" t="str">
        <f t="shared" si="0"/>
        <v>***</v>
      </c>
      <c r="L27" t="str">
        <f t="shared" si="1"/>
        <v>***</v>
      </c>
      <c r="N27" t="str">
        <f t="shared" si="2"/>
        <v>***</v>
      </c>
      <c r="P27">
        <v>26</v>
      </c>
      <c r="Q27" t="s">
        <v>25</v>
      </c>
      <c r="R27" s="50">
        <v>-6.1711000000000002E-2</v>
      </c>
      <c r="S27" s="50">
        <v>6.0457999999999996E-3</v>
      </c>
      <c r="T27">
        <v>-10.2072</v>
      </c>
      <c r="U27" s="50">
        <v>2.2E-16</v>
      </c>
      <c r="W27" t="str">
        <f t="shared" si="3"/>
        <v>***</v>
      </c>
    </row>
    <row r="28" spans="1:23" x14ac:dyDescent="0.25">
      <c r="A28">
        <v>27</v>
      </c>
      <c r="B28" t="s">
        <v>27</v>
      </c>
      <c r="C28" s="50">
        <v>-1.1019360000000001E-2</v>
      </c>
      <c r="D28" s="50">
        <v>0.17335310000000001</v>
      </c>
      <c r="E28">
        <v>0.43101326829999997</v>
      </c>
      <c r="F28" s="50">
        <v>1.5968920000000001E-9</v>
      </c>
      <c r="G28">
        <v>0.41999391159999999</v>
      </c>
      <c r="H28" s="50">
        <v>7.1987760000000002E-9</v>
      </c>
      <c r="J28" t="str">
        <f t="shared" si="0"/>
        <v/>
      </c>
      <c r="L28" t="str">
        <f t="shared" si="1"/>
        <v>***</v>
      </c>
      <c r="N28" t="str">
        <f t="shared" si="2"/>
        <v>***</v>
      </c>
      <c r="P28">
        <v>27</v>
      </c>
      <c r="Q28" t="s">
        <v>26</v>
      </c>
      <c r="R28" s="50">
        <v>-8.3519999999999997E-2</v>
      </c>
      <c r="S28" s="50">
        <v>5.0702999999999998E-3</v>
      </c>
      <c r="T28">
        <v>-16.472300000000001</v>
      </c>
      <c r="U28" s="50">
        <v>2.2E-16</v>
      </c>
      <c r="W28" t="str">
        <f t="shared" si="3"/>
        <v>***</v>
      </c>
    </row>
    <row r="29" spans="1:23" x14ac:dyDescent="0.25">
      <c r="A29">
        <v>28</v>
      </c>
      <c r="B29" t="s">
        <v>29</v>
      </c>
      <c r="C29" s="50">
        <v>6.0894259999999999E-2</v>
      </c>
      <c r="D29" s="50">
        <v>1.012978E-8</v>
      </c>
      <c r="E29">
        <v>0.57952702040000004</v>
      </c>
      <c r="F29" s="50">
        <v>2.487197E-3</v>
      </c>
      <c r="G29">
        <v>0.64042128389999997</v>
      </c>
      <c r="H29" s="50">
        <v>1.1019859999999999E-3</v>
      </c>
      <c r="J29" t="str">
        <f t="shared" si="0"/>
        <v>***</v>
      </c>
      <c r="L29" t="str">
        <f t="shared" si="1"/>
        <v>***</v>
      </c>
      <c r="N29" t="str">
        <f t="shared" si="2"/>
        <v>***</v>
      </c>
      <c r="P29">
        <v>28</v>
      </c>
      <c r="Q29" t="s">
        <v>27</v>
      </c>
      <c r="R29" s="50">
        <v>-1.9078999999999999E-2</v>
      </c>
      <c r="S29" s="50">
        <v>7.9988999999999998E-3</v>
      </c>
      <c r="T29">
        <v>-2.3852000000000002</v>
      </c>
      <c r="U29">
        <v>1.70691E-2</v>
      </c>
      <c r="W29" t="str">
        <f t="shared" si="3"/>
        <v>**</v>
      </c>
    </row>
    <row r="30" spans="1:23" x14ac:dyDescent="0.25">
      <c r="A30">
        <v>29</v>
      </c>
      <c r="B30" t="s">
        <v>31</v>
      </c>
      <c r="C30" s="50">
        <v>-5.0927130000000001E-2</v>
      </c>
      <c r="D30" s="50">
        <v>0</v>
      </c>
      <c r="E30">
        <v>5.4514371700000001E-2</v>
      </c>
      <c r="F30" s="50">
        <v>0.41080879999999997</v>
      </c>
      <c r="G30">
        <v>3.5872409000000001E-3</v>
      </c>
      <c r="H30" s="50">
        <v>0.93771769999999999</v>
      </c>
      <c r="J30" t="str">
        <f t="shared" si="0"/>
        <v>***</v>
      </c>
      <c r="L30" t="str">
        <f t="shared" si="1"/>
        <v/>
      </c>
      <c r="N30" t="str">
        <f t="shared" si="2"/>
        <v/>
      </c>
      <c r="P30">
        <v>29</v>
      </c>
      <c r="Q30" t="s">
        <v>29</v>
      </c>
      <c r="R30" s="50">
        <v>5.0056000000000003E-2</v>
      </c>
      <c r="S30" s="50">
        <v>9.6585999999999998E-3</v>
      </c>
      <c r="T30">
        <v>5.1825000000000001</v>
      </c>
      <c r="U30" s="50">
        <v>2.1890000000000001E-7</v>
      </c>
      <c r="W30" t="str">
        <f t="shared" si="3"/>
        <v>***</v>
      </c>
    </row>
    <row r="31" spans="1:23" x14ac:dyDescent="0.25">
      <c r="A31">
        <v>30</v>
      </c>
      <c r="B31" t="s">
        <v>28</v>
      </c>
      <c r="C31" s="50">
        <v>0.19089320000000001</v>
      </c>
      <c r="D31" s="50">
        <v>0</v>
      </c>
      <c r="E31">
        <v>1.6684501500000001E-2</v>
      </c>
      <c r="F31" s="50">
        <v>0.82864119999999997</v>
      </c>
      <c r="G31">
        <v>0.2075777057</v>
      </c>
      <c r="H31" s="50">
        <v>3.0198730000000002E-3</v>
      </c>
      <c r="J31" t="str">
        <f t="shared" si="0"/>
        <v>***</v>
      </c>
      <c r="L31" t="str">
        <f t="shared" si="1"/>
        <v/>
      </c>
      <c r="N31" t="str">
        <f t="shared" si="2"/>
        <v>***</v>
      </c>
      <c r="P31">
        <v>30</v>
      </c>
      <c r="Q31" t="s">
        <v>31</v>
      </c>
      <c r="R31" s="50">
        <v>-5.1944999999999998E-2</v>
      </c>
      <c r="S31" s="50">
        <v>4.8358999999999997E-3</v>
      </c>
      <c r="T31">
        <v>-10.7415</v>
      </c>
      <c r="U31" s="50">
        <v>2.2E-16</v>
      </c>
      <c r="W31" t="str">
        <f t="shared" si="3"/>
        <v>***</v>
      </c>
    </row>
    <row r="32" spans="1:23" x14ac:dyDescent="0.25">
      <c r="A32">
        <v>31</v>
      </c>
      <c r="B32" t="s">
        <v>235</v>
      </c>
      <c r="C32" s="50">
        <v>0.11858100000000001</v>
      </c>
      <c r="D32" s="50">
        <v>1.551204E-12</v>
      </c>
      <c r="E32">
        <v>-0.240448364</v>
      </c>
      <c r="F32" s="50">
        <v>1.9244119999999999E-3</v>
      </c>
      <c r="G32">
        <v>-0.1218673284</v>
      </c>
      <c r="H32" s="50">
        <v>0.10867499999999999</v>
      </c>
      <c r="J32" t="str">
        <f t="shared" si="0"/>
        <v>***</v>
      </c>
      <c r="L32" t="str">
        <f t="shared" si="1"/>
        <v>***</v>
      </c>
      <c r="N32" t="str">
        <f t="shared" si="2"/>
        <v/>
      </c>
      <c r="P32">
        <v>31</v>
      </c>
      <c r="Q32" t="s">
        <v>28</v>
      </c>
      <c r="R32" s="50">
        <v>0.19058</v>
      </c>
      <c r="S32" s="50">
        <v>4.4866000000000003E-3</v>
      </c>
      <c r="T32">
        <v>42.476999999999997</v>
      </c>
      <c r="U32" s="50">
        <v>2.2E-16</v>
      </c>
      <c r="W32" t="str">
        <f t="shared" si="3"/>
        <v>***</v>
      </c>
    </row>
    <row r="33" spans="1:23" x14ac:dyDescent="0.25">
      <c r="A33">
        <v>32</v>
      </c>
      <c r="B33" t="s">
        <v>236</v>
      </c>
      <c r="C33" s="50">
        <v>-5.402411E-2</v>
      </c>
      <c r="D33" s="50">
        <v>5.9094629999999997E-5</v>
      </c>
      <c r="E33">
        <v>3.9455021299999997E-2</v>
      </c>
      <c r="F33" s="50">
        <v>0.40656619999999999</v>
      </c>
      <c r="G33">
        <v>-1.4569089800000001E-2</v>
      </c>
      <c r="H33" s="50">
        <v>0.76508580000000004</v>
      </c>
      <c r="J33" t="str">
        <f t="shared" si="0"/>
        <v>***</v>
      </c>
      <c r="L33" t="str">
        <f t="shared" si="1"/>
        <v/>
      </c>
      <c r="N33" t="str">
        <f t="shared" si="2"/>
        <v/>
      </c>
      <c r="P33">
        <v>32</v>
      </c>
      <c r="Q33" t="s">
        <v>235</v>
      </c>
      <c r="R33" s="50">
        <v>0.12307</v>
      </c>
      <c r="S33" s="50">
        <v>1.7436E-2</v>
      </c>
      <c r="T33">
        <v>7.0587999999999997</v>
      </c>
      <c r="U33" s="50">
        <v>1.679E-12</v>
      </c>
      <c r="W33" t="str">
        <f t="shared" si="3"/>
        <v>***</v>
      </c>
    </row>
    <row r="34" spans="1:23" x14ac:dyDescent="0.25">
      <c r="A34">
        <v>33</v>
      </c>
      <c r="B34" t="s">
        <v>238</v>
      </c>
      <c r="C34" s="50">
        <v>-8.0536399999999994E-2</v>
      </c>
      <c r="D34" s="50">
        <v>0</v>
      </c>
      <c r="E34">
        <v>-7.9405335899999999E-2</v>
      </c>
      <c r="F34" s="50">
        <v>1.366255E-3</v>
      </c>
      <c r="G34">
        <v>-0.15994173950000001</v>
      </c>
      <c r="H34" s="50">
        <v>8.5309319999999996E-11</v>
      </c>
      <c r="J34" t="str">
        <f t="shared" si="0"/>
        <v>***</v>
      </c>
      <c r="L34" t="str">
        <f t="shared" si="1"/>
        <v>***</v>
      </c>
      <c r="N34" t="str">
        <f t="shared" si="2"/>
        <v>***</v>
      </c>
      <c r="P34">
        <v>33</v>
      </c>
      <c r="Q34" t="s">
        <v>236</v>
      </c>
      <c r="R34" s="50">
        <v>-5.4760999999999997E-2</v>
      </c>
      <c r="S34" s="50">
        <v>1.3524E-2</v>
      </c>
      <c r="T34">
        <v>-4.0491999999999999</v>
      </c>
      <c r="U34" s="50">
        <v>5.1390000000000001E-5</v>
      </c>
      <c r="W34" t="str">
        <f t="shared" si="3"/>
        <v>***</v>
      </c>
    </row>
    <row r="35" spans="1:23" x14ac:dyDescent="0.25">
      <c r="A35">
        <v>34</v>
      </c>
      <c r="B35" t="s">
        <v>240</v>
      </c>
      <c r="C35" s="50">
        <v>-0.1069731</v>
      </c>
      <c r="D35" s="50">
        <v>0</v>
      </c>
      <c r="E35">
        <v>2.739347E-4</v>
      </c>
      <c r="F35" s="50">
        <v>0.99109559999999997</v>
      </c>
      <c r="G35">
        <v>-0.1066991764</v>
      </c>
      <c r="H35" s="50">
        <v>7.2335650000000004E-4</v>
      </c>
      <c r="J35" t="str">
        <f t="shared" si="0"/>
        <v>***</v>
      </c>
      <c r="L35" t="str">
        <f t="shared" si="1"/>
        <v/>
      </c>
      <c r="N35" t="str">
        <f t="shared" si="2"/>
        <v>***</v>
      </c>
      <c r="P35">
        <v>34</v>
      </c>
      <c r="Q35" t="s">
        <v>238</v>
      </c>
      <c r="R35" s="50">
        <v>-7.9049999999999995E-2</v>
      </c>
      <c r="S35" s="50">
        <v>6.8326000000000003E-3</v>
      </c>
      <c r="T35">
        <v>-11.5695</v>
      </c>
      <c r="U35" s="50">
        <v>2.2E-16</v>
      </c>
      <c r="W35" t="str">
        <f t="shared" si="3"/>
        <v>***</v>
      </c>
    </row>
    <row r="36" spans="1:23" x14ac:dyDescent="0.25">
      <c r="A36">
        <v>35</v>
      </c>
      <c r="B36" t="s">
        <v>241</v>
      </c>
      <c r="C36" s="50">
        <v>-9.8792829999999998E-2</v>
      </c>
      <c r="D36" s="50">
        <v>3.5214469999999998E-7</v>
      </c>
      <c r="E36">
        <v>0.26031103119999999</v>
      </c>
      <c r="F36" s="50">
        <v>7.0949440000000004E-8</v>
      </c>
      <c r="G36">
        <v>0.16151820310000001</v>
      </c>
      <c r="H36" s="50">
        <v>3.56053E-4</v>
      </c>
      <c r="J36" t="str">
        <f t="shared" si="0"/>
        <v>***</v>
      </c>
      <c r="L36" t="str">
        <f t="shared" si="1"/>
        <v>***</v>
      </c>
      <c r="N36" t="str">
        <f t="shared" si="2"/>
        <v>***</v>
      </c>
      <c r="P36">
        <v>35</v>
      </c>
      <c r="Q36" t="s">
        <v>240</v>
      </c>
      <c r="R36" s="50">
        <v>-0.10698000000000001</v>
      </c>
      <c r="S36" s="50">
        <v>8.2328000000000002E-3</v>
      </c>
      <c r="T36">
        <v>-12.9939</v>
      </c>
      <c r="U36" s="50">
        <v>2.2E-16</v>
      </c>
      <c r="W36" t="str">
        <f t="shared" si="3"/>
        <v>***</v>
      </c>
    </row>
    <row r="37" spans="1:23" x14ac:dyDescent="0.25">
      <c r="A37">
        <v>36</v>
      </c>
      <c r="B37" t="s">
        <v>243</v>
      </c>
      <c r="C37" s="50">
        <v>-3.9381779999999998E-2</v>
      </c>
      <c r="D37" s="50">
        <v>8.1548939999999997E-5</v>
      </c>
      <c r="E37">
        <v>0.17381340619999999</v>
      </c>
      <c r="F37" s="50">
        <v>1.438546E-5</v>
      </c>
      <c r="G37">
        <v>0.13443162189999999</v>
      </c>
      <c r="H37" s="50">
        <v>6.4252579999999997E-4</v>
      </c>
      <c r="J37" t="str">
        <f t="shared" si="0"/>
        <v>***</v>
      </c>
      <c r="L37" t="str">
        <f t="shared" si="1"/>
        <v>***</v>
      </c>
      <c r="N37" t="str">
        <f t="shared" si="2"/>
        <v>***</v>
      </c>
      <c r="P37">
        <v>36</v>
      </c>
      <c r="Q37" t="s">
        <v>241</v>
      </c>
      <c r="R37" s="50">
        <v>-0.10366</v>
      </c>
      <c r="S37" s="50">
        <v>1.9785000000000001E-2</v>
      </c>
      <c r="T37">
        <v>-5.2393000000000001</v>
      </c>
      <c r="U37" s="50">
        <v>1.6119999999999999E-7</v>
      </c>
      <c r="W37" t="str">
        <f t="shared" si="3"/>
        <v>***</v>
      </c>
    </row>
    <row r="38" spans="1:23" x14ac:dyDescent="0.25">
      <c r="A38">
        <v>37</v>
      </c>
      <c r="B38" t="s">
        <v>245</v>
      </c>
      <c r="C38" s="50">
        <v>1.295292E-2</v>
      </c>
      <c r="D38" s="50">
        <v>0.60080440000000002</v>
      </c>
      <c r="E38">
        <v>0.56065313409999995</v>
      </c>
      <c r="F38" s="50">
        <v>0</v>
      </c>
      <c r="G38">
        <v>0.57360605419999999</v>
      </c>
      <c r="H38" s="50">
        <v>0</v>
      </c>
      <c r="J38" t="str">
        <f t="shared" si="0"/>
        <v/>
      </c>
      <c r="L38" t="str">
        <f t="shared" si="1"/>
        <v>***</v>
      </c>
      <c r="N38" t="str">
        <f t="shared" si="2"/>
        <v>***</v>
      </c>
      <c r="P38">
        <v>37</v>
      </c>
      <c r="Q38" t="s">
        <v>243</v>
      </c>
      <c r="R38" s="50">
        <v>-4.2631000000000002E-2</v>
      </c>
      <c r="S38" s="50">
        <v>1.0037000000000001E-2</v>
      </c>
      <c r="T38">
        <v>-4.2473000000000001</v>
      </c>
      <c r="U38" s="50">
        <v>2.1630000000000001E-5</v>
      </c>
      <c r="W38" t="str">
        <f t="shared" si="3"/>
        <v>***</v>
      </c>
    </row>
    <row r="39" spans="1:23" x14ac:dyDescent="0.25">
      <c r="A39">
        <v>38</v>
      </c>
      <c r="B39" t="s">
        <v>166</v>
      </c>
      <c r="C39" s="50">
        <v>0.21921669999999999</v>
      </c>
      <c r="D39" s="50">
        <v>0</v>
      </c>
      <c r="E39">
        <v>0.31470632739999999</v>
      </c>
      <c r="F39" s="50">
        <v>2.1369570000000001E-12</v>
      </c>
      <c r="G39">
        <v>0.5339230143</v>
      </c>
      <c r="H39" s="50">
        <v>0</v>
      </c>
      <c r="J39" t="str">
        <f t="shared" si="0"/>
        <v>***</v>
      </c>
      <c r="L39" t="str">
        <f t="shared" si="1"/>
        <v>***</v>
      </c>
      <c r="N39" t="str">
        <f t="shared" si="2"/>
        <v>***</v>
      </c>
      <c r="P39">
        <v>38</v>
      </c>
      <c r="Q39" t="s">
        <v>245</v>
      </c>
      <c r="R39" s="50">
        <v>2.4683999999999999E-3</v>
      </c>
      <c r="S39" s="50">
        <v>2.6105E-2</v>
      </c>
      <c r="T39">
        <v>9.4600000000000004E-2</v>
      </c>
      <c r="U39">
        <v>0.92466660000000001</v>
      </c>
      <c r="W39" t="str">
        <f t="shared" si="3"/>
        <v/>
      </c>
    </row>
    <row r="40" spans="1:23" x14ac:dyDescent="0.25">
      <c r="A40">
        <v>39</v>
      </c>
      <c r="B40" t="s">
        <v>167</v>
      </c>
      <c r="C40" s="50">
        <v>0.37281120000000001</v>
      </c>
      <c r="D40" s="50">
        <v>0</v>
      </c>
      <c r="E40">
        <v>0.43506785869999998</v>
      </c>
      <c r="F40" s="50">
        <v>2.220446E-15</v>
      </c>
      <c r="G40">
        <v>0.80787909759999998</v>
      </c>
      <c r="H40" s="50">
        <v>0</v>
      </c>
      <c r="J40" t="str">
        <f t="shared" si="0"/>
        <v>***</v>
      </c>
      <c r="L40" t="str">
        <f t="shared" si="1"/>
        <v>***</v>
      </c>
      <c r="N40" t="str">
        <f t="shared" si="2"/>
        <v>***</v>
      </c>
      <c r="P40">
        <v>39</v>
      </c>
      <c r="Q40" t="s">
        <v>166</v>
      </c>
      <c r="R40" s="50">
        <v>0.21332999999999999</v>
      </c>
      <c r="S40" s="50">
        <v>8.1852000000000001E-3</v>
      </c>
      <c r="T40">
        <v>26.0625</v>
      </c>
      <c r="U40" s="50">
        <v>2.2E-16</v>
      </c>
      <c r="W40" t="str">
        <f t="shared" si="3"/>
        <v>***</v>
      </c>
    </row>
    <row r="41" spans="1:23" x14ac:dyDescent="0.25">
      <c r="A41">
        <v>40</v>
      </c>
      <c r="B41" t="s">
        <v>168</v>
      </c>
      <c r="C41" s="50">
        <v>0.39714090000000002</v>
      </c>
      <c r="D41" s="50">
        <v>0</v>
      </c>
      <c r="E41">
        <v>0.37074382919999999</v>
      </c>
      <c r="F41" s="50">
        <v>2.279642E-4</v>
      </c>
      <c r="G41">
        <v>0.76788471140000003</v>
      </c>
      <c r="H41" s="50">
        <v>7.1720409999999998E-14</v>
      </c>
      <c r="J41" t="str">
        <f t="shared" si="0"/>
        <v>***</v>
      </c>
      <c r="L41" t="str">
        <f t="shared" si="1"/>
        <v>***</v>
      </c>
      <c r="N41" t="str">
        <f t="shared" si="2"/>
        <v>***</v>
      </c>
      <c r="P41">
        <v>40</v>
      </c>
      <c r="Q41" t="s">
        <v>167</v>
      </c>
      <c r="R41" s="50">
        <v>0.36466999999999999</v>
      </c>
      <c r="S41" s="50">
        <v>8.5532000000000004E-3</v>
      </c>
      <c r="T41">
        <v>42.634799999999998</v>
      </c>
      <c r="U41" s="50">
        <v>2.2E-16</v>
      </c>
      <c r="W41" t="str">
        <f t="shared" si="3"/>
        <v>***</v>
      </c>
    </row>
    <row r="42" spans="1:23" x14ac:dyDescent="0.25">
      <c r="A42">
        <v>41</v>
      </c>
      <c r="B42" t="s">
        <v>169</v>
      </c>
      <c r="C42" s="50">
        <v>0.39616069999999998</v>
      </c>
      <c r="D42" s="50">
        <v>0</v>
      </c>
      <c r="E42">
        <v>0.29724706540000001</v>
      </c>
      <c r="F42" s="50">
        <v>2.8553500000000001E-4</v>
      </c>
      <c r="G42">
        <v>0.69340775310000002</v>
      </c>
      <c r="H42" s="50">
        <v>2.2204459999999999E-16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168</v>
      </c>
      <c r="R42" s="50">
        <v>0.39019999999999999</v>
      </c>
      <c r="S42" s="50">
        <v>9.2458999999999996E-3</v>
      </c>
      <c r="T42">
        <v>42.202300000000001</v>
      </c>
      <c r="U42" s="50">
        <v>2.2E-16</v>
      </c>
      <c r="W42" t="str">
        <f t="shared" si="3"/>
        <v>***</v>
      </c>
    </row>
    <row r="43" spans="1:23" x14ac:dyDescent="0.25">
      <c r="A43">
        <v>42</v>
      </c>
      <c r="B43" t="s">
        <v>170</v>
      </c>
      <c r="C43" s="50">
        <v>0.38611820000000002</v>
      </c>
      <c r="D43" s="50">
        <v>0</v>
      </c>
      <c r="E43">
        <v>0.23330871650000001</v>
      </c>
      <c r="F43" s="50">
        <v>7.3668990000000004E-2</v>
      </c>
      <c r="G43">
        <v>0.61942689259999995</v>
      </c>
      <c r="H43" s="50">
        <v>3.435185E-6</v>
      </c>
      <c r="J43" t="str">
        <f t="shared" si="0"/>
        <v>***</v>
      </c>
      <c r="L43" t="str">
        <f t="shared" si="1"/>
        <v>*</v>
      </c>
      <c r="N43" t="str">
        <f t="shared" si="2"/>
        <v>***</v>
      </c>
      <c r="P43">
        <v>42</v>
      </c>
      <c r="Q43" t="s">
        <v>169</v>
      </c>
      <c r="R43" s="50">
        <v>0.39058999999999999</v>
      </c>
      <c r="S43" s="50">
        <v>8.9882E-3</v>
      </c>
      <c r="T43">
        <v>43.456299999999999</v>
      </c>
      <c r="U43" s="50">
        <v>2.2E-16</v>
      </c>
      <c r="W43" t="str">
        <f t="shared" si="3"/>
        <v>***</v>
      </c>
    </row>
    <row r="44" spans="1:23" x14ac:dyDescent="0.25">
      <c r="A44">
        <v>43</v>
      </c>
      <c r="B44" t="s">
        <v>50</v>
      </c>
      <c r="C44" s="50">
        <v>1.5274139999999999E-5</v>
      </c>
      <c r="D44" s="50">
        <v>0.54903970000000002</v>
      </c>
      <c r="E44">
        <v>-8.0289960000000003E-4</v>
      </c>
      <c r="F44" s="50">
        <v>1.128251E-4</v>
      </c>
      <c r="G44">
        <v>-7.8762549999999998E-4</v>
      </c>
      <c r="H44" s="50">
        <v>1.9440559999999999E-4</v>
      </c>
      <c r="J44" t="str">
        <f t="shared" si="0"/>
        <v/>
      </c>
      <c r="L44" t="str">
        <f t="shared" si="1"/>
        <v>***</v>
      </c>
      <c r="N44" t="str">
        <f t="shared" si="2"/>
        <v>***</v>
      </c>
      <c r="P44">
        <v>43</v>
      </c>
      <c r="Q44" t="s">
        <v>170</v>
      </c>
      <c r="R44" s="50">
        <v>0.38174999999999998</v>
      </c>
      <c r="S44" s="50">
        <v>9.7946999999999999E-3</v>
      </c>
      <c r="T44">
        <v>38.974600000000002</v>
      </c>
      <c r="U44" s="50">
        <v>2.2E-16</v>
      </c>
      <c r="W44" t="str">
        <f t="shared" si="3"/>
        <v>***</v>
      </c>
    </row>
    <row r="45" spans="1:23" x14ac:dyDescent="0.25">
      <c r="A45">
        <v>44</v>
      </c>
      <c r="B45" t="s">
        <v>52</v>
      </c>
      <c r="C45" s="50">
        <v>7.3861480000000004E-3</v>
      </c>
      <c r="D45" s="50">
        <v>1.4263940000000001E-3</v>
      </c>
      <c r="E45">
        <v>-0.1184044932</v>
      </c>
      <c r="F45" s="50">
        <v>1.589747E-2</v>
      </c>
      <c r="G45">
        <v>-0.1110183448</v>
      </c>
      <c r="H45" s="50">
        <v>2.743085E-2</v>
      </c>
      <c r="J45" t="str">
        <f t="shared" si="0"/>
        <v>***</v>
      </c>
      <c r="L45" t="str">
        <f t="shared" si="1"/>
        <v>**</v>
      </c>
      <c r="N45" t="str">
        <f t="shared" si="2"/>
        <v>**</v>
      </c>
      <c r="P45">
        <v>44</v>
      </c>
      <c r="Q45" t="s">
        <v>50</v>
      </c>
      <c r="R45" s="50">
        <v>3.0287999999999999E-5</v>
      </c>
      <c r="S45" s="50">
        <v>2.5386000000000001E-5</v>
      </c>
      <c r="T45">
        <v>1.1931</v>
      </c>
      <c r="U45">
        <v>0.23283039999999999</v>
      </c>
      <c r="W45" t="str">
        <f t="shared" si="3"/>
        <v/>
      </c>
    </row>
    <row r="46" spans="1:23" x14ac:dyDescent="0.25">
      <c r="A46">
        <v>45</v>
      </c>
      <c r="B46" t="s">
        <v>51</v>
      </c>
      <c r="C46" s="50">
        <v>3.5287989999999999E-4</v>
      </c>
      <c r="D46" s="50">
        <v>0.68168620000000002</v>
      </c>
      <c r="E46">
        <v>-2.2207017999999999E-2</v>
      </c>
      <c r="F46" s="50">
        <v>8.4150710000000004E-2</v>
      </c>
      <c r="G46">
        <v>-2.18541381E-2</v>
      </c>
      <c r="H46" s="50">
        <v>9.6291080000000001E-2</v>
      </c>
      <c r="J46" t="str">
        <f t="shared" si="0"/>
        <v/>
      </c>
      <c r="L46" t="str">
        <f t="shared" si="1"/>
        <v>*</v>
      </c>
      <c r="N46" t="str">
        <f t="shared" si="2"/>
        <v>*</v>
      </c>
      <c r="P46">
        <v>45</v>
      </c>
      <c r="Q46" t="s">
        <v>52</v>
      </c>
      <c r="R46" s="50">
        <v>9.6001000000000003E-3</v>
      </c>
      <c r="S46" s="50">
        <v>1.9463E-3</v>
      </c>
      <c r="T46">
        <v>4.9324000000000003</v>
      </c>
      <c r="U46" s="50">
        <v>8.1210000000000003E-7</v>
      </c>
      <c r="W46" t="str">
        <f t="shared" si="3"/>
        <v>***</v>
      </c>
    </row>
    <row r="47" spans="1:23" x14ac:dyDescent="0.25">
      <c r="A47">
        <v>46</v>
      </c>
      <c r="B47" t="s">
        <v>164</v>
      </c>
      <c r="C47" s="50">
        <v>-8.3098530000000004E-2</v>
      </c>
      <c r="D47" s="50">
        <v>5.1881010000000002E-7</v>
      </c>
      <c r="E47">
        <v>6.2495934699999998E-2</v>
      </c>
      <c r="F47" s="50">
        <v>2.150458E-4</v>
      </c>
      <c r="G47">
        <v>-2.0602597E-2</v>
      </c>
      <c r="H47" s="50">
        <v>6.052936E-13</v>
      </c>
      <c r="J47" t="str">
        <f t="shared" si="0"/>
        <v>***</v>
      </c>
      <c r="L47" t="str">
        <f t="shared" si="1"/>
        <v>***</v>
      </c>
      <c r="N47" t="str">
        <f t="shared" si="2"/>
        <v>***</v>
      </c>
      <c r="P47">
        <v>46</v>
      </c>
      <c r="Q47" t="s">
        <v>51</v>
      </c>
      <c r="R47" s="50">
        <v>7.6813999999999995E-4</v>
      </c>
      <c r="S47" s="50">
        <v>7.8218999999999999E-4</v>
      </c>
      <c r="T47">
        <v>0.98199999999999998</v>
      </c>
      <c r="U47">
        <v>0.32607989999999998</v>
      </c>
      <c r="W47" t="str">
        <f t="shared" si="3"/>
        <v/>
      </c>
    </row>
    <row r="48" spans="1:23" x14ac:dyDescent="0.25">
      <c r="A48">
        <v>47</v>
      </c>
      <c r="B48" t="s">
        <v>39</v>
      </c>
      <c r="C48" s="50">
        <v>9.0792899999999996E-2</v>
      </c>
      <c r="D48" s="50">
        <v>3.1788110000000002E-8</v>
      </c>
      <c r="E48">
        <v>-0.23845245700000001</v>
      </c>
      <c r="F48" s="50">
        <v>0</v>
      </c>
      <c r="G48">
        <v>-0.14765956029999999</v>
      </c>
      <c r="H48" s="50">
        <v>9.7566399999999999E-13</v>
      </c>
      <c r="J48" t="str">
        <f t="shared" si="0"/>
        <v>***</v>
      </c>
      <c r="L48" t="str">
        <f t="shared" si="1"/>
        <v>***</v>
      </c>
      <c r="N48" t="str">
        <f t="shared" si="2"/>
        <v>***</v>
      </c>
      <c r="P48">
        <v>47</v>
      </c>
      <c r="Q48" t="s">
        <v>164</v>
      </c>
      <c r="R48" s="50">
        <v>-8.4265000000000007E-2</v>
      </c>
      <c r="S48" s="50">
        <v>1.6719000000000001E-2</v>
      </c>
      <c r="T48">
        <v>-5.0400999999999998</v>
      </c>
      <c r="U48" s="50">
        <v>4.6520000000000001E-7</v>
      </c>
      <c r="W48" t="str">
        <f t="shared" si="3"/>
        <v>***</v>
      </c>
    </row>
    <row r="49" spans="1:23" x14ac:dyDescent="0.25">
      <c r="A49">
        <v>48</v>
      </c>
      <c r="B49" t="s">
        <v>40</v>
      </c>
      <c r="C49" s="50">
        <v>2.0574990000000001E-2</v>
      </c>
      <c r="D49" s="50">
        <v>0.1020407</v>
      </c>
      <c r="E49">
        <v>-4.98977938E-2</v>
      </c>
      <c r="F49" s="50">
        <v>7.9379460000000005E-5</v>
      </c>
      <c r="G49">
        <v>-2.93228073E-2</v>
      </c>
      <c r="H49" s="50">
        <v>0</v>
      </c>
      <c r="J49" t="str">
        <f t="shared" si="0"/>
        <v/>
      </c>
      <c r="L49" t="str">
        <f t="shared" si="1"/>
        <v>***</v>
      </c>
      <c r="N49" t="str">
        <f t="shared" si="2"/>
        <v>***</v>
      </c>
      <c r="P49">
        <v>48</v>
      </c>
      <c r="Q49" t="s">
        <v>39</v>
      </c>
      <c r="R49" s="50">
        <v>9.5250000000000001E-2</v>
      </c>
      <c r="S49" s="50">
        <v>1.6695999999999999E-2</v>
      </c>
      <c r="T49">
        <v>5.7047999999999996</v>
      </c>
      <c r="U49" s="50">
        <v>1.165E-8</v>
      </c>
      <c r="W49" t="str">
        <f t="shared" si="3"/>
        <v>***</v>
      </c>
    </row>
    <row r="50" spans="1:23" x14ac:dyDescent="0.25">
      <c r="A50">
        <v>49</v>
      </c>
      <c r="B50" t="s">
        <v>41</v>
      </c>
      <c r="C50" s="50">
        <v>2.0321249999999999E-2</v>
      </c>
      <c r="D50" s="50">
        <v>0.1270956</v>
      </c>
      <c r="E50">
        <v>-1.3354514099999999E-2</v>
      </c>
      <c r="F50" s="50">
        <v>0.31830809999999998</v>
      </c>
      <c r="G50">
        <v>6.9667313E-3</v>
      </c>
      <c r="H50" s="50">
        <v>1.5580989999999999E-6</v>
      </c>
      <c r="J50" t="str">
        <f t="shared" si="0"/>
        <v/>
      </c>
      <c r="L50" t="str">
        <f t="shared" si="1"/>
        <v/>
      </c>
      <c r="N50" t="str">
        <f t="shared" si="2"/>
        <v>***</v>
      </c>
      <c r="P50">
        <v>49</v>
      </c>
      <c r="Q50" t="s">
        <v>40</v>
      </c>
      <c r="R50" s="50">
        <v>2.1507999999999999E-2</v>
      </c>
      <c r="S50" s="50">
        <v>1.2813E-2</v>
      </c>
      <c r="T50">
        <v>1.6786000000000001</v>
      </c>
      <c r="U50">
        <v>9.3238199999999993E-2</v>
      </c>
      <c r="W50" t="str">
        <f t="shared" si="3"/>
        <v>*</v>
      </c>
    </row>
    <row r="51" spans="1:23" x14ac:dyDescent="0.25">
      <c r="A51">
        <v>50</v>
      </c>
      <c r="B51" t="s">
        <v>173</v>
      </c>
      <c r="C51" s="50">
        <v>2.399919E-2</v>
      </c>
      <c r="D51" s="50">
        <v>2.2368610000000001E-3</v>
      </c>
      <c r="E51">
        <v>-2.6611087799999999E-2</v>
      </c>
      <c r="F51" s="50">
        <v>7.8153300000000005E-4</v>
      </c>
      <c r="G51">
        <v>-2.6118981000000001E-3</v>
      </c>
      <c r="H51" s="50">
        <v>2.3594E-2</v>
      </c>
      <c r="J51" t="str">
        <f t="shared" si="0"/>
        <v>***</v>
      </c>
      <c r="L51" t="str">
        <f t="shared" si="1"/>
        <v>***</v>
      </c>
      <c r="N51" t="str">
        <f t="shared" si="2"/>
        <v>**</v>
      </c>
      <c r="P51">
        <v>50</v>
      </c>
      <c r="Q51" t="s">
        <v>41</v>
      </c>
      <c r="R51" s="50">
        <v>2.0570000000000001E-2</v>
      </c>
      <c r="S51" s="50">
        <v>1.3923E-2</v>
      </c>
      <c r="T51">
        <v>1.4774</v>
      </c>
      <c r="U51">
        <v>0.13956360000000001</v>
      </c>
      <c r="W51" t="str">
        <f t="shared" si="3"/>
        <v/>
      </c>
    </row>
    <row r="52" spans="1:23" x14ac:dyDescent="0.25">
      <c r="A52">
        <v>51</v>
      </c>
      <c r="B52" t="s">
        <v>174</v>
      </c>
      <c r="C52" s="50">
        <v>2.7037990000000001E-2</v>
      </c>
      <c r="D52" s="50">
        <v>2.6917460000000001E-3</v>
      </c>
      <c r="E52">
        <v>-1.0603903E-2</v>
      </c>
      <c r="F52" s="50">
        <v>0.32293529999999998</v>
      </c>
      <c r="G52">
        <v>1.6434085000000001E-2</v>
      </c>
      <c r="H52" s="50">
        <v>2.244691E-3</v>
      </c>
      <c r="J52" t="str">
        <f t="shared" si="0"/>
        <v>***</v>
      </c>
      <c r="L52" t="str">
        <f t="shared" si="1"/>
        <v/>
      </c>
      <c r="N52" t="str">
        <f t="shared" si="2"/>
        <v>***</v>
      </c>
      <c r="P52">
        <v>51</v>
      </c>
      <c r="Q52" t="s">
        <v>173</v>
      </c>
      <c r="R52" s="50">
        <v>2.4496E-2</v>
      </c>
      <c r="S52" s="50">
        <v>8.0896000000000006E-3</v>
      </c>
      <c r="T52">
        <v>3.0280999999999998</v>
      </c>
      <c r="U52">
        <v>2.4610000000000001E-3</v>
      </c>
      <c r="W52" t="str">
        <f t="shared" si="3"/>
        <v>***</v>
      </c>
    </row>
    <row r="53" spans="1:23" x14ac:dyDescent="0.25">
      <c r="A53">
        <v>52</v>
      </c>
      <c r="B53" t="s">
        <v>175</v>
      </c>
      <c r="C53" s="50">
        <v>3.2380819999999998E-2</v>
      </c>
      <c r="D53" s="50">
        <v>7.176186E-6</v>
      </c>
      <c r="E53">
        <v>-3.3128420300000003E-2</v>
      </c>
      <c r="F53" s="50">
        <v>2.449989E-4</v>
      </c>
      <c r="G53">
        <v>-7.4759930000000004E-4</v>
      </c>
      <c r="H53" s="50">
        <v>0.88738620000000001</v>
      </c>
      <c r="J53" t="str">
        <f t="shared" si="0"/>
        <v>***</v>
      </c>
      <c r="L53" t="str">
        <f t="shared" si="1"/>
        <v>***</v>
      </c>
      <c r="N53" t="str">
        <f t="shared" si="2"/>
        <v/>
      </c>
      <c r="P53">
        <v>52</v>
      </c>
      <c r="Q53" t="s">
        <v>174</v>
      </c>
      <c r="R53" s="50">
        <v>2.7236E-2</v>
      </c>
      <c r="S53" s="50">
        <v>9.0925999999999993E-3</v>
      </c>
      <c r="T53">
        <v>2.9954000000000001</v>
      </c>
      <c r="U53">
        <v>2.7410999999999998E-3</v>
      </c>
      <c r="W53" t="str">
        <f t="shared" si="3"/>
        <v>***</v>
      </c>
    </row>
    <row r="54" spans="1:23" x14ac:dyDescent="0.25">
      <c r="A54">
        <v>53</v>
      </c>
      <c r="B54" t="s">
        <v>43</v>
      </c>
      <c r="C54" s="50">
        <v>4.6487269999999997E-2</v>
      </c>
      <c r="D54" s="50">
        <v>0.22717380000000001</v>
      </c>
      <c r="E54">
        <v>-1.5870616468000001</v>
      </c>
      <c r="F54" s="50">
        <v>1.95344E-10</v>
      </c>
      <c r="G54">
        <v>-1.5405743788999999</v>
      </c>
      <c r="H54" s="50">
        <v>8.9939919999999997E-10</v>
      </c>
      <c r="J54" t="str">
        <f t="shared" si="0"/>
        <v/>
      </c>
      <c r="L54" t="str">
        <f t="shared" si="1"/>
        <v>***</v>
      </c>
      <c r="N54" t="str">
        <f t="shared" si="2"/>
        <v>***</v>
      </c>
      <c r="P54">
        <v>53</v>
      </c>
      <c r="Q54" t="s">
        <v>175</v>
      </c>
      <c r="R54" s="50">
        <v>3.3000000000000002E-2</v>
      </c>
      <c r="S54" s="50">
        <v>7.3309999999999998E-3</v>
      </c>
      <c r="T54">
        <v>4.5014000000000003</v>
      </c>
      <c r="U54" s="50">
        <v>6.7510000000000002E-6</v>
      </c>
      <c r="W54" t="str">
        <f t="shared" si="3"/>
        <v>***</v>
      </c>
    </row>
    <row r="55" spans="1:23" x14ac:dyDescent="0.25">
      <c r="A55">
        <v>54</v>
      </c>
      <c r="B55" t="s">
        <v>44</v>
      </c>
      <c r="C55" s="50">
        <v>-6.9931289999999998E-3</v>
      </c>
      <c r="D55" s="50">
        <v>0.56296599999999997</v>
      </c>
      <c r="E55">
        <v>-0.24127040459999999</v>
      </c>
      <c r="F55" s="50">
        <v>1.261761E-7</v>
      </c>
      <c r="G55">
        <v>-0.24826353370000001</v>
      </c>
      <c r="H55" s="50">
        <v>2.9183250000000001E-8</v>
      </c>
      <c r="J55" t="str">
        <f t="shared" si="0"/>
        <v/>
      </c>
      <c r="L55" t="str">
        <f t="shared" si="1"/>
        <v>***</v>
      </c>
      <c r="N55" t="str">
        <f t="shared" si="2"/>
        <v>***</v>
      </c>
      <c r="P55">
        <v>54</v>
      </c>
      <c r="Q55" t="s">
        <v>43</v>
      </c>
      <c r="R55" s="50">
        <v>7.6163999999999996E-2</v>
      </c>
      <c r="S55" s="50">
        <v>3.8633000000000001E-2</v>
      </c>
      <c r="T55">
        <v>1.9715</v>
      </c>
      <c r="U55">
        <v>4.86703E-2</v>
      </c>
      <c r="W55" t="str">
        <f t="shared" si="3"/>
        <v>**</v>
      </c>
    </row>
    <row r="56" spans="1:23" x14ac:dyDescent="0.25">
      <c r="A56">
        <v>55</v>
      </c>
      <c r="B56" t="s">
        <v>45</v>
      </c>
      <c r="C56" s="50">
        <v>2.153859E-2</v>
      </c>
      <c r="D56" s="50">
        <v>0.30349999999999999</v>
      </c>
      <c r="E56">
        <v>-0.30866127119999998</v>
      </c>
      <c r="F56" s="50">
        <v>2.0180599999999999E-3</v>
      </c>
      <c r="G56">
        <v>-0.28712267749999998</v>
      </c>
      <c r="H56" s="50">
        <v>4.0808299999999997E-3</v>
      </c>
      <c r="J56" t="str">
        <f t="shared" si="0"/>
        <v/>
      </c>
      <c r="L56" t="str">
        <f t="shared" si="1"/>
        <v>***</v>
      </c>
      <c r="N56" t="str">
        <f t="shared" si="2"/>
        <v>***</v>
      </c>
      <c r="P56">
        <v>55</v>
      </c>
      <c r="Q56" t="s">
        <v>44</v>
      </c>
      <c r="R56" s="50">
        <v>-2.4811999999999998E-3</v>
      </c>
      <c r="S56" s="50">
        <v>1.2814000000000001E-2</v>
      </c>
      <c r="T56">
        <v>-0.19359999999999999</v>
      </c>
      <c r="U56">
        <v>0.84646580000000005</v>
      </c>
      <c r="W56" t="str">
        <f t="shared" si="3"/>
        <v/>
      </c>
    </row>
    <row r="57" spans="1:23" x14ac:dyDescent="0.25">
      <c r="A57">
        <v>56</v>
      </c>
      <c r="B57" t="s">
        <v>48</v>
      </c>
      <c r="C57" s="50">
        <v>-3.5710480000000003E-2</v>
      </c>
      <c r="D57" s="50">
        <v>6.755938E-4</v>
      </c>
      <c r="E57">
        <v>0.66893725849999996</v>
      </c>
      <c r="F57" s="50">
        <v>0</v>
      </c>
      <c r="G57">
        <v>0.63322678080000006</v>
      </c>
      <c r="H57" s="50">
        <v>0</v>
      </c>
      <c r="J57" t="str">
        <f t="shared" si="0"/>
        <v>***</v>
      </c>
      <c r="L57" t="str">
        <f t="shared" si="1"/>
        <v>***</v>
      </c>
      <c r="N57" t="str">
        <f t="shared" si="2"/>
        <v>***</v>
      </c>
      <c r="P57">
        <v>56</v>
      </c>
      <c r="Q57" t="s">
        <v>45</v>
      </c>
      <c r="R57" s="50">
        <v>2.7310000000000001E-2</v>
      </c>
      <c r="S57" s="50">
        <v>2.0445000000000001E-2</v>
      </c>
      <c r="T57">
        <v>1.3358000000000001</v>
      </c>
      <c r="U57">
        <v>0.18162739999999999</v>
      </c>
      <c r="W57" t="str">
        <f t="shared" si="3"/>
        <v/>
      </c>
    </row>
    <row r="58" spans="1:23" x14ac:dyDescent="0.25">
      <c r="A58">
        <v>57</v>
      </c>
      <c r="B58" t="s">
        <v>46</v>
      </c>
      <c r="C58" s="50">
        <v>-0.1546312</v>
      </c>
      <c r="D58" s="50">
        <v>0</v>
      </c>
      <c r="E58">
        <v>-7.4950553500000003E-2</v>
      </c>
      <c r="F58" s="50">
        <v>0.26892060000000001</v>
      </c>
      <c r="G58">
        <v>-0.22958175319999999</v>
      </c>
      <c r="H58" s="50">
        <v>6.8351179999999998E-4</v>
      </c>
      <c r="J58" t="str">
        <f t="shared" si="0"/>
        <v>***</v>
      </c>
      <c r="L58" t="str">
        <f t="shared" si="1"/>
        <v/>
      </c>
      <c r="N58" t="str">
        <f t="shared" si="2"/>
        <v>***</v>
      </c>
      <c r="P58">
        <v>57</v>
      </c>
      <c r="Q58" t="s">
        <v>48</v>
      </c>
      <c r="R58" s="50">
        <v>-4.8218999999999998E-2</v>
      </c>
      <c r="S58" s="50">
        <v>1.0618000000000001E-2</v>
      </c>
      <c r="T58">
        <v>-4.5411999999999999</v>
      </c>
      <c r="U58" s="50">
        <v>5.5929999999999996E-6</v>
      </c>
      <c r="W58" t="str">
        <f t="shared" si="3"/>
        <v>***</v>
      </c>
    </row>
    <row r="59" spans="1:23" x14ac:dyDescent="0.25">
      <c r="B59" t="s">
        <v>716</v>
      </c>
      <c r="C59" s="26">
        <v>43259</v>
      </c>
      <c r="D59" s="50"/>
      <c r="F59" s="50"/>
      <c r="H59" s="50"/>
      <c r="P59">
        <v>58</v>
      </c>
      <c r="Q59" t="s">
        <v>46</v>
      </c>
      <c r="R59" s="50">
        <v>-0.15323000000000001</v>
      </c>
      <c r="S59" s="50">
        <v>1.6712000000000001E-2</v>
      </c>
      <c r="T59">
        <v>-9.1683000000000003</v>
      </c>
      <c r="U59" s="50">
        <v>2.2E-16</v>
      </c>
      <c r="W59" t="str">
        <f t="shared" si="3"/>
        <v>***</v>
      </c>
    </row>
    <row r="60" spans="1:23" x14ac:dyDescent="0.25">
      <c r="P60">
        <v>59</v>
      </c>
      <c r="Q60" t="s">
        <v>731</v>
      </c>
      <c r="R60" s="50">
        <v>1.7753000000000001E-2</v>
      </c>
      <c r="S60" s="50">
        <v>3.2585000000000003E-2</v>
      </c>
      <c r="T60">
        <v>0.54479999999999995</v>
      </c>
      <c r="U60">
        <v>0.58588370000000001</v>
      </c>
      <c r="W60" t="str">
        <f t="shared" si="3"/>
        <v/>
      </c>
    </row>
    <row r="61" spans="1:23" x14ac:dyDescent="0.25">
      <c r="B61" t="s">
        <v>718</v>
      </c>
      <c r="C61">
        <v>0.84179999999999999</v>
      </c>
      <c r="D61" t="s">
        <v>719</v>
      </c>
      <c r="E61">
        <v>22756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732</v>
      </c>
      <c r="R61" s="50">
        <v>7.9328999999999999E-4</v>
      </c>
      <c r="S61" s="50">
        <v>5.3884000000000001E-5</v>
      </c>
      <c r="T61">
        <v>14.722300000000001</v>
      </c>
      <c r="U61" s="50">
        <v>2.2E-16</v>
      </c>
      <c r="W61" t="str">
        <f t="shared" si="3"/>
        <v>***</v>
      </c>
    </row>
    <row r="62" spans="1:23" x14ac:dyDescent="0.25">
      <c r="B62" t="s">
        <v>497</v>
      </c>
      <c r="C62">
        <v>-26562</v>
      </c>
      <c r="P62">
        <v>61</v>
      </c>
      <c r="Q62" t="s">
        <v>733</v>
      </c>
      <c r="R62" s="50">
        <v>3.8041999999999999E-2</v>
      </c>
      <c r="S62" s="50">
        <v>1.3295E-2</v>
      </c>
      <c r="T62">
        <v>2.8614999999999999</v>
      </c>
      <c r="U62">
        <v>4.2167999999999997E-3</v>
      </c>
      <c r="W62" t="str">
        <f t="shared" si="3"/>
        <v>***</v>
      </c>
    </row>
    <row r="63" spans="1:23" x14ac:dyDescent="0.25">
      <c r="B63" t="s">
        <v>717</v>
      </c>
      <c r="C63">
        <v>13398.09</v>
      </c>
      <c r="P63">
        <v>62</v>
      </c>
      <c r="Q63" t="s">
        <v>734</v>
      </c>
      <c r="R63" s="50">
        <v>1.6764000000000001E-2</v>
      </c>
      <c r="S63" s="50">
        <v>1.3464E-2</v>
      </c>
      <c r="T63">
        <v>1.2451000000000001</v>
      </c>
      <c r="U63">
        <v>0.21309539999999999</v>
      </c>
      <c r="W63" t="str">
        <f t="shared" si="3"/>
        <v/>
      </c>
    </row>
    <row r="64" spans="1:23" x14ac:dyDescent="0.25">
      <c r="P64">
        <v>63</v>
      </c>
      <c r="Q64" t="s">
        <v>735</v>
      </c>
      <c r="R64" s="50">
        <v>6.4297000000000007E-2</v>
      </c>
      <c r="S64" s="50">
        <v>1.3565000000000001E-2</v>
      </c>
      <c r="T64">
        <v>4.7401</v>
      </c>
      <c r="U64" s="50">
        <v>2.136E-6</v>
      </c>
      <c r="W64" t="str">
        <f t="shared" si="3"/>
        <v>***</v>
      </c>
    </row>
    <row r="65" spans="16:23" x14ac:dyDescent="0.25">
      <c r="P65">
        <v>64</v>
      </c>
      <c r="Q65" t="s">
        <v>736</v>
      </c>
      <c r="R65" s="50">
        <v>2.1477E-2</v>
      </c>
      <c r="S65" s="50">
        <v>3.1233E-2</v>
      </c>
      <c r="T65">
        <v>0.68759999999999999</v>
      </c>
      <c r="U65">
        <v>0.4916779</v>
      </c>
      <c r="W65" t="str">
        <f t="shared" si="3"/>
        <v/>
      </c>
    </row>
    <row r="66" spans="16:23" x14ac:dyDescent="0.25">
      <c r="P66">
        <v>65</v>
      </c>
      <c r="Q66" t="s">
        <v>737</v>
      </c>
      <c r="R66" s="50">
        <v>2.7404000000000001E-2</v>
      </c>
      <c r="S66" s="50">
        <v>3.5381999999999997E-2</v>
      </c>
      <c r="T66">
        <v>0.77449999999999997</v>
      </c>
      <c r="U66">
        <v>0.43862269999999998</v>
      </c>
      <c r="W66" t="str">
        <f t="shared" si="3"/>
        <v/>
      </c>
    </row>
    <row r="67" spans="16:23" x14ac:dyDescent="0.25">
      <c r="P67">
        <v>66</v>
      </c>
      <c r="Q67" t="s">
        <v>738</v>
      </c>
      <c r="R67" s="50">
        <v>-5.5312E-2</v>
      </c>
      <c r="S67" s="50">
        <v>3.5869999999999999E-2</v>
      </c>
      <c r="T67">
        <v>-1.542</v>
      </c>
      <c r="U67">
        <v>0.1230681</v>
      </c>
      <c r="W67" t="str">
        <f t="shared" ref="W67:W116" si="4">IF(U67&lt;0.01,"***",IF(U67&lt;0.05,"**",IF(U67&lt;0.1,"*","")))</f>
        <v/>
      </c>
    </row>
    <row r="68" spans="16:23" x14ac:dyDescent="0.25">
      <c r="P68">
        <v>67</v>
      </c>
      <c r="Q68" t="s">
        <v>739</v>
      </c>
      <c r="R68" s="50">
        <v>9.2893000000000003E-2</v>
      </c>
      <c r="S68" s="50">
        <v>6.2645000000000006E-2</v>
      </c>
      <c r="T68">
        <v>1.4827999999999999</v>
      </c>
      <c r="U68">
        <v>0.13811680000000001</v>
      </c>
      <c r="W68" t="str">
        <f t="shared" si="4"/>
        <v/>
      </c>
    </row>
    <row r="69" spans="16:23" x14ac:dyDescent="0.25">
      <c r="P69">
        <v>68</v>
      </c>
      <c r="Q69" t="s">
        <v>740</v>
      </c>
      <c r="R69" s="50">
        <v>-4.8106000000000003E-2</v>
      </c>
      <c r="S69" s="50">
        <v>2.6795999999999999E-3</v>
      </c>
      <c r="T69">
        <v>-17.9526</v>
      </c>
      <c r="U69" s="50">
        <v>2.2E-16</v>
      </c>
      <c r="W69" t="str">
        <f t="shared" si="4"/>
        <v>***</v>
      </c>
    </row>
    <row r="70" spans="16:23" x14ac:dyDescent="0.25">
      <c r="P70">
        <v>69</v>
      </c>
      <c r="Q70" t="s">
        <v>741</v>
      </c>
      <c r="R70" s="50">
        <v>-4.9994999999999998E-2</v>
      </c>
      <c r="S70" s="50">
        <v>4.5386999999999997E-3</v>
      </c>
      <c r="T70">
        <v>-11.0153</v>
      </c>
      <c r="U70" s="50">
        <v>2.2E-16</v>
      </c>
      <c r="W70" t="str">
        <f t="shared" si="4"/>
        <v>***</v>
      </c>
    </row>
    <row r="71" spans="16:23" x14ac:dyDescent="0.25">
      <c r="P71">
        <v>70</v>
      </c>
      <c r="Q71" t="s">
        <v>742</v>
      </c>
      <c r="R71" s="50">
        <v>-4.0166E-2</v>
      </c>
      <c r="S71" s="50">
        <v>5.1998000000000001E-3</v>
      </c>
      <c r="T71">
        <v>-7.7244999999999999</v>
      </c>
      <c r="U71" s="50">
        <v>1.1319999999999999E-14</v>
      </c>
      <c r="W71" t="str">
        <f t="shared" si="4"/>
        <v>***</v>
      </c>
    </row>
    <row r="72" spans="16:23" x14ac:dyDescent="0.25">
      <c r="P72">
        <v>71</v>
      </c>
      <c r="Q72" t="s">
        <v>743</v>
      </c>
      <c r="R72" s="50">
        <v>-2.9471E-4</v>
      </c>
      <c r="S72" s="50">
        <v>6.0178999999999996E-3</v>
      </c>
      <c r="T72">
        <v>-4.9000000000000002E-2</v>
      </c>
      <c r="U72">
        <v>0.96094089999999999</v>
      </c>
      <c r="W72" t="str">
        <f t="shared" si="4"/>
        <v/>
      </c>
    </row>
    <row r="73" spans="16:23" x14ac:dyDescent="0.25">
      <c r="P73">
        <v>72</v>
      </c>
      <c r="Q73" t="s">
        <v>744</v>
      </c>
      <c r="R73" s="50">
        <v>2.6967999999999999E-2</v>
      </c>
      <c r="S73" s="50">
        <v>9.0992E-3</v>
      </c>
      <c r="T73">
        <v>2.9638</v>
      </c>
      <c r="U73">
        <v>3.0387000000000001E-3</v>
      </c>
      <c r="W73" t="str">
        <f t="shared" si="4"/>
        <v>***</v>
      </c>
    </row>
    <row r="74" spans="16:23" x14ac:dyDescent="0.25">
      <c r="P74">
        <v>73</v>
      </c>
      <c r="Q74" t="s">
        <v>745</v>
      </c>
      <c r="R74" s="50">
        <v>-5.1388999999999999E-5</v>
      </c>
      <c r="S74" s="50">
        <v>4.2415E-6</v>
      </c>
      <c r="T74">
        <v>-12.116</v>
      </c>
      <c r="U74" s="50">
        <v>2.2E-16</v>
      </c>
      <c r="W74" t="str">
        <f t="shared" si="4"/>
        <v>***</v>
      </c>
    </row>
    <row r="75" spans="16:23" x14ac:dyDescent="0.25">
      <c r="P75">
        <v>74</v>
      </c>
      <c r="Q75" t="s">
        <v>746</v>
      </c>
      <c r="R75" s="50">
        <v>3.5797999999999998E-4</v>
      </c>
      <c r="S75" s="50">
        <v>3.9702999999999998E-4</v>
      </c>
      <c r="T75">
        <v>0.90169999999999995</v>
      </c>
      <c r="U75">
        <v>0.36723529999999999</v>
      </c>
      <c r="W75" t="str">
        <f t="shared" si="4"/>
        <v/>
      </c>
    </row>
    <row r="76" spans="16:23" x14ac:dyDescent="0.25">
      <c r="P76">
        <v>75</v>
      </c>
      <c r="Q76" t="s">
        <v>747</v>
      </c>
      <c r="R76" s="50">
        <v>-2.7196000000000002E-4</v>
      </c>
      <c r="S76" s="50">
        <v>4.4562999999999998E-3</v>
      </c>
      <c r="T76">
        <v>-6.0999999999999999E-2</v>
      </c>
      <c r="U76">
        <v>0.95133679999999998</v>
      </c>
      <c r="W76" t="str">
        <f t="shared" si="4"/>
        <v/>
      </c>
    </row>
    <row r="77" spans="16:23" x14ac:dyDescent="0.25">
      <c r="P77">
        <v>76</v>
      </c>
      <c r="Q77" t="s">
        <v>748</v>
      </c>
      <c r="R77" s="50">
        <v>1.0623E-2</v>
      </c>
      <c r="S77" s="50">
        <v>2.7751000000000001E-2</v>
      </c>
      <c r="T77">
        <v>0.38279999999999997</v>
      </c>
      <c r="U77">
        <v>0.7018759</v>
      </c>
      <c r="W77" t="str">
        <f t="shared" si="4"/>
        <v/>
      </c>
    </row>
    <row r="78" spans="16:23" x14ac:dyDescent="0.25">
      <c r="P78">
        <v>77</v>
      </c>
      <c r="Q78" t="s">
        <v>749</v>
      </c>
      <c r="R78" s="50">
        <v>-5.2970999999999997E-2</v>
      </c>
      <c r="S78" s="50">
        <v>9.7503999999999993E-3</v>
      </c>
      <c r="T78">
        <v>-5.4328000000000003</v>
      </c>
      <c r="U78" s="50">
        <v>5.5490000000000003E-8</v>
      </c>
      <c r="W78" t="str">
        <f t="shared" si="4"/>
        <v>***</v>
      </c>
    </row>
    <row r="79" spans="16:23" x14ac:dyDescent="0.25">
      <c r="P79">
        <v>78</v>
      </c>
      <c r="Q79" t="s">
        <v>750</v>
      </c>
      <c r="R79" s="50">
        <v>-5.5546999999999999E-2</v>
      </c>
      <c r="S79" s="50">
        <v>9.6731000000000004E-3</v>
      </c>
      <c r="T79">
        <v>-5.7423999999999999</v>
      </c>
      <c r="U79" s="50">
        <v>9.3329999999999999E-9</v>
      </c>
      <c r="W79" t="str">
        <f t="shared" si="4"/>
        <v>***</v>
      </c>
    </row>
    <row r="80" spans="16:23" x14ac:dyDescent="0.25">
      <c r="P80">
        <v>79</v>
      </c>
      <c r="Q80" t="s">
        <v>751</v>
      </c>
      <c r="R80" s="50">
        <v>5.1950999999999997E-2</v>
      </c>
      <c r="S80" s="50">
        <v>1.7661E-2</v>
      </c>
      <c r="T80">
        <v>2.9416000000000002</v>
      </c>
      <c r="U80">
        <v>3.2647000000000002E-3</v>
      </c>
      <c r="W80" t="str">
        <f t="shared" si="4"/>
        <v>***</v>
      </c>
    </row>
    <row r="81" spans="16:23" x14ac:dyDescent="0.25">
      <c r="P81">
        <v>80</v>
      </c>
      <c r="Q81" t="s">
        <v>752</v>
      </c>
      <c r="R81" s="50">
        <v>2.1557E-2</v>
      </c>
      <c r="S81" s="50">
        <v>1.5934E-2</v>
      </c>
      <c r="T81">
        <v>1.3529</v>
      </c>
      <c r="U81">
        <v>0.1760968</v>
      </c>
      <c r="W81" t="str">
        <f t="shared" si="4"/>
        <v/>
      </c>
    </row>
    <row r="82" spans="16:23" x14ac:dyDescent="0.25">
      <c r="P82">
        <v>81</v>
      </c>
      <c r="Q82" t="s">
        <v>753</v>
      </c>
      <c r="R82" s="50">
        <v>5.7528999999999997E-2</v>
      </c>
      <c r="S82" s="50">
        <v>2.5829999999999999E-2</v>
      </c>
      <c r="T82">
        <v>2.2271999999999998</v>
      </c>
      <c r="U82">
        <v>2.5933899999999999E-2</v>
      </c>
      <c r="W82" t="str">
        <f t="shared" si="4"/>
        <v>**</v>
      </c>
    </row>
    <row r="83" spans="16:23" x14ac:dyDescent="0.25">
      <c r="P83">
        <v>82</v>
      </c>
      <c r="Q83" t="s">
        <v>754</v>
      </c>
      <c r="R83" s="50">
        <v>0.11534</v>
      </c>
      <c r="S83" s="50">
        <v>1.2246E-2</v>
      </c>
      <c r="T83">
        <v>9.4179999999999993</v>
      </c>
      <c r="U83" s="50">
        <v>2.2E-16</v>
      </c>
      <c r="W83" t="str">
        <f t="shared" si="4"/>
        <v>***</v>
      </c>
    </row>
    <row r="84" spans="16:23" x14ac:dyDescent="0.25">
      <c r="P84">
        <v>83</v>
      </c>
      <c r="Q84" t="s">
        <v>755</v>
      </c>
      <c r="R84" s="50">
        <v>0.11114</v>
      </c>
      <c r="S84" s="50">
        <v>1.3218000000000001E-2</v>
      </c>
      <c r="T84">
        <v>8.4082000000000008</v>
      </c>
      <c r="U84" s="50">
        <v>2.2E-16</v>
      </c>
      <c r="W84" t="str">
        <f t="shared" si="4"/>
        <v>***</v>
      </c>
    </row>
    <row r="85" spans="16:23" x14ac:dyDescent="0.25">
      <c r="P85">
        <v>84</v>
      </c>
      <c r="Q85" t="s">
        <v>756</v>
      </c>
      <c r="R85" s="50">
        <v>0.11209</v>
      </c>
      <c r="S85" s="50">
        <v>1.0609E-2</v>
      </c>
      <c r="T85">
        <v>10.5656</v>
      </c>
      <c r="U85" s="50">
        <v>2.2E-16</v>
      </c>
      <c r="W85" t="str">
        <f t="shared" si="4"/>
        <v>***</v>
      </c>
    </row>
    <row r="86" spans="16:23" x14ac:dyDescent="0.25">
      <c r="P86">
        <v>85</v>
      </c>
      <c r="Q86" t="s">
        <v>757</v>
      </c>
      <c r="R86" s="50">
        <v>8.5902000000000006E-2</v>
      </c>
      <c r="S86" s="50">
        <v>1.3391E-2</v>
      </c>
      <c r="T86">
        <v>6.4149000000000003</v>
      </c>
      <c r="U86" s="50">
        <v>1.409E-10</v>
      </c>
      <c r="W86" t="str">
        <f t="shared" si="4"/>
        <v>***</v>
      </c>
    </row>
    <row r="87" spans="16:23" x14ac:dyDescent="0.25">
      <c r="P87">
        <v>86</v>
      </c>
      <c r="Q87" t="s">
        <v>758</v>
      </c>
      <c r="R87" s="50">
        <v>5.1838000000000002E-2</v>
      </c>
      <c r="S87" s="50">
        <v>3.1158000000000002E-2</v>
      </c>
      <c r="T87">
        <v>1.6637</v>
      </c>
      <c r="U87">
        <v>9.6175499999999997E-2</v>
      </c>
      <c r="W87" t="str">
        <f t="shared" si="4"/>
        <v>*</v>
      </c>
    </row>
    <row r="88" spans="16:23" x14ac:dyDescent="0.25">
      <c r="P88">
        <v>87</v>
      </c>
      <c r="Q88" t="s">
        <v>759</v>
      </c>
      <c r="R88" s="50">
        <v>5.2516E-2</v>
      </c>
      <c r="S88" s="50">
        <v>1.1998E-2</v>
      </c>
      <c r="T88">
        <v>4.3769999999999998</v>
      </c>
      <c r="U88" s="50">
        <v>1.203E-5</v>
      </c>
      <c r="W88" t="str">
        <f t="shared" si="4"/>
        <v>***</v>
      </c>
    </row>
    <row r="89" spans="16:23" x14ac:dyDescent="0.25">
      <c r="P89">
        <v>88</v>
      </c>
      <c r="Q89" t="s">
        <v>760</v>
      </c>
      <c r="R89" s="50">
        <v>-0.15755</v>
      </c>
      <c r="S89" s="50">
        <v>1.1398E-2</v>
      </c>
      <c r="T89">
        <v>-13.822100000000001</v>
      </c>
      <c r="U89" s="50">
        <v>2.2E-16</v>
      </c>
      <c r="W89" t="str">
        <f t="shared" si="4"/>
        <v>***</v>
      </c>
    </row>
    <row r="90" spans="16:23" x14ac:dyDescent="0.25">
      <c r="P90">
        <v>89</v>
      </c>
      <c r="Q90" t="s">
        <v>761</v>
      </c>
      <c r="R90" s="50">
        <v>-0.14246</v>
      </c>
      <c r="S90" s="50">
        <v>2.1606E-2</v>
      </c>
      <c r="T90">
        <v>-6.5937999999999999</v>
      </c>
      <c r="U90" s="50">
        <v>4.2879999999999998E-11</v>
      </c>
      <c r="W90" t="str">
        <f t="shared" si="4"/>
        <v>***</v>
      </c>
    </row>
    <row r="91" spans="16:23" x14ac:dyDescent="0.25">
      <c r="P91">
        <v>90</v>
      </c>
      <c r="Q91" t="s">
        <v>762</v>
      </c>
      <c r="R91" s="50">
        <v>5.2442999999999997E-2</v>
      </c>
      <c r="S91" s="50">
        <v>1.5174E-2</v>
      </c>
      <c r="T91">
        <v>3.4561000000000002</v>
      </c>
      <c r="U91">
        <v>5.4799999999999998E-4</v>
      </c>
      <c r="W91" t="str">
        <f t="shared" si="4"/>
        <v>***</v>
      </c>
    </row>
    <row r="92" spans="16:23" x14ac:dyDescent="0.25">
      <c r="P92">
        <v>91</v>
      </c>
      <c r="Q92" t="s">
        <v>763</v>
      </c>
      <c r="R92" s="50">
        <v>5.3601999999999997E-2</v>
      </c>
      <c r="S92" s="50">
        <v>7.6226999999999996E-3</v>
      </c>
      <c r="T92">
        <v>7.032</v>
      </c>
      <c r="U92" s="50">
        <v>2.0369999999999999E-12</v>
      </c>
      <c r="W92" t="str">
        <f t="shared" si="4"/>
        <v>***</v>
      </c>
    </row>
    <row r="93" spans="16:23" x14ac:dyDescent="0.25">
      <c r="P93">
        <v>92</v>
      </c>
      <c r="Q93" t="s">
        <v>764</v>
      </c>
      <c r="R93" s="50">
        <v>8.9998999999999996E-2</v>
      </c>
      <c r="S93" s="50">
        <v>9.4290999999999993E-3</v>
      </c>
      <c r="T93">
        <v>9.5448000000000004</v>
      </c>
      <c r="U93" s="50">
        <v>2.2E-16</v>
      </c>
      <c r="W93" t="str">
        <f t="shared" si="4"/>
        <v>***</v>
      </c>
    </row>
    <row r="94" spans="16:23" x14ac:dyDescent="0.25">
      <c r="P94">
        <v>93</v>
      </c>
      <c r="Q94" t="s">
        <v>765</v>
      </c>
      <c r="R94" s="50">
        <v>0.12936</v>
      </c>
      <c r="S94" s="50">
        <v>2.0881E-2</v>
      </c>
      <c r="T94">
        <v>6.1947999999999999</v>
      </c>
      <c r="U94" s="50">
        <v>5.8339999999999997E-10</v>
      </c>
      <c r="W94" t="str">
        <f t="shared" si="4"/>
        <v>***</v>
      </c>
    </row>
    <row r="95" spans="16:23" x14ac:dyDescent="0.25">
      <c r="P95">
        <v>94</v>
      </c>
      <c r="Q95" t="s">
        <v>766</v>
      </c>
      <c r="R95" s="50">
        <v>6.4019999999999994E-2</v>
      </c>
      <c r="S95" s="50">
        <v>1.1753E-2</v>
      </c>
      <c r="T95">
        <v>5.4470000000000001</v>
      </c>
      <c r="U95" s="50">
        <v>5.1219999999999998E-8</v>
      </c>
      <c r="W95" t="str">
        <f t="shared" si="4"/>
        <v>***</v>
      </c>
    </row>
    <row r="96" spans="16:23" x14ac:dyDescent="0.25">
      <c r="P96">
        <v>95</v>
      </c>
      <c r="Q96" t="s">
        <v>767</v>
      </c>
      <c r="R96" s="50">
        <v>8.8793999999999998E-2</v>
      </c>
      <c r="S96" s="50">
        <v>2.7691E-2</v>
      </c>
      <c r="T96">
        <v>3.2065999999999999</v>
      </c>
      <c r="U96">
        <v>1.3431999999999999E-3</v>
      </c>
      <c r="W96" t="str">
        <f t="shared" si="4"/>
        <v>***</v>
      </c>
    </row>
    <row r="97" spans="16:23" x14ac:dyDescent="0.25">
      <c r="P97">
        <v>96</v>
      </c>
      <c r="Q97" t="s">
        <v>768</v>
      </c>
      <c r="R97" s="50">
        <v>-0.12837999999999999</v>
      </c>
      <c r="S97" s="50">
        <v>1.0495000000000001E-2</v>
      </c>
      <c r="T97">
        <v>-12.231999999999999</v>
      </c>
      <c r="U97" s="50">
        <v>2.2E-16</v>
      </c>
      <c r="W97" t="str">
        <f t="shared" si="4"/>
        <v>***</v>
      </c>
    </row>
    <row r="98" spans="16:23" x14ac:dyDescent="0.25">
      <c r="P98">
        <v>97</v>
      </c>
      <c r="Q98" t="s">
        <v>769</v>
      </c>
      <c r="R98" s="50">
        <v>-0.23613000000000001</v>
      </c>
      <c r="S98" s="50">
        <v>1.1906E-2</v>
      </c>
      <c r="T98">
        <v>-19.8322</v>
      </c>
      <c r="U98" s="50">
        <v>2.2E-16</v>
      </c>
      <c r="W98" t="str">
        <f t="shared" si="4"/>
        <v>***</v>
      </c>
    </row>
    <row r="99" spans="16:23" x14ac:dyDescent="0.25">
      <c r="P99">
        <v>98</v>
      </c>
      <c r="Q99" t="s">
        <v>770</v>
      </c>
      <c r="R99" s="50">
        <v>-0.26802999999999999</v>
      </c>
      <c r="S99" s="50">
        <v>1.8102E-2</v>
      </c>
      <c r="T99">
        <v>-14.8066</v>
      </c>
      <c r="U99" s="50">
        <v>2.2E-16</v>
      </c>
      <c r="W99" t="str">
        <f t="shared" si="4"/>
        <v>***</v>
      </c>
    </row>
    <row r="100" spans="16:23" x14ac:dyDescent="0.25">
      <c r="P100">
        <v>99</v>
      </c>
      <c r="Q100" t="s">
        <v>771</v>
      </c>
      <c r="R100" s="50">
        <v>-0.28027000000000002</v>
      </c>
      <c r="S100" s="50">
        <v>1.545E-2</v>
      </c>
      <c r="T100">
        <v>-18.1403</v>
      </c>
      <c r="U100" s="50">
        <v>2.2E-16</v>
      </c>
      <c r="W100" t="str">
        <f t="shared" si="4"/>
        <v>***</v>
      </c>
    </row>
    <row r="101" spans="16:23" x14ac:dyDescent="0.25">
      <c r="P101">
        <v>100</v>
      </c>
      <c r="Q101" t="s">
        <v>772</v>
      </c>
      <c r="R101" s="50">
        <v>-0.28319</v>
      </c>
      <c r="S101" s="50">
        <v>2.2141000000000001E-2</v>
      </c>
      <c r="T101">
        <v>-12.7902</v>
      </c>
      <c r="U101" s="50">
        <v>2.2E-16</v>
      </c>
      <c r="W101" t="str">
        <f t="shared" si="4"/>
        <v>***</v>
      </c>
    </row>
    <row r="102" spans="16:23" x14ac:dyDescent="0.25">
      <c r="P102">
        <v>101</v>
      </c>
      <c r="Q102" t="s">
        <v>773</v>
      </c>
      <c r="R102" s="50">
        <v>-1.5559999999999999E-4</v>
      </c>
      <c r="S102" s="50">
        <v>4.1162000000000003E-5</v>
      </c>
      <c r="T102">
        <v>-3.7801999999999998</v>
      </c>
      <c r="U102">
        <v>1.5669999999999999E-4</v>
      </c>
      <c r="W102" t="str">
        <f t="shared" si="4"/>
        <v>***</v>
      </c>
    </row>
    <row r="103" spans="16:23" x14ac:dyDescent="0.25">
      <c r="P103">
        <v>102</v>
      </c>
      <c r="Q103" t="s">
        <v>774</v>
      </c>
      <c r="R103" s="50">
        <v>-2.7264E-2</v>
      </c>
      <c r="S103" s="50">
        <v>7.9159999999999994E-3</v>
      </c>
      <c r="T103">
        <v>-3.4441000000000002</v>
      </c>
      <c r="U103">
        <v>5.7300000000000005E-4</v>
      </c>
      <c r="W103" t="str">
        <f t="shared" si="4"/>
        <v>***</v>
      </c>
    </row>
    <row r="104" spans="16:23" x14ac:dyDescent="0.25">
      <c r="P104">
        <v>103</v>
      </c>
      <c r="Q104" t="s">
        <v>775</v>
      </c>
      <c r="R104" s="50">
        <v>-4.2452000000000002E-3</v>
      </c>
      <c r="S104" s="50">
        <v>2.1581999999999999E-3</v>
      </c>
      <c r="T104">
        <v>-1.9671000000000001</v>
      </c>
      <c r="U104">
        <v>4.9176600000000001E-2</v>
      </c>
      <c r="W104" t="str">
        <f t="shared" si="4"/>
        <v>**</v>
      </c>
    </row>
    <row r="105" spans="16:23" x14ac:dyDescent="0.25">
      <c r="P105">
        <v>104</v>
      </c>
      <c r="Q105" t="s">
        <v>776</v>
      </c>
      <c r="R105" s="50">
        <v>8.0987000000000003E-2</v>
      </c>
      <c r="S105" s="50">
        <v>1.6737999999999999E-2</v>
      </c>
      <c r="T105">
        <v>4.8384</v>
      </c>
      <c r="U105" s="50">
        <v>1.3090000000000001E-6</v>
      </c>
      <c r="W105" t="str">
        <f t="shared" si="4"/>
        <v>***</v>
      </c>
    </row>
    <row r="106" spans="16:23" x14ac:dyDescent="0.25">
      <c r="P106">
        <v>105</v>
      </c>
      <c r="Q106" t="s">
        <v>777</v>
      </c>
      <c r="R106" s="50">
        <v>-0.11874</v>
      </c>
      <c r="S106" s="50">
        <v>1.7427000000000002E-2</v>
      </c>
      <c r="T106">
        <v>-6.8139000000000003</v>
      </c>
      <c r="U106" s="50">
        <v>9.4969999999999996E-12</v>
      </c>
      <c r="W106" t="str">
        <f t="shared" si="4"/>
        <v>***</v>
      </c>
    </row>
    <row r="107" spans="16:23" x14ac:dyDescent="0.25">
      <c r="P107">
        <v>106</v>
      </c>
      <c r="Q107" t="s">
        <v>778</v>
      </c>
      <c r="R107" s="50">
        <v>-2.6172999999999998E-2</v>
      </c>
      <c r="S107" s="50">
        <v>1.2808999999999999E-2</v>
      </c>
      <c r="T107">
        <v>-2.0432999999999999</v>
      </c>
      <c r="U107">
        <v>4.1022200000000002E-2</v>
      </c>
      <c r="W107" t="str">
        <f t="shared" si="4"/>
        <v>**</v>
      </c>
    </row>
    <row r="108" spans="16:23" x14ac:dyDescent="0.25">
      <c r="P108">
        <v>107</v>
      </c>
      <c r="Q108" t="s">
        <v>779</v>
      </c>
      <c r="R108" s="50">
        <v>-1.9462E-2</v>
      </c>
      <c r="S108" s="50">
        <v>1.3925E-2</v>
      </c>
      <c r="T108">
        <v>-1.3976</v>
      </c>
      <c r="U108">
        <v>0.16222690000000001</v>
      </c>
      <c r="W108" t="str">
        <f t="shared" si="4"/>
        <v/>
      </c>
    </row>
    <row r="109" spans="16:23" x14ac:dyDescent="0.25">
      <c r="P109">
        <v>108</v>
      </c>
      <c r="Q109" t="s">
        <v>780</v>
      </c>
      <c r="R109" s="50">
        <v>-2.4912E-2</v>
      </c>
      <c r="S109" s="50">
        <v>8.0928000000000007E-3</v>
      </c>
      <c r="T109">
        <v>-3.0781999999999998</v>
      </c>
      <c r="U109">
        <v>2.0822000000000002E-3</v>
      </c>
      <c r="W109" t="str">
        <f t="shared" si="4"/>
        <v>***</v>
      </c>
    </row>
    <row r="110" spans="16:23" x14ac:dyDescent="0.25">
      <c r="P110">
        <v>109</v>
      </c>
      <c r="Q110" t="s">
        <v>781</v>
      </c>
      <c r="R110" s="50">
        <v>-2.4621000000000001E-2</v>
      </c>
      <c r="S110" s="50">
        <v>9.1412000000000004E-3</v>
      </c>
      <c r="T110">
        <v>-2.6934</v>
      </c>
      <c r="U110">
        <v>7.0730000000000003E-3</v>
      </c>
      <c r="W110" t="str">
        <f t="shared" si="4"/>
        <v>***</v>
      </c>
    </row>
    <row r="111" spans="16:23" x14ac:dyDescent="0.25">
      <c r="P111">
        <v>110</v>
      </c>
      <c r="Q111" t="s">
        <v>782</v>
      </c>
      <c r="R111" s="50">
        <v>-3.3118000000000002E-2</v>
      </c>
      <c r="S111" s="50">
        <v>7.3987000000000002E-3</v>
      </c>
      <c r="T111">
        <v>-4.4763000000000002</v>
      </c>
      <c r="U111" s="50">
        <v>7.5959999999999998E-6</v>
      </c>
      <c r="W111" t="str">
        <f t="shared" si="4"/>
        <v>***</v>
      </c>
    </row>
    <row r="112" spans="16:23" x14ac:dyDescent="0.25">
      <c r="P112">
        <v>111</v>
      </c>
      <c r="Q112" t="s">
        <v>783</v>
      </c>
      <c r="R112" s="50">
        <v>-0.32128000000000001</v>
      </c>
      <c r="S112" s="50">
        <v>5.5236E-2</v>
      </c>
      <c r="T112">
        <v>-5.8163999999999998</v>
      </c>
      <c r="U112" s="50">
        <v>6.011E-9</v>
      </c>
      <c r="W112" t="str">
        <f t="shared" si="4"/>
        <v>***</v>
      </c>
    </row>
    <row r="113" spans="16:23" x14ac:dyDescent="0.25">
      <c r="P113">
        <v>112</v>
      </c>
      <c r="Q113" t="s">
        <v>784</v>
      </c>
      <c r="R113" s="50">
        <v>-3.7018000000000002E-2</v>
      </c>
      <c r="S113" s="50">
        <v>1.4593E-2</v>
      </c>
      <c r="T113">
        <v>-2.5367000000000002</v>
      </c>
      <c r="U113">
        <v>1.11888E-2</v>
      </c>
      <c r="W113" t="str">
        <f t="shared" si="4"/>
        <v>**</v>
      </c>
    </row>
    <row r="114" spans="16:23" x14ac:dyDescent="0.25">
      <c r="P114">
        <v>113</v>
      </c>
      <c r="Q114" t="s">
        <v>785</v>
      </c>
      <c r="R114" s="50">
        <v>-7.2992000000000001E-2</v>
      </c>
      <c r="S114" s="50">
        <v>2.5885999999999999E-2</v>
      </c>
      <c r="T114">
        <v>-2.8197999999999999</v>
      </c>
      <c r="U114">
        <v>4.8057000000000004E-3</v>
      </c>
      <c r="W114" t="str">
        <f t="shared" si="4"/>
        <v>***</v>
      </c>
    </row>
    <row r="115" spans="16:23" x14ac:dyDescent="0.25">
      <c r="P115">
        <v>114</v>
      </c>
      <c r="Q115" t="s">
        <v>786</v>
      </c>
      <c r="R115" s="50">
        <v>0.14896999999999999</v>
      </c>
      <c r="S115" s="50">
        <v>1.2978E-2</v>
      </c>
      <c r="T115">
        <v>11.478899999999999</v>
      </c>
      <c r="U115" s="50">
        <v>2.2E-16</v>
      </c>
      <c r="W115" t="str">
        <f t="shared" si="4"/>
        <v>***</v>
      </c>
    </row>
    <row r="116" spans="16:23" x14ac:dyDescent="0.25">
      <c r="P116">
        <v>115</v>
      </c>
      <c r="Q116" t="s">
        <v>787</v>
      </c>
      <c r="R116" s="50">
        <v>0.1167</v>
      </c>
      <c r="S116" s="50">
        <v>1.985E-2</v>
      </c>
      <c r="T116">
        <v>5.8789999999999996</v>
      </c>
      <c r="U116" s="50">
        <v>4.1279999999999998E-9</v>
      </c>
      <c r="W116" t="str">
        <f t="shared" si="4"/>
        <v>***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FB54A-116B-4898-8009-F9DDB8C4C8A2}">
  <dimension ref="A1:W116"/>
  <sheetViews>
    <sheetView workbookViewId="0">
      <selection activeCell="A58" sqref="A58:N58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0.5703125" bestFit="1" customWidth="1"/>
    <col min="4" max="4" width="11.42578125" bestFit="1" customWidth="1"/>
    <col min="5" max="5" width="12.7109375" bestFit="1" customWidth="1"/>
    <col min="6" max="6" width="13.140625" bestFit="1" customWidth="1"/>
    <col min="7" max="7" width="12.7109375" bestFit="1" customWidth="1"/>
    <col min="8" max="8" width="10.5703125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0">
        <v>1.603011E-2</v>
      </c>
      <c r="D2" s="50">
        <v>9.5722360000000006E-2</v>
      </c>
      <c r="E2">
        <v>0.77952110669999997</v>
      </c>
      <c r="F2" s="50">
        <v>2.3178040000000001E-3</v>
      </c>
      <c r="G2">
        <v>0.79555122089999997</v>
      </c>
      <c r="H2" s="50">
        <v>2.397485E-3</v>
      </c>
      <c r="J2" t="str">
        <f>IF(D2&lt;0.01,"***",IF(D2&lt;0.05,"**",IF(D2&lt;0.1,"*","")))</f>
        <v>*</v>
      </c>
      <c r="L2" t="str">
        <f>IF(F2&lt;0.01,"***",IF(F2&lt;0.05,"**",IF(F2&lt;0.1,"*","")))</f>
        <v>***</v>
      </c>
      <c r="N2" t="str">
        <f>IF(H2&lt;0.01,"***",IF(H2&lt;0.05,"**",IF(H2&lt;0.1,"*","")))</f>
        <v>***</v>
      </c>
      <c r="P2">
        <v>1</v>
      </c>
      <c r="Q2" t="s">
        <v>273</v>
      </c>
      <c r="R2" s="50">
        <v>1.6856</v>
      </c>
      <c r="S2" s="50">
        <v>6.3827999999999996E-2</v>
      </c>
      <c r="T2">
        <v>26.4085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0">
        <v>-1.1600240000000001E-4</v>
      </c>
      <c r="D3" s="50">
        <v>6.2208790000000002E-10</v>
      </c>
      <c r="E3">
        <v>4.6195326000000002E-3</v>
      </c>
      <c r="F3" s="50">
        <v>0</v>
      </c>
      <c r="G3">
        <v>4.5035301999999996E-3</v>
      </c>
      <c r="H3" s="50">
        <v>0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***</v>
      </c>
      <c r="N3" t="str">
        <f t="shared" ref="N3:N58" si="2">IF(H3&lt;0.01,"***",IF(H3&lt;0.05,"**",IF(H3&lt;0.1,"*","")))</f>
        <v>***</v>
      </c>
      <c r="P3">
        <v>2</v>
      </c>
      <c r="Q3" t="s">
        <v>11</v>
      </c>
      <c r="R3" s="50">
        <v>1.663E-3</v>
      </c>
      <c r="S3" s="50">
        <v>7.5307000000000004E-3</v>
      </c>
      <c r="T3">
        <v>0.2208</v>
      </c>
      <c r="U3">
        <v>0.82523009999999997</v>
      </c>
      <c r="W3" t="str">
        <f t="shared" ref="W3:W66" si="3">IF(U3&lt;0.01,"***",IF(U3&lt;0.05,"**",IF(U3&lt;0.1,"*","")))</f>
        <v/>
      </c>
    </row>
    <row r="4" spans="1:23" x14ac:dyDescent="0.25">
      <c r="A4">
        <v>3</v>
      </c>
      <c r="B4" t="s">
        <v>197</v>
      </c>
      <c r="C4" s="50">
        <v>4.1569269999999998E-2</v>
      </c>
      <c r="D4" s="50">
        <v>0</v>
      </c>
      <c r="E4">
        <v>0.36026821539999998</v>
      </c>
      <c r="F4" s="50">
        <v>3.1944389999999999E-3</v>
      </c>
      <c r="G4">
        <v>0.40183748279999998</v>
      </c>
      <c r="H4" s="50">
        <v>1.3258359999999999E-3</v>
      </c>
      <c r="J4" t="str">
        <f t="shared" si="0"/>
        <v>***</v>
      </c>
      <c r="L4" t="str">
        <f t="shared" si="1"/>
        <v>***</v>
      </c>
      <c r="N4" t="str">
        <f t="shared" si="2"/>
        <v>***</v>
      </c>
      <c r="P4">
        <v>3</v>
      </c>
      <c r="Q4" t="s">
        <v>16</v>
      </c>
      <c r="R4" s="50">
        <v>-2.0113999999999999E-4</v>
      </c>
      <c r="S4" s="50">
        <v>1.6297999999999999E-5</v>
      </c>
      <c r="T4">
        <v>-12.342000000000001</v>
      </c>
      <c r="U4" s="50">
        <v>2.2E-16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0">
        <v>5.6340639999999997E-2</v>
      </c>
      <c r="D5" s="50">
        <v>0</v>
      </c>
      <c r="E5">
        <v>0.49293387700000002</v>
      </c>
      <c r="F5" s="50">
        <v>4.1769059999999997E-5</v>
      </c>
      <c r="G5">
        <v>0.54927451370000002</v>
      </c>
      <c r="H5" s="50">
        <v>8.2596770000000003E-6</v>
      </c>
      <c r="J5" t="str">
        <f t="shared" si="0"/>
        <v>***</v>
      </c>
      <c r="L5" t="str">
        <f t="shared" si="1"/>
        <v>***</v>
      </c>
      <c r="N5" t="str">
        <f t="shared" si="2"/>
        <v>***</v>
      </c>
      <c r="P5">
        <v>4</v>
      </c>
      <c r="Q5" t="s">
        <v>197</v>
      </c>
      <c r="R5" s="50">
        <v>3.4929000000000002E-2</v>
      </c>
      <c r="S5" s="50">
        <v>3.8584000000000001E-3</v>
      </c>
      <c r="T5">
        <v>9.0527999999999995</v>
      </c>
      <c r="U5" s="50">
        <v>2.2E-16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0">
        <v>3.7120479999999997E-2</v>
      </c>
      <c r="D6" s="50">
        <v>8.4376949999999999E-15</v>
      </c>
      <c r="E6">
        <v>6.0975448199999997E-2</v>
      </c>
      <c r="F6" s="50">
        <v>0.60684959999999999</v>
      </c>
      <c r="G6">
        <v>9.8095925E-2</v>
      </c>
      <c r="H6" s="50">
        <v>0.41644569999999997</v>
      </c>
      <c r="J6" t="str">
        <f t="shared" si="0"/>
        <v>***</v>
      </c>
      <c r="L6" t="str">
        <f t="shared" si="1"/>
        <v/>
      </c>
      <c r="N6" t="str">
        <f t="shared" si="2"/>
        <v/>
      </c>
      <c r="P6">
        <v>5</v>
      </c>
      <c r="Q6" t="s">
        <v>200</v>
      </c>
      <c r="R6" s="50">
        <v>4.7255999999999999E-2</v>
      </c>
      <c r="S6" s="50">
        <v>3.8855000000000001E-3</v>
      </c>
      <c r="T6">
        <v>12.1622</v>
      </c>
      <c r="U6" s="50">
        <v>2.2E-16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0">
        <v>-1.031209E-4</v>
      </c>
      <c r="D7" s="50">
        <v>0.9923748</v>
      </c>
      <c r="E7">
        <v>-1.0494781363000001</v>
      </c>
      <c r="F7" s="50">
        <v>2.4584409999999999E-5</v>
      </c>
      <c r="G7">
        <v>-1.0495812572000001</v>
      </c>
      <c r="H7" s="50">
        <v>3.7856340000000002E-5</v>
      </c>
      <c r="J7" t="str">
        <f t="shared" si="0"/>
        <v/>
      </c>
      <c r="L7" t="str">
        <f t="shared" si="1"/>
        <v>***</v>
      </c>
      <c r="N7" t="str">
        <f t="shared" si="2"/>
        <v>***</v>
      </c>
      <c r="P7">
        <v>6</v>
      </c>
      <c r="Q7" t="s">
        <v>204</v>
      </c>
      <c r="R7" s="50">
        <v>3.5997000000000001E-2</v>
      </c>
      <c r="S7" s="50">
        <v>3.9288999999999999E-3</v>
      </c>
      <c r="T7">
        <v>9.1620000000000008</v>
      </c>
      <c r="U7" s="50">
        <v>2.2E-16</v>
      </c>
      <c r="W7" t="str">
        <f t="shared" si="3"/>
        <v>***</v>
      </c>
    </row>
    <row r="8" spans="1:23" x14ac:dyDescent="0.25">
      <c r="A8">
        <v>7</v>
      </c>
      <c r="B8" t="s">
        <v>207</v>
      </c>
      <c r="C8" s="50">
        <v>5.3250550000000001E-2</v>
      </c>
      <c r="D8" s="50">
        <v>5.4494400000000001E-7</v>
      </c>
      <c r="E8">
        <v>-0.22812952810000001</v>
      </c>
      <c r="F8" s="50">
        <v>0.40748489999999998</v>
      </c>
      <c r="G8">
        <v>-0.17487897999999999</v>
      </c>
      <c r="H8" s="50">
        <v>0.53553490000000004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1.924E-2</v>
      </c>
      <c r="S8" s="50">
        <v>7.7188999999999999E-3</v>
      </c>
      <c r="T8">
        <v>2.4925000000000002</v>
      </c>
      <c r="U8">
        <v>1.26833E-2</v>
      </c>
      <c r="W8" t="str">
        <f t="shared" si="3"/>
        <v>**</v>
      </c>
    </row>
    <row r="9" spans="1:23" x14ac:dyDescent="0.25">
      <c r="A9">
        <v>8</v>
      </c>
      <c r="B9" t="s">
        <v>209</v>
      </c>
      <c r="C9" s="50">
        <v>8.2136719999999996E-2</v>
      </c>
      <c r="D9" s="50">
        <v>2.3536729999999999E-14</v>
      </c>
      <c r="E9">
        <v>-0.67241375029999995</v>
      </c>
      <c r="F9" s="50">
        <v>1.373046E-2</v>
      </c>
      <c r="G9">
        <v>-0.59027703139999999</v>
      </c>
      <c r="H9" s="50">
        <v>3.4631589999999997E-2</v>
      </c>
      <c r="J9" t="str">
        <f t="shared" si="0"/>
        <v>***</v>
      </c>
      <c r="L9" t="str">
        <f t="shared" si="1"/>
        <v>**</v>
      </c>
      <c r="N9" t="str">
        <f t="shared" si="2"/>
        <v>**</v>
      </c>
      <c r="P9">
        <v>8</v>
      </c>
      <c r="Q9" t="s">
        <v>207</v>
      </c>
      <c r="R9" s="50">
        <v>5.7454999999999999E-2</v>
      </c>
      <c r="S9" s="50">
        <v>8.5258999999999995E-3</v>
      </c>
      <c r="T9">
        <v>6.7389000000000001</v>
      </c>
      <c r="U9" s="50">
        <v>1.5959999999999999E-11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0">
        <v>4.1479549999999997E-2</v>
      </c>
      <c r="D10" s="50">
        <v>0.12869040000000001</v>
      </c>
      <c r="E10">
        <v>-0.54093707889999998</v>
      </c>
      <c r="F10" s="50">
        <v>0.45256940000000001</v>
      </c>
      <c r="G10">
        <v>-0.4994575315</v>
      </c>
      <c r="H10" s="50">
        <v>0.49840960000000001</v>
      </c>
      <c r="J10" t="str">
        <f t="shared" si="0"/>
        <v/>
      </c>
      <c r="L10" t="str">
        <f t="shared" si="1"/>
        <v/>
      </c>
      <c r="N10" t="str">
        <f t="shared" si="2"/>
        <v/>
      </c>
      <c r="P10">
        <v>9</v>
      </c>
      <c r="Q10" t="s">
        <v>209</v>
      </c>
      <c r="R10" s="50">
        <v>9.4530000000000003E-2</v>
      </c>
      <c r="S10" s="50">
        <v>8.6878000000000007E-3</v>
      </c>
      <c r="T10">
        <v>10.880800000000001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0">
        <v>0.1125766</v>
      </c>
      <c r="D11" s="50">
        <v>0</v>
      </c>
      <c r="E11">
        <v>-0.1859426901</v>
      </c>
      <c r="F11" s="50">
        <v>0</v>
      </c>
      <c r="G11">
        <v>-7.33661377E-2</v>
      </c>
      <c r="H11" s="50">
        <v>3.4928969999999999E-4</v>
      </c>
      <c r="J11" t="str">
        <f t="shared" si="0"/>
        <v>***</v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5.1450000000000003E-2</v>
      </c>
      <c r="S11" s="50">
        <v>2.1770999999999999E-2</v>
      </c>
      <c r="T11">
        <v>2.3632</v>
      </c>
      <c r="U11">
        <v>1.81184E-2</v>
      </c>
      <c r="W11" t="str">
        <f t="shared" si="3"/>
        <v>**</v>
      </c>
    </row>
    <row r="12" spans="1:23" x14ac:dyDescent="0.25">
      <c r="A12">
        <v>11</v>
      </c>
      <c r="B12" t="s">
        <v>13</v>
      </c>
      <c r="C12" s="50">
        <v>8.1736409999999995E-2</v>
      </c>
      <c r="D12" s="50">
        <v>0</v>
      </c>
      <c r="E12">
        <v>-0.16375126349999999</v>
      </c>
      <c r="F12" s="50">
        <v>1.709872E-8</v>
      </c>
      <c r="G12">
        <v>-8.2014854999999998E-2</v>
      </c>
      <c r="H12" s="50">
        <v>5.9501450000000004E-3</v>
      </c>
      <c r="J12" t="str">
        <f t="shared" si="0"/>
        <v>***</v>
      </c>
      <c r="L12" t="str">
        <f t="shared" si="1"/>
        <v>***</v>
      </c>
      <c r="N12" t="str">
        <f t="shared" si="2"/>
        <v>***</v>
      </c>
      <c r="P12">
        <v>11</v>
      </c>
      <c r="Q12" t="s">
        <v>15</v>
      </c>
      <c r="R12" s="50">
        <v>0.11600000000000001</v>
      </c>
      <c r="S12" s="50">
        <v>2.4290000000000002E-3</v>
      </c>
      <c r="T12">
        <v>47.7575</v>
      </c>
      <c r="U12" s="50">
        <v>2.2E-16</v>
      </c>
      <c r="W12" t="str">
        <f t="shared" si="3"/>
        <v>***</v>
      </c>
    </row>
    <row r="13" spans="1:23" x14ac:dyDescent="0.25">
      <c r="A13">
        <v>12</v>
      </c>
      <c r="B13" t="s">
        <v>14</v>
      </c>
      <c r="C13" s="50">
        <v>4.1752820000000003E-2</v>
      </c>
      <c r="D13" s="50">
        <v>0</v>
      </c>
      <c r="E13">
        <v>-7.0681305799999997E-2</v>
      </c>
      <c r="F13" s="50">
        <v>4.1315169999999998E-2</v>
      </c>
      <c r="G13">
        <v>-2.8928482500000002E-2</v>
      </c>
      <c r="H13" s="50">
        <v>0.40692650000000002</v>
      </c>
      <c r="J13" t="str">
        <f t="shared" si="0"/>
        <v>***</v>
      </c>
      <c r="L13" t="str">
        <f t="shared" si="1"/>
        <v>**</v>
      </c>
      <c r="N13" t="str">
        <f t="shared" si="2"/>
        <v/>
      </c>
      <c r="P13">
        <v>12</v>
      </c>
      <c r="Q13" t="s">
        <v>13</v>
      </c>
      <c r="R13" s="50">
        <v>8.4754999999999997E-2</v>
      </c>
      <c r="S13" s="50">
        <v>3.7003000000000001E-3</v>
      </c>
      <c r="T13">
        <v>22.904900000000001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0">
        <v>-1.363779E-2</v>
      </c>
      <c r="D14" s="50">
        <v>3.8567819999999999E-4</v>
      </c>
      <c r="E14">
        <v>-7.7330518799999998E-2</v>
      </c>
      <c r="F14" s="50">
        <v>0.19815289999999999</v>
      </c>
      <c r="G14">
        <v>-9.0968306299999996E-2</v>
      </c>
      <c r="H14" s="50">
        <v>0.13836499999999999</v>
      </c>
      <c r="J14" t="str">
        <f t="shared" si="0"/>
        <v>***</v>
      </c>
      <c r="L14" t="str">
        <f t="shared" si="1"/>
        <v/>
      </c>
      <c r="N14" t="str">
        <f t="shared" si="2"/>
        <v/>
      </c>
      <c r="P14">
        <v>13</v>
      </c>
      <c r="Q14" t="s">
        <v>14</v>
      </c>
      <c r="R14" s="50">
        <v>4.3055999999999997E-2</v>
      </c>
      <c r="S14" s="50">
        <v>4.0493999999999999E-3</v>
      </c>
      <c r="T14">
        <v>10.6325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0">
        <v>1.190263E-3</v>
      </c>
      <c r="D15" s="50">
        <v>0.67843050000000005</v>
      </c>
      <c r="E15">
        <v>0.1914678742</v>
      </c>
      <c r="F15" s="50">
        <v>1.610879E-3</v>
      </c>
      <c r="G15">
        <v>0.1926581369</v>
      </c>
      <c r="H15" s="50">
        <v>1.9575909999999998E-3</v>
      </c>
      <c r="J15" t="str">
        <f t="shared" si="0"/>
        <v/>
      </c>
      <c r="L15" t="str">
        <f t="shared" si="1"/>
        <v>***</v>
      </c>
      <c r="N15" t="str">
        <f t="shared" si="2"/>
        <v>***</v>
      </c>
      <c r="P15">
        <v>14</v>
      </c>
      <c r="Q15" t="s">
        <v>59</v>
      </c>
      <c r="R15" s="50">
        <v>-1.2213E-2</v>
      </c>
      <c r="S15" s="50">
        <v>3.6346999999999998E-3</v>
      </c>
      <c r="T15">
        <v>-3.36</v>
      </c>
      <c r="U15">
        <v>7.7930000000000002E-4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0">
        <v>3.3276660000000001E-4</v>
      </c>
      <c r="D16" s="50">
        <v>0</v>
      </c>
      <c r="E16">
        <v>6.2430739999999997E-4</v>
      </c>
      <c r="F16" s="50">
        <v>0</v>
      </c>
      <c r="G16">
        <v>9.5707400000000003E-4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-2.3386000000000001E-3</v>
      </c>
      <c r="S16" s="50">
        <v>2.5117E-3</v>
      </c>
      <c r="T16">
        <v>-0.93110000000000004</v>
      </c>
      <c r="U16">
        <v>0.35179169999999998</v>
      </c>
      <c r="W16" t="str">
        <f t="shared" si="3"/>
        <v/>
      </c>
    </row>
    <row r="17" spans="1:23" x14ac:dyDescent="0.25">
      <c r="A17">
        <v>16</v>
      </c>
      <c r="B17" t="s">
        <v>33</v>
      </c>
      <c r="C17" s="50">
        <v>-1.301003E-3</v>
      </c>
      <c r="D17" s="50">
        <v>0.14164180000000001</v>
      </c>
      <c r="E17">
        <v>-2.1912230599999999E-2</v>
      </c>
      <c r="F17" s="50">
        <v>5.5511150000000003E-15</v>
      </c>
      <c r="G17">
        <v>-2.3213234100000001E-2</v>
      </c>
      <c r="H17" s="50">
        <v>0</v>
      </c>
      <c r="J17" t="str">
        <f t="shared" si="0"/>
        <v/>
      </c>
      <c r="L17" t="str">
        <f t="shared" si="1"/>
        <v>***</v>
      </c>
      <c r="N17" t="str">
        <f t="shared" si="2"/>
        <v>***</v>
      </c>
      <c r="P17">
        <v>16</v>
      </c>
      <c r="Q17" t="s">
        <v>18</v>
      </c>
      <c r="R17" s="50">
        <v>3.2126000000000002E-4</v>
      </c>
      <c r="S17" s="50">
        <v>5.0397000000000002E-6</v>
      </c>
      <c r="T17">
        <v>63.746099999999998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0">
        <v>-7.1974709999999997E-2</v>
      </c>
      <c r="D18" s="50">
        <v>2.2266629999999998E-12</v>
      </c>
      <c r="E18">
        <v>0.2874918065</v>
      </c>
      <c r="F18" s="50">
        <v>4.6851410000000002E-14</v>
      </c>
      <c r="G18">
        <v>0.21551709459999999</v>
      </c>
      <c r="H18" s="50">
        <v>1.286059E-8</v>
      </c>
      <c r="J18" t="str">
        <f t="shared" si="0"/>
        <v>***</v>
      </c>
      <c r="L18" t="str">
        <f t="shared" si="1"/>
        <v>***</v>
      </c>
      <c r="N18" t="str">
        <f t="shared" si="2"/>
        <v>***</v>
      </c>
      <c r="P18">
        <v>17</v>
      </c>
      <c r="Q18" t="s">
        <v>33</v>
      </c>
      <c r="R18" s="50">
        <v>-8.9714999999999999E-4</v>
      </c>
      <c r="S18" s="50">
        <v>8.9647000000000001E-4</v>
      </c>
      <c r="T18">
        <v>-1.0007999999999999</v>
      </c>
      <c r="U18">
        <v>0.31694460000000002</v>
      </c>
      <c r="W18" t="str">
        <f t="shared" si="3"/>
        <v/>
      </c>
    </row>
    <row r="19" spans="1:23" x14ac:dyDescent="0.25">
      <c r="A19">
        <v>18</v>
      </c>
      <c r="B19" t="s">
        <v>21</v>
      </c>
      <c r="C19" s="50">
        <v>-1.55265E-2</v>
      </c>
      <c r="D19" s="50">
        <v>0.61061549999999998</v>
      </c>
      <c r="E19">
        <v>-7.4621360999999997E-2</v>
      </c>
      <c r="F19" s="50">
        <v>0.92232919999999996</v>
      </c>
      <c r="G19">
        <v>-9.0147859900000002E-2</v>
      </c>
      <c r="H19" s="50">
        <v>0.90700999999999998</v>
      </c>
      <c r="J19" t="str">
        <f t="shared" si="0"/>
        <v/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-7.7273999999999995E-2</v>
      </c>
      <c r="S19" s="50">
        <v>1.0527999999999999E-2</v>
      </c>
      <c r="T19">
        <v>-7.3398000000000003</v>
      </c>
      <c r="U19" s="50">
        <v>2.1380000000000001E-13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0">
        <v>8.0727709999999994E-2</v>
      </c>
      <c r="D20" s="50">
        <v>0</v>
      </c>
      <c r="E20">
        <v>0.31825535599999999</v>
      </c>
      <c r="F20" s="50">
        <v>4.0124309999999999E-5</v>
      </c>
      <c r="G20">
        <v>0.39898306169999997</v>
      </c>
      <c r="H20" s="50">
        <v>5.0758430000000003E-7</v>
      </c>
      <c r="J20" t="str">
        <f t="shared" si="0"/>
        <v>***</v>
      </c>
      <c r="L20" t="str">
        <f t="shared" si="1"/>
        <v>***</v>
      </c>
      <c r="N20" t="str">
        <f t="shared" si="2"/>
        <v>***</v>
      </c>
      <c r="P20">
        <v>19</v>
      </c>
      <c r="Q20" t="s">
        <v>21</v>
      </c>
      <c r="R20" s="50">
        <v>-1.4151E-2</v>
      </c>
      <c r="S20" s="50">
        <v>2.5229000000000001E-2</v>
      </c>
      <c r="T20">
        <v>-0.56089999999999995</v>
      </c>
      <c r="U20">
        <v>0.57485819999999999</v>
      </c>
      <c r="W20" t="str">
        <f t="shared" si="3"/>
        <v/>
      </c>
    </row>
    <row r="21" spans="1:23" x14ac:dyDescent="0.25">
      <c r="A21">
        <v>20</v>
      </c>
      <c r="B21" t="s">
        <v>226</v>
      </c>
      <c r="C21" s="50">
        <v>4.1761960000000001E-2</v>
      </c>
      <c r="D21" s="50">
        <v>0</v>
      </c>
      <c r="E21">
        <v>-4.0903081000000001E-2</v>
      </c>
      <c r="F21" s="50">
        <v>0.57289089999999998</v>
      </c>
      <c r="G21">
        <v>8.5887769999999999E-4</v>
      </c>
      <c r="H21" s="50">
        <v>0.9818865</v>
      </c>
      <c r="J21" t="str">
        <f t="shared" si="0"/>
        <v>***</v>
      </c>
      <c r="L21" t="str">
        <f t="shared" si="1"/>
        <v/>
      </c>
      <c r="N21" t="str">
        <f t="shared" si="2"/>
        <v/>
      </c>
      <c r="P21">
        <v>20</v>
      </c>
      <c r="Q21" t="s">
        <v>224</v>
      </c>
      <c r="R21" s="50">
        <v>7.4861999999999998E-2</v>
      </c>
      <c r="S21" s="50">
        <v>2.9694999999999999E-3</v>
      </c>
      <c r="T21">
        <v>25.210100000000001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0">
        <v>-7.2369020000000006E-2</v>
      </c>
      <c r="D22" s="50">
        <v>0</v>
      </c>
      <c r="E22">
        <v>-9.7486094100000004E-2</v>
      </c>
      <c r="F22" s="50">
        <v>0.60274380000000005</v>
      </c>
      <c r="G22">
        <v>-0.16985511219999999</v>
      </c>
      <c r="H22" s="50">
        <v>0.38668370000000002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4.2515999999999998E-2</v>
      </c>
      <c r="S22" s="50">
        <v>2.6695999999999998E-3</v>
      </c>
      <c r="T22">
        <v>15.926299999999999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0">
        <v>-5.4214010000000002E-3</v>
      </c>
      <c r="D23" s="50">
        <v>0.43427870000000002</v>
      </c>
      <c r="E23">
        <v>-1.56540555E-2</v>
      </c>
      <c r="F23" s="50">
        <v>0.92291769999999995</v>
      </c>
      <c r="G23">
        <v>-2.1075455999999999E-2</v>
      </c>
      <c r="H23" s="50">
        <v>0.89239219999999997</v>
      </c>
      <c r="J23" t="str">
        <f t="shared" si="0"/>
        <v/>
      </c>
      <c r="L23" t="str">
        <f t="shared" si="1"/>
        <v/>
      </c>
      <c r="N23" t="str">
        <f t="shared" si="2"/>
        <v/>
      </c>
      <c r="P23">
        <v>22</v>
      </c>
      <c r="Q23" t="s">
        <v>230</v>
      </c>
      <c r="R23" s="50">
        <v>-7.0572999999999997E-2</v>
      </c>
      <c r="S23" s="50">
        <v>6.3939000000000001E-3</v>
      </c>
      <c r="T23">
        <v>-11.0374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0">
        <v>2.030956E-3</v>
      </c>
      <c r="D24" s="50">
        <v>0.89250870000000004</v>
      </c>
      <c r="E24">
        <v>0.34596561139999998</v>
      </c>
      <c r="F24" s="50">
        <v>4.175529E-2</v>
      </c>
      <c r="G24">
        <v>0.34799656750000002</v>
      </c>
      <c r="H24" s="50">
        <v>4.4437049999999999E-2</v>
      </c>
      <c r="J24" t="str">
        <f t="shared" si="0"/>
        <v/>
      </c>
      <c r="L24" t="str">
        <f t="shared" si="1"/>
        <v>**</v>
      </c>
      <c r="N24" t="str">
        <f t="shared" si="2"/>
        <v>**</v>
      </c>
      <c r="P24">
        <v>23</v>
      </c>
      <c r="Q24" t="s">
        <v>22</v>
      </c>
      <c r="R24" s="50">
        <v>-5.1329000000000001E-3</v>
      </c>
      <c r="S24" s="50">
        <v>6.2099E-3</v>
      </c>
      <c r="T24">
        <v>-0.8266</v>
      </c>
      <c r="U24">
        <v>0.40848119999999999</v>
      </c>
      <c r="W24" t="str">
        <f t="shared" si="3"/>
        <v/>
      </c>
    </row>
    <row r="25" spans="1:23" x14ac:dyDescent="0.25">
      <c r="A25">
        <v>24</v>
      </c>
      <c r="B25" t="s">
        <v>24</v>
      </c>
      <c r="C25" s="50">
        <v>-1.3192779999999999E-2</v>
      </c>
      <c r="D25" s="50">
        <v>3.0090529999999998E-3</v>
      </c>
      <c r="E25">
        <v>0.17899352430000001</v>
      </c>
      <c r="F25" s="50">
        <v>5.1473480000000002E-2</v>
      </c>
      <c r="G25">
        <v>0.16580074559999999</v>
      </c>
      <c r="H25" s="50">
        <v>7.881502E-2</v>
      </c>
      <c r="J25" t="str">
        <f t="shared" si="0"/>
        <v>***</v>
      </c>
      <c r="L25" t="str">
        <f t="shared" si="1"/>
        <v>*</v>
      </c>
      <c r="N25" t="str">
        <f t="shared" si="2"/>
        <v>*</v>
      </c>
      <c r="P25">
        <v>24</v>
      </c>
      <c r="Q25" t="s">
        <v>23</v>
      </c>
      <c r="R25" s="50">
        <v>-4.3455000000000004E-3</v>
      </c>
      <c r="S25" s="50">
        <v>1.387E-2</v>
      </c>
      <c r="T25">
        <v>-0.31330000000000002</v>
      </c>
      <c r="U25">
        <v>0.75405529999999998</v>
      </c>
      <c r="W25" t="str">
        <f t="shared" si="3"/>
        <v/>
      </c>
    </row>
    <row r="26" spans="1:23" x14ac:dyDescent="0.25">
      <c r="A26">
        <v>25</v>
      </c>
      <c r="B26" t="s">
        <v>25</v>
      </c>
      <c r="C26" s="50">
        <v>3.3852159999999999E-2</v>
      </c>
      <c r="D26" s="50">
        <v>2.8788650000000001E-9</v>
      </c>
      <c r="E26">
        <v>0.33993835519999999</v>
      </c>
      <c r="F26" s="50">
        <v>2.6567319999999998E-4</v>
      </c>
      <c r="G26">
        <v>0.37379051299999999</v>
      </c>
      <c r="H26" s="50">
        <v>9.1144469999999999E-5</v>
      </c>
      <c r="J26" t="str">
        <f t="shared" si="0"/>
        <v>***</v>
      </c>
      <c r="L26" t="str">
        <f t="shared" si="1"/>
        <v>***</v>
      </c>
      <c r="N26" t="str">
        <f t="shared" si="2"/>
        <v>***</v>
      </c>
      <c r="P26">
        <v>25</v>
      </c>
      <c r="Q26" t="s">
        <v>24</v>
      </c>
      <c r="R26" s="50">
        <v>-1.6492E-2</v>
      </c>
      <c r="S26" s="50">
        <v>3.9604999999999996E-3</v>
      </c>
      <c r="T26">
        <v>-4.1639999999999997</v>
      </c>
      <c r="U26" s="50">
        <v>3.1269999999999997E-5</v>
      </c>
      <c r="W26" t="str">
        <f t="shared" si="3"/>
        <v>***</v>
      </c>
    </row>
    <row r="27" spans="1:23" x14ac:dyDescent="0.25">
      <c r="A27">
        <v>26</v>
      </c>
      <c r="B27" t="s">
        <v>26</v>
      </c>
      <c r="C27" s="50">
        <v>8.3715969999999997E-3</v>
      </c>
      <c r="D27" s="50">
        <v>0.11461060000000001</v>
      </c>
      <c r="E27">
        <v>0.43059690909999998</v>
      </c>
      <c r="F27" s="50">
        <v>8.4208330000000004E-7</v>
      </c>
      <c r="G27">
        <v>0.43896850599999998</v>
      </c>
      <c r="H27" s="50">
        <v>8.9346449999999997E-7</v>
      </c>
      <c r="J27" t="str">
        <f t="shared" si="0"/>
        <v/>
      </c>
      <c r="L27" t="str">
        <f t="shared" si="1"/>
        <v>***</v>
      </c>
      <c r="N27" t="str">
        <f t="shared" si="2"/>
        <v>***</v>
      </c>
      <c r="P27">
        <v>26</v>
      </c>
      <c r="Q27" t="s">
        <v>25</v>
      </c>
      <c r="R27" s="50">
        <v>2.7587E-2</v>
      </c>
      <c r="S27" s="50">
        <v>5.2414999999999996E-3</v>
      </c>
      <c r="T27">
        <v>5.2630999999999997</v>
      </c>
      <c r="U27" s="50">
        <v>1.416E-7</v>
      </c>
      <c r="W27" t="str">
        <f t="shared" si="3"/>
        <v>***</v>
      </c>
    </row>
    <row r="28" spans="1:23" x14ac:dyDescent="0.25">
      <c r="A28">
        <v>27</v>
      </c>
      <c r="B28" t="s">
        <v>27</v>
      </c>
      <c r="C28" s="50">
        <v>2.5693810000000001E-2</v>
      </c>
      <c r="D28" s="50">
        <v>8.2581010000000002E-5</v>
      </c>
      <c r="E28">
        <v>0.4234117597</v>
      </c>
      <c r="F28" s="50">
        <v>2.9601350000000001E-9</v>
      </c>
      <c r="G28">
        <v>0.44910556480000002</v>
      </c>
      <c r="H28" s="50">
        <v>6.6320659999999998E-10</v>
      </c>
      <c r="J28" t="str">
        <f t="shared" si="0"/>
        <v>***</v>
      </c>
      <c r="L28" t="str">
        <f t="shared" si="1"/>
        <v>***</v>
      </c>
      <c r="N28" t="str">
        <f t="shared" si="2"/>
        <v>***</v>
      </c>
      <c r="P28">
        <v>27</v>
      </c>
      <c r="Q28" t="s">
        <v>26</v>
      </c>
      <c r="R28" s="50">
        <v>4.3536999999999997E-4</v>
      </c>
      <c r="S28" s="50">
        <v>4.9687000000000004E-3</v>
      </c>
      <c r="T28">
        <v>8.7599999999999997E-2</v>
      </c>
      <c r="U28">
        <v>0.93017649999999996</v>
      </c>
      <c r="W28" t="str">
        <f t="shared" si="3"/>
        <v/>
      </c>
    </row>
    <row r="29" spans="1:23" x14ac:dyDescent="0.25">
      <c r="A29">
        <v>28</v>
      </c>
      <c r="B29" t="s">
        <v>31</v>
      </c>
      <c r="C29" s="50">
        <v>-4.4347240000000001E-3</v>
      </c>
      <c r="D29" s="50">
        <v>0.30806640000000002</v>
      </c>
      <c r="E29">
        <v>0.31827473160000003</v>
      </c>
      <c r="F29" s="50">
        <v>4.4705550000000003E-6</v>
      </c>
      <c r="G29">
        <v>0.3138400073</v>
      </c>
      <c r="H29" s="50">
        <v>9.4719320000000008E-6</v>
      </c>
      <c r="J29" t="str">
        <f t="shared" si="0"/>
        <v/>
      </c>
      <c r="L29" t="str">
        <f t="shared" si="1"/>
        <v>***</v>
      </c>
      <c r="N29" t="str">
        <f t="shared" si="2"/>
        <v>***</v>
      </c>
      <c r="P29">
        <v>28</v>
      </c>
      <c r="Q29" t="s">
        <v>27</v>
      </c>
      <c r="R29" s="50">
        <v>1.789E-2</v>
      </c>
      <c r="S29" s="50">
        <v>6.4761999999999997E-3</v>
      </c>
      <c r="T29">
        <v>2.7624</v>
      </c>
      <c r="U29">
        <v>5.7375000000000004E-3</v>
      </c>
      <c r="W29" t="str">
        <f t="shared" si="3"/>
        <v>***</v>
      </c>
    </row>
    <row r="30" spans="1:23" x14ac:dyDescent="0.25">
      <c r="A30">
        <v>29</v>
      </c>
      <c r="B30" t="s">
        <v>28</v>
      </c>
      <c r="C30" s="50">
        <v>9.1409619999999997E-2</v>
      </c>
      <c r="D30" s="50">
        <v>1.2880519999999999E-5</v>
      </c>
      <c r="E30">
        <v>-0.2205229605</v>
      </c>
      <c r="F30" s="50">
        <v>0.42681010000000003</v>
      </c>
      <c r="G30">
        <v>-0.12911334269999999</v>
      </c>
      <c r="H30" s="50">
        <v>0.63970990000000005</v>
      </c>
      <c r="J30" t="str">
        <f t="shared" si="0"/>
        <v>***</v>
      </c>
      <c r="L30" t="str">
        <f t="shared" si="1"/>
        <v/>
      </c>
      <c r="N30" t="str">
        <f t="shared" si="2"/>
        <v/>
      </c>
      <c r="P30">
        <v>29</v>
      </c>
      <c r="Q30" t="s">
        <v>31</v>
      </c>
      <c r="R30" s="50">
        <v>-1.0300999999999999E-2</v>
      </c>
      <c r="S30" s="50">
        <v>3.9620999999999996E-3</v>
      </c>
      <c r="T30">
        <v>-2.5998999999999999</v>
      </c>
      <c r="U30">
        <v>9.3259999999999992E-3</v>
      </c>
      <c r="W30" t="str">
        <f t="shared" si="3"/>
        <v>***</v>
      </c>
    </row>
    <row r="31" spans="1:23" x14ac:dyDescent="0.25">
      <c r="A31">
        <v>30</v>
      </c>
      <c r="B31" t="s">
        <v>235</v>
      </c>
      <c r="C31" s="50">
        <v>1.5284580000000001E-2</v>
      </c>
      <c r="D31" s="50">
        <v>0.7544942</v>
      </c>
      <c r="E31">
        <v>-1.7645723403</v>
      </c>
      <c r="F31" s="50">
        <v>3.6278770000000002E-2</v>
      </c>
      <c r="G31">
        <v>-1.7492877614</v>
      </c>
      <c r="H31" s="50">
        <v>3.9945069999999999E-2</v>
      </c>
      <c r="J31" t="str">
        <f t="shared" si="0"/>
        <v/>
      </c>
      <c r="L31" t="str">
        <f t="shared" si="1"/>
        <v>**</v>
      </c>
      <c r="N31" t="str">
        <f t="shared" si="2"/>
        <v>**</v>
      </c>
      <c r="P31">
        <v>30</v>
      </c>
      <c r="Q31" t="s">
        <v>28</v>
      </c>
      <c r="R31" s="50">
        <v>9.5474000000000003E-2</v>
      </c>
      <c r="S31" s="50">
        <v>2.0209999999999999E-2</v>
      </c>
      <c r="T31">
        <v>4.7241999999999997</v>
      </c>
      <c r="U31" s="50">
        <v>2.3099999999999999E-6</v>
      </c>
      <c r="W31" t="str">
        <f t="shared" si="3"/>
        <v>***</v>
      </c>
    </row>
    <row r="32" spans="1:23" x14ac:dyDescent="0.25">
      <c r="A32">
        <v>31</v>
      </c>
      <c r="B32" t="s">
        <v>236</v>
      </c>
      <c r="C32" s="50">
        <v>4.0953730000000001E-2</v>
      </c>
      <c r="D32" s="50">
        <v>9.2136669999999998E-4</v>
      </c>
      <c r="E32">
        <v>7.2961123899999994E-2</v>
      </c>
      <c r="F32" s="50">
        <v>0.1535868</v>
      </c>
      <c r="G32">
        <v>0.1139148535</v>
      </c>
      <c r="H32" s="50">
        <v>2.3283660000000001E-2</v>
      </c>
      <c r="J32" t="str">
        <f t="shared" si="0"/>
        <v>***</v>
      </c>
      <c r="L32" t="str">
        <f t="shared" si="1"/>
        <v/>
      </c>
      <c r="N32" t="str">
        <f t="shared" si="2"/>
        <v>**</v>
      </c>
      <c r="P32">
        <v>31</v>
      </c>
      <c r="Q32" t="s">
        <v>235</v>
      </c>
      <c r="R32" s="50">
        <v>4.7807000000000002E-2</v>
      </c>
      <c r="S32" s="50">
        <v>4.8159E-2</v>
      </c>
      <c r="T32">
        <v>0.99270000000000003</v>
      </c>
      <c r="U32">
        <v>0.32085560000000002</v>
      </c>
      <c r="W32" t="str">
        <f t="shared" si="3"/>
        <v/>
      </c>
    </row>
    <row r="33" spans="1:23" x14ac:dyDescent="0.25">
      <c r="A33">
        <v>32</v>
      </c>
      <c r="B33" t="s">
        <v>238</v>
      </c>
      <c r="C33" s="50">
        <v>-8.7424359999999993E-3</v>
      </c>
      <c r="D33" s="50">
        <v>0.34577980000000003</v>
      </c>
      <c r="E33">
        <v>1.77344314E-2</v>
      </c>
      <c r="F33" s="50">
        <v>0.57195530000000006</v>
      </c>
      <c r="G33">
        <v>8.9919956999999998E-3</v>
      </c>
      <c r="H33" s="50">
        <v>0.77299459999999998</v>
      </c>
      <c r="J33" t="str">
        <f t="shared" si="0"/>
        <v/>
      </c>
      <c r="L33" t="str">
        <f t="shared" si="1"/>
        <v/>
      </c>
      <c r="N33" t="str">
        <f t="shared" si="2"/>
        <v/>
      </c>
      <c r="P33">
        <v>32</v>
      </c>
      <c r="Q33" t="s">
        <v>236</v>
      </c>
      <c r="R33" s="50">
        <v>3.9608999999999998E-2</v>
      </c>
      <c r="S33" s="50">
        <v>1.2769000000000001E-2</v>
      </c>
      <c r="T33">
        <v>3.1019999999999999</v>
      </c>
      <c r="U33">
        <v>1.9220000000000001E-3</v>
      </c>
      <c r="W33" t="str">
        <f t="shared" si="3"/>
        <v>***</v>
      </c>
    </row>
    <row r="34" spans="1:23" x14ac:dyDescent="0.25">
      <c r="A34">
        <v>33</v>
      </c>
      <c r="B34" t="s">
        <v>240</v>
      </c>
      <c r="C34" s="50">
        <v>2.07169E-2</v>
      </c>
      <c r="D34" s="50">
        <v>2.6687880000000001E-2</v>
      </c>
      <c r="E34">
        <v>-2.8854700399999999E-2</v>
      </c>
      <c r="F34" s="50">
        <v>0.42247560000000001</v>
      </c>
      <c r="G34">
        <v>-8.1377976999999994E-3</v>
      </c>
      <c r="H34" s="50">
        <v>0.80840820000000002</v>
      </c>
      <c r="J34" t="str">
        <f t="shared" si="0"/>
        <v>**</v>
      </c>
      <c r="L34" t="str">
        <f t="shared" si="1"/>
        <v/>
      </c>
      <c r="N34" t="str">
        <f t="shared" si="2"/>
        <v/>
      </c>
      <c r="P34">
        <v>33</v>
      </c>
      <c r="Q34" t="s">
        <v>238</v>
      </c>
      <c r="R34" s="50">
        <v>-9.0693000000000006E-3</v>
      </c>
      <c r="S34" s="50">
        <v>9.3113999999999992E-3</v>
      </c>
      <c r="T34">
        <v>-0.97399999999999998</v>
      </c>
      <c r="U34">
        <v>0.33005279999999998</v>
      </c>
      <c r="W34" t="str">
        <f t="shared" si="3"/>
        <v/>
      </c>
    </row>
    <row r="35" spans="1:23" x14ac:dyDescent="0.25">
      <c r="A35">
        <v>34</v>
      </c>
      <c r="B35" t="s">
        <v>241</v>
      </c>
      <c r="C35" s="50">
        <v>4.4910569999999997E-2</v>
      </c>
      <c r="D35" s="50">
        <v>1.248372E-2</v>
      </c>
      <c r="E35">
        <v>4.4432870100000001E-2</v>
      </c>
      <c r="F35" s="50">
        <v>0.38071300000000002</v>
      </c>
      <c r="G35">
        <v>8.93434377E-2</v>
      </c>
      <c r="H35" s="50">
        <v>6.7425970000000002E-2</v>
      </c>
      <c r="J35" t="str">
        <f t="shared" si="0"/>
        <v>**</v>
      </c>
      <c r="L35" t="str">
        <f t="shared" si="1"/>
        <v/>
      </c>
      <c r="N35" t="str">
        <f t="shared" si="2"/>
        <v>*</v>
      </c>
      <c r="P35">
        <v>34</v>
      </c>
      <c r="Q35" t="s">
        <v>240</v>
      </c>
      <c r="R35" s="50">
        <v>2.1249000000000001E-2</v>
      </c>
      <c r="S35" s="50">
        <v>9.5136999999999999E-3</v>
      </c>
      <c r="T35">
        <v>2.2334999999999998</v>
      </c>
      <c r="U35">
        <v>2.5516E-2</v>
      </c>
      <c r="W35" t="str">
        <f t="shared" si="3"/>
        <v>**</v>
      </c>
    </row>
    <row r="36" spans="1:23" x14ac:dyDescent="0.25">
      <c r="A36">
        <v>35</v>
      </c>
      <c r="B36" t="s">
        <v>243</v>
      </c>
      <c r="C36" s="50">
        <v>1.512864E-2</v>
      </c>
      <c r="D36" s="50">
        <v>0.1666521</v>
      </c>
      <c r="E36">
        <v>0.13918813839999999</v>
      </c>
      <c r="F36" s="50">
        <v>3.0333819999999998E-3</v>
      </c>
      <c r="G36">
        <v>0.1543167822</v>
      </c>
      <c r="H36" s="50">
        <v>9.3319550000000001E-4</v>
      </c>
      <c r="J36" t="str">
        <f t="shared" si="0"/>
        <v/>
      </c>
      <c r="L36" t="str">
        <f t="shared" si="1"/>
        <v>***</v>
      </c>
      <c r="N36" t="str">
        <f t="shared" si="2"/>
        <v>***</v>
      </c>
      <c r="P36">
        <v>35</v>
      </c>
      <c r="Q36" t="s">
        <v>241</v>
      </c>
      <c r="R36" s="50">
        <v>4.4091999999999999E-2</v>
      </c>
      <c r="S36" s="50">
        <v>1.8498000000000001E-2</v>
      </c>
      <c r="T36">
        <v>2.3835999999999999</v>
      </c>
      <c r="U36">
        <v>1.7144199999999998E-2</v>
      </c>
      <c r="W36" t="str">
        <f t="shared" si="3"/>
        <v>**</v>
      </c>
    </row>
    <row r="37" spans="1:23" x14ac:dyDescent="0.25">
      <c r="A37">
        <v>36</v>
      </c>
      <c r="B37" t="s">
        <v>245</v>
      </c>
      <c r="C37" s="50">
        <v>8.3766610000000005E-2</v>
      </c>
      <c r="D37" s="50">
        <v>2.5671949999999999E-4</v>
      </c>
      <c r="E37">
        <v>0.25698138700000001</v>
      </c>
      <c r="F37" s="50">
        <v>1.126851E-4</v>
      </c>
      <c r="G37">
        <v>0.34074799220000002</v>
      </c>
      <c r="H37" s="50">
        <v>1.2510789999999999E-7</v>
      </c>
      <c r="J37" t="str">
        <f t="shared" si="0"/>
        <v>***</v>
      </c>
      <c r="L37" t="str">
        <f t="shared" si="1"/>
        <v>***</v>
      </c>
      <c r="N37" t="str">
        <f t="shared" si="2"/>
        <v>***</v>
      </c>
      <c r="P37">
        <v>36</v>
      </c>
      <c r="Q37" t="s">
        <v>243</v>
      </c>
      <c r="R37" s="50">
        <v>1.2563E-2</v>
      </c>
      <c r="S37" s="50">
        <v>1.1039999999999999E-2</v>
      </c>
      <c r="T37">
        <v>1.1379999999999999</v>
      </c>
      <c r="U37">
        <v>0.25513190000000002</v>
      </c>
      <c r="W37" t="str">
        <f t="shared" si="3"/>
        <v/>
      </c>
    </row>
    <row r="38" spans="1:23" x14ac:dyDescent="0.25">
      <c r="A38">
        <v>37</v>
      </c>
      <c r="B38" t="s">
        <v>166</v>
      </c>
      <c r="C38" s="50">
        <v>0.1946232</v>
      </c>
      <c r="D38" s="50">
        <v>0</v>
      </c>
      <c r="E38">
        <v>0.1062065458</v>
      </c>
      <c r="F38" s="50">
        <v>1.4627599999999999E-2</v>
      </c>
      <c r="G38">
        <v>0.30082971759999999</v>
      </c>
      <c r="H38" s="50">
        <v>1.8253179999999999E-11</v>
      </c>
      <c r="J38" t="str">
        <f t="shared" si="0"/>
        <v>***</v>
      </c>
      <c r="L38" t="str">
        <f t="shared" si="1"/>
        <v>**</v>
      </c>
      <c r="N38" t="str">
        <f t="shared" si="2"/>
        <v>***</v>
      </c>
      <c r="P38">
        <v>37</v>
      </c>
      <c r="Q38" t="s">
        <v>245</v>
      </c>
      <c r="R38" s="50">
        <v>7.9031000000000004E-2</v>
      </c>
      <c r="S38" s="50">
        <v>2.3188E-2</v>
      </c>
      <c r="T38">
        <v>3.4083000000000001</v>
      </c>
      <c r="U38">
        <v>6.5370000000000001E-4</v>
      </c>
      <c r="W38" t="str">
        <f t="shared" si="3"/>
        <v>***</v>
      </c>
    </row>
    <row r="39" spans="1:23" x14ac:dyDescent="0.25">
      <c r="A39">
        <v>38</v>
      </c>
      <c r="B39" t="s">
        <v>167</v>
      </c>
      <c r="C39" s="50">
        <v>0.23278219999999999</v>
      </c>
      <c r="D39" s="50">
        <v>0</v>
      </c>
      <c r="E39">
        <v>7.6836563499999996E-2</v>
      </c>
      <c r="F39" s="50">
        <v>0.17981249999999999</v>
      </c>
      <c r="G39">
        <v>0.30961881019999998</v>
      </c>
      <c r="H39" s="50">
        <v>1.4496409999999999E-7</v>
      </c>
      <c r="J39" t="str">
        <f t="shared" si="0"/>
        <v>***</v>
      </c>
      <c r="L39" t="str">
        <f t="shared" si="1"/>
        <v/>
      </c>
      <c r="N39" t="str">
        <f t="shared" si="2"/>
        <v>***</v>
      </c>
      <c r="P39">
        <v>38</v>
      </c>
      <c r="Q39" t="s">
        <v>166</v>
      </c>
      <c r="R39" s="50">
        <v>0.19267000000000001</v>
      </c>
      <c r="S39" s="50">
        <v>7.4640000000000001E-3</v>
      </c>
      <c r="T39">
        <v>25.812899999999999</v>
      </c>
      <c r="U39" s="50">
        <v>2.2E-16</v>
      </c>
      <c r="W39" t="str">
        <f t="shared" si="3"/>
        <v>***</v>
      </c>
    </row>
    <row r="40" spans="1:23" x14ac:dyDescent="0.25">
      <c r="A40">
        <v>39</v>
      </c>
      <c r="B40" t="s">
        <v>168</v>
      </c>
      <c r="C40" s="50">
        <v>0.28133599999999997</v>
      </c>
      <c r="D40" s="50">
        <v>0</v>
      </c>
      <c r="E40">
        <v>0.98734583639999995</v>
      </c>
      <c r="F40" s="50">
        <v>2.0634339999999999E-5</v>
      </c>
      <c r="G40">
        <v>1.2686818290999999</v>
      </c>
      <c r="H40" s="50">
        <v>8.2433499999999995E-8</v>
      </c>
      <c r="J40" t="str">
        <f t="shared" si="0"/>
        <v>***</v>
      </c>
      <c r="L40" t="str">
        <f t="shared" si="1"/>
        <v>***</v>
      </c>
      <c r="N40" t="str">
        <f t="shared" si="2"/>
        <v>***</v>
      </c>
      <c r="P40">
        <v>39</v>
      </c>
      <c r="Q40" t="s">
        <v>167</v>
      </c>
      <c r="R40" s="50">
        <v>0.23136999999999999</v>
      </c>
      <c r="S40" s="50">
        <v>8.1872999999999998E-3</v>
      </c>
      <c r="T40">
        <v>28.259399999999999</v>
      </c>
      <c r="U40" s="50">
        <v>2.2E-16</v>
      </c>
      <c r="W40" t="str">
        <f t="shared" si="3"/>
        <v>***</v>
      </c>
    </row>
    <row r="41" spans="1:23" x14ac:dyDescent="0.25">
      <c r="A41">
        <v>40</v>
      </c>
      <c r="B41" t="s">
        <v>169</v>
      </c>
      <c r="C41" s="50">
        <v>0.21666060000000001</v>
      </c>
      <c r="D41" s="50">
        <v>0</v>
      </c>
      <c r="E41">
        <v>-0.2828472105</v>
      </c>
      <c r="F41" s="50">
        <v>0.12796489999999999</v>
      </c>
      <c r="G41">
        <v>-6.6186581699999997E-2</v>
      </c>
      <c r="H41" s="50">
        <v>0.72023510000000002</v>
      </c>
      <c r="J41" t="str">
        <f t="shared" si="0"/>
        <v>***</v>
      </c>
      <c r="L41" t="str">
        <f t="shared" si="1"/>
        <v/>
      </c>
      <c r="N41" t="str">
        <f t="shared" si="2"/>
        <v/>
      </c>
      <c r="P41">
        <v>40</v>
      </c>
      <c r="Q41" t="s">
        <v>168</v>
      </c>
      <c r="R41" s="50">
        <v>0.26313999999999999</v>
      </c>
      <c r="S41" s="50">
        <v>1.3174999999999999E-2</v>
      </c>
      <c r="T41">
        <v>19.972799999999999</v>
      </c>
      <c r="U41" s="50">
        <v>2.2E-16</v>
      </c>
      <c r="W41" t="str">
        <f t="shared" si="3"/>
        <v>***</v>
      </c>
    </row>
    <row r="42" spans="1:23" x14ac:dyDescent="0.25">
      <c r="A42">
        <v>41</v>
      </c>
      <c r="B42" t="s">
        <v>170</v>
      </c>
      <c r="C42" s="50">
        <v>0.108316</v>
      </c>
      <c r="D42" s="50">
        <v>2.0168450000000002E-3</v>
      </c>
      <c r="E42">
        <v>-3.1737529024</v>
      </c>
      <c r="F42" s="50">
        <v>7.2348689999999995E-4</v>
      </c>
      <c r="G42">
        <v>-3.0654368963</v>
      </c>
      <c r="H42" s="50">
        <v>1.419982E-3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169</v>
      </c>
      <c r="R42" s="50">
        <v>0.22187000000000001</v>
      </c>
      <c r="S42" s="50">
        <v>1.3587999999999999E-2</v>
      </c>
      <c r="T42">
        <v>16.328800000000001</v>
      </c>
      <c r="U42" s="50">
        <v>2.2E-16</v>
      </c>
      <c r="W42" t="str">
        <f t="shared" si="3"/>
        <v>***</v>
      </c>
    </row>
    <row r="43" spans="1:23" x14ac:dyDescent="0.25">
      <c r="A43">
        <v>42</v>
      </c>
      <c r="B43" t="s">
        <v>50</v>
      </c>
      <c r="C43" s="50">
        <v>2.7524469999999998E-5</v>
      </c>
      <c r="D43" s="50">
        <v>0.34335789999999999</v>
      </c>
      <c r="E43">
        <v>2.3132179999999999E-4</v>
      </c>
      <c r="F43" s="50">
        <v>0.42261009999999999</v>
      </c>
      <c r="G43">
        <v>2.5884619999999998E-4</v>
      </c>
      <c r="H43" s="50">
        <v>0.38166020000000001</v>
      </c>
      <c r="J43" t="str">
        <f t="shared" si="0"/>
        <v/>
      </c>
      <c r="L43" t="str">
        <f t="shared" si="1"/>
        <v/>
      </c>
      <c r="N43" t="str">
        <f t="shared" si="2"/>
        <v/>
      </c>
      <c r="P43">
        <v>42</v>
      </c>
      <c r="Q43" t="s">
        <v>170</v>
      </c>
      <c r="R43" s="50">
        <v>0.16681000000000001</v>
      </c>
      <c r="S43" s="50">
        <v>2.8038E-2</v>
      </c>
      <c r="T43">
        <v>5.9494999999999996</v>
      </c>
      <c r="U43" s="50">
        <v>2.69E-9</v>
      </c>
      <c r="W43" t="str">
        <f t="shared" si="3"/>
        <v>***</v>
      </c>
    </row>
    <row r="44" spans="1:23" x14ac:dyDescent="0.25">
      <c r="A44">
        <v>43</v>
      </c>
      <c r="B44" t="s">
        <v>52</v>
      </c>
      <c r="C44" s="50">
        <v>1.274804E-2</v>
      </c>
      <c r="D44" s="50">
        <v>4.9822229999999995E-7</v>
      </c>
      <c r="E44">
        <v>-9.7313178400000006E-2</v>
      </c>
      <c r="F44" s="50">
        <v>0.1216868</v>
      </c>
      <c r="G44">
        <v>-8.4565140900000002E-2</v>
      </c>
      <c r="H44" s="50">
        <v>0.18975349999999999</v>
      </c>
      <c r="J44" t="str">
        <f t="shared" si="0"/>
        <v>***</v>
      </c>
      <c r="L44" t="str">
        <f t="shared" si="1"/>
        <v/>
      </c>
      <c r="N44" t="str">
        <f t="shared" si="2"/>
        <v/>
      </c>
      <c r="P44">
        <v>43</v>
      </c>
      <c r="Q44" t="s">
        <v>50</v>
      </c>
      <c r="R44" s="50">
        <v>2.3261E-5</v>
      </c>
      <c r="S44" s="50">
        <v>2.8034999999999998E-5</v>
      </c>
      <c r="T44">
        <v>0.82969999999999999</v>
      </c>
      <c r="U44">
        <v>0.40669119999999997</v>
      </c>
      <c r="W44" t="str">
        <f t="shared" si="3"/>
        <v/>
      </c>
    </row>
    <row r="45" spans="1:23" x14ac:dyDescent="0.25">
      <c r="A45">
        <v>44</v>
      </c>
      <c r="B45" t="s">
        <v>51</v>
      </c>
      <c r="C45" s="50">
        <v>1.8143040000000001E-3</v>
      </c>
      <c r="D45" s="50">
        <v>8.3310810000000006E-3</v>
      </c>
      <c r="E45">
        <v>6.3030635400000007E-2</v>
      </c>
      <c r="F45" s="50">
        <v>8.772932E-8</v>
      </c>
      <c r="G45">
        <v>6.4844938899999996E-2</v>
      </c>
      <c r="H45" s="50">
        <v>7.3128169999999999E-8</v>
      </c>
      <c r="J45" t="str">
        <f t="shared" si="0"/>
        <v>***</v>
      </c>
      <c r="L45" t="str">
        <f t="shared" si="1"/>
        <v>***</v>
      </c>
      <c r="N45" t="str">
        <f t="shared" si="2"/>
        <v>***</v>
      </c>
      <c r="P45">
        <v>44</v>
      </c>
      <c r="Q45" t="s">
        <v>52</v>
      </c>
      <c r="R45" s="50">
        <v>1.4541999999999999E-2</v>
      </c>
      <c r="S45" s="50">
        <v>2.1044000000000002E-3</v>
      </c>
      <c r="T45">
        <v>6.91</v>
      </c>
      <c r="U45" s="50">
        <v>4.8480000000000003E-12</v>
      </c>
      <c r="W45" t="str">
        <f t="shared" si="3"/>
        <v>***</v>
      </c>
    </row>
    <row r="46" spans="1:23" x14ac:dyDescent="0.25">
      <c r="A46">
        <v>45</v>
      </c>
      <c r="B46" t="s">
        <v>164</v>
      </c>
      <c r="C46" s="50">
        <v>2.026553E-2</v>
      </c>
      <c r="D46" s="50">
        <v>0.23544570000000001</v>
      </c>
      <c r="E46">
        <v>-2.59945644E-2</v>
      </c>
      <c r="F46" s="50">
        <v>0.14718149999999999</v>
      </c>
      <c r="G46">
        <v>-5.7290348999999999E-3</v>
      </c>
      <c r="H46" s="50">
        <v>0.20434920000000001</v>
      </c>
      <c r="J46" t="str">
        <f t="shared" si="0"/>
        <v/>
      </c>
      <c r="L46" t="str">
        <f t="shared" si="1"/>
        <v/>
      </c>
      <c r="N46" t="str">
        <f t="shared" si="2"/>
        <v/>
      </c>
      <c r="P46">
        <v>45</v>
      </c>
      <c r="Q46" t="s">
        <v>51</v>
      </c>
      <c r="R46" s="50">
        <v>6.5260000000000003E-4</v>
      </c>
      <c r="S46" s="50">
        <v>6.4431000000000004E-4</v>
      </c>
      <c r="T46">
        <v>1.0128999999999999</v>
      </c>
      <c r="U46">
        <v>0.31111820000000001</v>
      </c>
      <c r="W46" t="str">
        <f t="shared" si="3"/>
        <v/>
      </c>
    </row>
    <row r="47" spans="1:23" x14ac:dyDescent="0.25">
      <c r="A47">
        <v>46</v>
      </c>
      <c r="B47" t="s">
        <v>39</v>
      </c>
      <c r="C47" s="50">
        <v>-1.340033E-2</v>
      </c>
      <c r="D47" s="50">
        <v>0.64469359999999998</v>
      </c>
      <c r="E47">
        <v>-0.1100448572</v>
      </c>
      <c r="F47" s="50">
        <v>1.2693380000000001E-2</v>
      </c>
      <c r="G47">
        <v>-0.1234451892</v>
      </c>
      <c r="H47" s="50">
        <v>1.4117360000000001E-4</v>
      </c>
      <c r="J47" t="str">
        <f t="shared" si="0"/>
        <v/>
      </c>
      <c r="L47" t="str">
        <f t="shared" si="1"/>
        <v>**</v>
      </c>
      <c r="N47" t="str">
        <f t="shared" si="2"/>
        <v>***</v>
      </c>
      <c r="P47">
        <v>46</v>
      </c>
      <c r="Q47" t="s">
        <v>164</v>
      </c>
      <c r="R47" s="50">
        <v>2.0745E-2</v>
      </c>
      <c r="S47" s="50">
        <v>1.7780000000000001E-2</v>
      </c>
      <c r="T47">
        <v>1.1668000000000001</v>
      </c>
      <c r="U47">
        <v>0.24330379999999999</v>
      </c>
      <c r="W47" t="str">
        <f t="shared" si="3"/>
        <v/>
      </c>
    </row>
    <row r="48" spans="1:23" x14ac:dyDescent="0.25">
      <c r="A48">
        <v>47</v>
      </c>
      <c r="B48" t="s">
        <v>40</v>
      </c>
      <c r="C48" s="50">
        <v>-6.8942530000000002E-2</v>
      </c>
      <c r="D48" s="50">
        <v>1.559803E-7</v>
      </c>
      <c r="E48">
        <v>2.8530911499999999E-2</v>
      </c>
      <c r="F48" s="50">
        <v>3.1344440000000001E-2</v>
      </c>
      <c r="G48">
        <v>-4.0411622799999998E-2</v>
      </c>
      <c r="H48" s="50">
        <v>0</v>
      </c>
      <c r="J48" t="str">
        <f t="shared" si="0"/>
        <v>***</v>
      </c>
      <c r="L48" t="str">
        <f t="shared" si="1"/>
        <v>**</v>
      </c>
      <c r="N48" t="str">
        <f t="shared" si="2"/>
        <v>***</v>
      </c>
      <c r="P48">
        <v>47</v>
      </c>
      <c r="Q48" t="s">
        <v>39</v>
      </c>
      <c r="R48" s="50">
        <v>-1.1372E-2</v>
      </c>
      <c r="S48" s="50">
        <v>2.9609E-2</v>
      </c>
      <c r="T48">
        <v>-0.3841</v>
      </c>
      <c r="U48">
        <v>0.70091689999999995</v>
      </c>
      <c r="W48" t="str">
        <f t="shared" si="3"/>
        <v/>
      </c>
    </row>
    <row r="49" spans="1:23" x14ac:dyDescent="0.25">
      <c r="A49">
        <v>48</v>
      </c>
      <c r="B49" t="s">
        <v>41</v>
      </c>
      <c r="C49" s="50">
        <v>2.078702E-2</v>
      </c>
      <c r="D49" s="50">
        <v>7.0916820000000005E-2</v>
      </c>
      <c r="E49">
        <v>-1.9906645899999999E-2</v>
      </c>
      <c r="F49" s="50">
        <v>8.7692790000000007E-2</v>
      </c>
      <c r="G49">
        <v>8.8037040000000003E-4</v>
      </c>
      <c r="H49" s="50">
        <v>0.67597390000000002</v>
      </c>
      <c r="J49" t="str">
        <f t="shared" si="0"/>
        <v>*</v>
      </c>
      <c r="L49" t="str">
        <f t="shared" si="1"/>
        <v>*</v>
      </c>
      <c r="N49" t="str">
        <f t="shared" si="2"/>
        <v/>
      </c>
      <c r="P49">
        <v>48</v>
      </c>
      <c r="Q49" t="s">
        <v>40</v>
      </c>
      <c r="R49" s="50">
        <v>-6.9469000000000003E-2</v>
      </c>
      <c r="S49" s="50">
        <v>1.3343000000000001E-2</v>
      </c>
      <c r="T49">
        <v>-5.2064000000000004</v>
      </c>
      <c r="U49" s="50">
        <v>1.9259999999999999E-7</v>
      </c>
      <c r="W49" t="str">
        <f t="shared" si="3"/>
        <v>***</v>
      </c>
    </row>
    <row r="50" spans="1:23" x14ac:dyDescent="0.25">
      <c r="A50">
        <v>49</v>
      </c>
      <c r="B50" t="s">
        <v>173</v>
      </c>
      <c r="C50" s="50">
        <v>2.7662840000000001E-2</v>
      </c>
      <c r="D50" s="50">
        <v>3.944019E-2</v>
      </c>
      <c r="E50">
        <v>-3.0667698199999999E-2</v>
      </c>
      <c r="F50" s="50">
        <v>2.2975909999999999E-2</v>
      </c>
      <c r="G50">
        <v>-3.0048613999999999E-3</v>
      </c>
      <c r="H50" s="50">
        <v>5.8401829999999997E-3</v>
      </c>
      <c r="J50" t="str">
        <f t="shared" si="0"/>
        <v>**</v>
      </c>
      <c r="L50" t="str">
        <f t="shared" si="1"/>
        <v>**</v>
      </c>
      <c r="N50" t="str">
        <f t="shared" si="2"/>
        <v>***</v>
      </c>
      <c r="P50">
        <v>49</v>
      </c>
      <c r="Q50" t="s">
        <v>41</v>
      </c>
      <c r="R50" s="50">
        <v>2.1153999999999999E-2</v>
      </c>
      <c r="S50" s="50">
        <v>1.1681E-2</v>
      </c>
      <c r="T50">
        <v>1.8109999999999999</v>
      </c>
      <c r="U50">
        <v>7.0138800000000001E-2</v>
      </c>
      <c r="W50" t="str">
        <f t="shared" si="3"/>
        <v>*</v>
      </c>
    </row>
    <row r="51" spans="1:23" x14ac:dyDescent="0.25">
      <c r="A51">
        <v>50</v>
      </c>
      <c r="B51" t="s">
        <v>174</v>
      </c>
      <c r="C51" s="50">
        <v>9.4817679999999998E-3</v>
      </c>
      <c r="D51" s="50">
        <v>0.38736009999999998</v>
      </c>
      <c r="E51">
        <v>3.19099339E-2</v>
      </c>
      <c r="F51" s="50">
        <v>1.8861880000000001E-2</v>
      </c>
      <c r="G51">
        <v>4.1391701500000003E-2</v>
      </c>
      <c r="H51" s="50">
        <v>3.8127430000000001E-7</v>
      </c>
      <c r="J51" t="str">
        <f t="shared" si="0"/>
        <v/>
      </c>
      <c r="L51" t="str">
        <f t="shared" si="1"/>
        <v>**</v>
      </c>
      <c r="N51" t="str">
        <f t="shared" si="2"/>
        <v>***</v>
      </c>
      <c r="P51">
        <v>50</v>
      </c>
      <c r="Q51" t="s">
        <v>173</v>
      </c>
      <c r="R51" s="50">
        <v>2.8228E-2</v>
      </c>
      <c r="S51" s="50">
        <v>1.3717999999999999E-2</v>
      </c>
      <c r="T51">
        <v>2.0577999999999999</v>
      </c>
      <c r="U51">
        <v>3.96088E-2</v>
      </c>
      <c r="W51" t="str">
        <f t="shared" si="3"/>
        <v>**</v>
      </c>
    </row>
    <row r="52" spans="1:23" x14ac:dyDescent="0.25">
      <c r="A52">
        <v>51</v>
      </c>
      <c r="B52" t="s">
        <v>175</v>
      </c>
      <c r="C52" s="50">
        <v>5.5619889999999998E-2</v>
      </c>
      <c r="D52" s="50">
        <v>1.1879660000000001E-7</v>
      </c>
      <c r="E52">
        <v>-3.9436637500000003E-2</v>
      </c>
      <c r="F52" s="50">
        <v>3.5324029999999999E-3</v>
      </c>
      <c r="G52">
        <v>1.6183255800000001E-2</v>
      </c>
      <c r="H52" s="50">
        <v>4.6151339999999999E-2</v>
      </c>
      <c r="J52" t="str">
        <f t="shared" si="0"/>
        <v>***</v>
      </c>
      <c r="L52" t="str">
        <f t="shared" si="1"/>
        <v>***</v>
      </c>
      <c r="N52" t="str">
        <f t="shared" si="2"/>
        <v>**</v>
      </c>
      <c r="P52">
        <v>51</v>
      </c>
      <c r="Q52" t="s">
        <v>174</v>
      </c>
      <c r="R52" s="50">
        <v>8.8936999999999992E-3</v>
      </c>
      <c r="S52" s="50">
        <v>1.1113E-2</v>
      </c>
      <c r="T52">
        <v>0.80030000000000001</v>
      </c>
      <c r="U52">
        <v>0.42352139999999999</v>
      </c>
      <c r="W52" t="str">
        <f t="shared" si="3"/>
        <v/>
      </c>
    </row>
    <row r="53" spans="1:23" x14ac:dyDescent="0.25">
      <c r="A53">
        <v>52</v>
      </c>
      <c r="B53" t="s">
        <v>43</v>
      </c>
      <c r="C53" s="50">
        <v>-3.0199440000000001E-2</v>
      </c>
      <c r="D53" s="50">
        <v>0.4538857</v>
      </c>
      <c r="E53">
        <v>-1.4650394982999999</v>
      </c>
      <c r="F53" s="50">
        <v>1.3786909999999999E-7</v>
      </c>
      <c r="G53">
        <v>-1.4952389388</v>
      </c>
      <c r="H53" s="50">
        <v>1.2357839999999999E-7</v>
      </c>
      <c r="J53" t="str">
        <f t="shared" si="0"/>
        <v/>
      </c>
      <c r="L53" t="str">
        <f t="shared" si="1"/>
        <v>***</v>
      </c>
      <c r="N53" t="str">
        <f t="shared" si="2"/>
        <v>***</v>
      </c>
      <c r="P53">
        <v>52</v>
      </c>
      <c r="Q53" t="s">
        <v>175</v>
      </c>
      <c r="R53" s="50">
        <v>5.6347000000000001E-2</v>
      </c>
      <c r="S53" s="50">
        <v>1.0877E-2</v>
      </c>
      <c r="T53">
        <v>5.1806000000000001</v>
      </c>
      <c r="U53" s="50">
        <v>2.212E-7</v>
      </c>
      <c r="W53" t="str">
        <f t="shared" si="3"/>
        <v>***</v>
      </c>
    </row>
    <row r="54" spans="1:23" x14ac:dyDescent="0.25">
      <c r="A54">
        <v>53</v>
      </c>
      <c r="B54" t="s">
        <v>44</v>
      </c>
      <c r="C54" s="50">
        <v>-2.4596119999999999E-2</v>
      </c>
      <c r="D54" s="50">
        <v>7.6981549999999996E-2</v>
      </c>
      <c r="E54">
        <v>-0.23615075120000001</v>
      </c>
      <c r="F54" s="50">
        <v>6.990187E-5</v>
      </c>
      <c r="G54">
        <v>-0.26074686759999999</v>
      </c>
      <c r="H54" s="50">
        <v>1.2135719999999999E-5</v>
      </c>
      <c r="J54" t="str">
        <f t="shared" si="0"/>
        <v>*</v>
      </c>
      <c r="L54" t="str">
        <f t="shared" si="1"/>
        <v>***</v>
      </c>
      <c r="N54" t="str">
        <f t="shared" si="2"/>
        <v>***</v>
      </c>
      <c r="P54">
        <v>53</v>
      </c>
      <c r="Q54" t="s">
        <v>43</v>
      </c>
      <c r="R54" s="50">
        <v>-3.1976999999999999E-3</v>
      </c>
      <c r="S54" s="50">
        <v>3.9820000000000001E-2</v>
      </c>
      <c r="T54">
        <v>-8.0299999999999996E-2</v>
      </c>
      <c r="U54">
        <v>0.93599699999999997</v>
      </c>
      <c r="W54" t="str">
        <f t="shared" si="3"/>
        <v/>
      </c>
    </row>
    <row r="55" spans="1:23" x14ac:dyDescent="0.25">
      <c r="A55">
        <v>54</v>
      </c>
      <c r="B55" t="s">
        <v>45</v>
      </c>
      <c r="C55" s="50">
        <v>5.6286950000000002E-2</v>
      </c>
      <c r="D55" s="50">
        <v>2.116927E-2</v>
      </c>
      <c r="E55">
        <v>-0.14721245199999999</v>
      </c>
      <c r="F55" s="50">
        <v>0.2810243</v>
      </c>
      <c r="G55">
        <v>-9.0925504599999998E-2</v>
      </c>
      <c r="H55" s="50">
        <v>0.50659799999999999</v>
      </c>
      <c r="J55" t="str">
        <f t="shared" si="0"/>
        <v>**</v>
      </c>
      <c r="L55" t="str">
        <f t="shared" si="1"/>
        <v/>
      </c>
      <c r="N55" t="str">
        <f t="shared" si="2"/>
        <v/>
      </c>
      <c r="P55">
        <v>54</v>
      </c>
      <c r="Q55" t="s">
        <v>44</v>
      </c>
      <c r="R55" s="50">
        <v>-2.0244000000000002E-2</v>
      </c>
      <c r="S55" s="50">
        <v>1.4138E-2</v>
      </c>
      <c r="T55">
        <v>-1.4318</v>
      </c>
      <c r="U55">
        <v>0.1521874</v>
      </c>
      <c r="W55" t="str">
        <f t="shared" si="3"/>
        <v/>
      </c>
    </row>
    <row r="56" spans="1:23" x14ac:dyDescent="0.25">
      <c r="A56">
        <v>55</v>
      </c>
      <c r="B56" t="s">
        <v>48</v>
      </c>
      <c r="C56" s="50">
        <v>-2.624222E-2</v>
      </c>
      <c r="D56" s="50">
        <v>2.356366E-2</v>
      </c>
      <c r="E56">
        <v>0.68170779500000001</v>
      </c>
      <c r="F56" s="50">
        <v>0</v>
      </c>
      <c r="G56">
        <v>0.65546557080000001</v>
      </c>
      <c r="H56" s="50">
        <v>0</v>
      </c>
      <c r="J56" t="str">
        <f t="shared" si="0"/>
        <v>**</v>
      </c>
      <c r="L56" t="str">
        <f t="shared" si="1"/>
        <v>***</v>
      </c>
      <c r="N56" t="str">
        <f t="shared" si="2"/>
        <v>***</v>
      </c>
      <c r="P56">
        <v>55</v>
      </c>
      <c r="Q56" t="s">
        <v>45</v>
      </c>
      <c r="R56" s="50">
        <v>5.8999999999999997E-2</v>
      </c>
      <c r="S56" s="50">
        <v>2.4766E-2</v>
      </c>
      <c r="T56">
        <v>2.3822999999999999</v>
      </c>
      <c r="U56">
        <v>1.7205499999999999E-2</v>
      </c>
      <c r="W56" t="str">
        <f t="shared" si="3"/>
        <v>**</v>
      </c>
    </row>
    <row r="57" spans="1:23" x14ac:dyDescent="0.25">
      <c r="A57">
        <v>56</v>
      </c>
      <c r="B57" t="s">
        <v>46</v>
      </c>
      <c r="C57" s="50">
        <v>-7.273193E-2</v>
      </c>
      <c r="D57" s="50">
        <v>2.849072E-5</v>
      </c>
      <c r="E57">
        <v>-0.1272685315</v>
      </c>
      <c r="F57" s="50">
        <v>7.9612870000000002E-2</v>
      </c>
      <c r="G57">
        <v>-0.20000046460000001</v>
      </c>
      <c r="H57" s="50">
        <v>5.276864E-3</v>
      </c>
      <c r="J57" t="str">
        <f t="shared" si="0"/>
        <v>***</v>
      </c>
      <c r="L57" t="str">
        <f t="shared" si="1"/>
        <v>*</v>
      </c>
      <c r="N57" t="str">
        <f t="shared" si="2"/>
        <v>***</v>
      </c>
      <c r="P57">
        <v>56</v>
      </c>
      <c r="Q57" t="s">
        <v>48</v>
      </c>
      <c r="R57" s="50">
        <v>-3.8807000000000001E-2</v>
      </c>
      <c r="S57" s="50">
        <v>1.1738999999999999E-2</v>
      </c>
      <c r="T57">
        <v>-3.3058999999999998</v>
      </c>
      <c r="U57">
        <v>9.4669999999999997E-4</v>
      </c>
      <c r="W57" t="str">
        <f t="shared" si="3"/>
        <v>***</v>
      </c>
    </row>
    <row r="58" spans="1:23" x14ac:dyDescent="0.25">
      <c r="C58" s="50"/>
      <c r="D58" s="50"/>
      <c r="F58" s="50"/>
      <c r="H58" s="50"/>
      <c r="P58">
        <v>57</v>
      </c>
      <c r="Q58" t="s">
        <v>46</v>
      </c>
      <c r="R58" s="50">
        <v>-7.0387000000000005E-2</v>
      </c>
      <c r="S58" s="50">
        <v>1.7573999999999999E-2</v>
      </c>
      <c r="T58">
        <v>-4.0053000000000001</v>
      </c>
      <c r="U58" s="50">
        <v>6.1950000000000001E-5</v>
      </c>
      <c r="W58" t="str">
        <f t="shared" si="3"/>
        <v>***</v>
      </c>
    </row>
    <row r="59" spans="1:23" x14ac:dyDescent="0.25">
      <c r="B59" t="s">
        <v>716</v>
      </c>
      <c r="C59" s="26">
        <v>23359</v>
      </c>
      <c r="D59" s="50"/>
      <c r="F59" s="50"/>
      <c r="H59" s="50"/>
      <c r="P59">
        <v>58</v>
      </c>
      <c r="Q59" t="s">
        <v>731</v>
      </c>
      <c r="R59" s="50">
        <v>0.11348999999999999</v>
      </c>
      <c r="S59" s="50">
        <v>3.7093000000000001E-2</v>
      </c>
      <c r="T59">
        <v>3.0596000000000001</v>
      </c>
      <c r="U59">
        <v>2.2166E-3</v>
      </c>
      <c r="W59" t="str">
        <f t="shared" si="3"/>
        <v>***</v>
      </c>
    </row>
    <row r="60" spans="1:23" x14ac:dyDescent="0.25">
      <c r="P60">
        <v>59</v>
      </c>
      <c r="Q60" t="s">
        <v>732</v>
      </c>
      <c r="R60" s="50">
        <v>8.5300000000000003E-4</v>
      </c>
      <c r="S60" s="50">
        <v>5.7859000000000003E-5</v>
      </c>
      <c r="T60">
        <v>14.742599999999999</v>
      </c>
      <c r="U60" s="50">
        <v>2.2E-16</v>
      </c>
      <c r="W60" t="str">
        <f t="shared" si="3"/>
        <v>***</v>
      </c>
    </row>
    <row r="61" spans="1:23" x14ac:dyDescent="0.25">
      <c r="B61" t="s">
        <v>718</v>
      </c>
      <c r="C61">
        <v>0.85665000000000002</v>
      </c>
      <c r="D61" t="s">
        <v>719</v>
      </c>
      <c r="E61">
        <v>15956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733</v>
      </c>
      <c r="R61" s="50">
        <v>2.3234000000000001E-2</v>
      </c>
      <c r="S61" s="50">
        <v>1.7617000000000001E-2</v>
      </c>
      <c r="T61">
        <v>1.3188</v>
      </c>
      <c r="U61">
        <v>0.18722849999999999</v>
      </c>
      <c r="W61" t="str">
        <f t="shared" si="3"/>
        <v/>
      </c>
    </row>
    <row r="62" spans="1:23" x14ac:dyDescent="0.25">
      <c r="B62" t="s">
        <v>497</v>
      </c>
      <c r="C62">
        <v>-24312</v>
      </c>
      <c r="P62">
        <v>61</v>
      </c>
      <c r="Q62" t="s">
        <v>734</v>
      </c>
      <c r="R62" s="50">
        <v>3.2247999999999999E-2</v>
      </c>
      <c r="S62" s="50">
        <v>1.6938999999999999E-2</v>
      </c>
      <c r="T62">
        <v>1.9037999999999999</v>
      </c>
      <c r="U62">
        <v>5.6941699999999998E-2</v>
      </c>
      <c r="W62" t="str">
        <f t="shared" si="3"/>
        <v>*</v>
      </c>
    </row>
    <row r="63" spans="1:23" x14ac:dyDescent="0.25">
      <c r="B63" t="s">
        <v>717</v>
      </c>
      <c r="C63">
        <v>12271.09</v>
      </c>
      <c r="P63">
        <v>62</v>
      </c>
      <c r="Q63" t="s">
        <v>735</v>
      </c>
      <c r="R63" s="50">
        <v>-2.1798000000000001E-2</v>
      </c>
      <c r="S63" s="50">
        <v>1.6964E-2</v>
      </c>
      <c r="T63">
        <v>-1.2849999999999999</v>
      </c>
      <c r="U63">
        <v>0.1987942</v>
      </c>
      <c r="W63" t="str">
        <f t="shared" si="3"/>
        <v/>
      </c>
    </row>
    <row r="64" spans="1:23" x14ac:dyDescent="0.25">
      <c r="P64">
        <v>63</v>
      </c>
      <c r="Q64" t="s">
        <v>736</v>
      </c>
      <c r="R64" s="50">
        <v>-0.17116000000000001</v>
      </c>
      <c r="S64" s="50">
        <v>3.6179000000000003E-2</v>
      </c>
      <c r="T64">
        <v>-4.7309000000000001</v>
      </c>
      <c r="U64" s="50">
        <v>2.2350000000000002E-6</v>
      </c>
      <c r="W64" t="str">
        <f t="shared" si="3"/>
        <v>***</v>
      </c>
    </row>
    <row r="65" spans="16:23" x14ac:dyDescent="0.25">
      <c r="P65">
        <v>64</v>
      </c>
      <c r="Q65" t="s">
        <v>737</v>
      </c>
      <c r="R65" s="50">
        <v>-8.2767999999999994E-2</v>
      </c>
      <c r="S65" s="50">
        <v>4.0521000000000001E-2</v>
      </c>
      <c r="T65">
        <v>-2.0426000000000002</v>
      </c>
      <c r="U65">
        <v>4.1092099999999999E-2</v>
      </c>
      <c r="W65" t="str">
        <f t="shared" si="3"/>
        <v>**</v>
      </c>
    </row>
    <row r="66" spans="16:23" x14ac:dyDescent="0.25">
      <c r="P66">
        <v>65</v>
      </c>
      <c r="Q66" t="s">
        <v>738</v>
      </c>
      <c r="R66" s="50">
        <v>-0.17996999999999999</v>
      </c>
      <c r="S66" s="50">
        <v>4.0256E-2</v>
      </c>
      <c r="T66">
        <v>-4.4706000000000001</v>
      </c>
      <c r="U66" s="50">
        <v>7.7989999999999994E-6</v>
      </c>
      <c r="W66" t="str">
        <f t="shared" si="3"/>
        <v>***</v>
      </c>
    </row>
    <row r="67" spans="16:23" x14ac:dyDescent="0.25">
      <c r="P67">
        <v>66</v>
      </c>
      <c r="Q67" t="s">
        <v>739</v>
      </c>
      <c r="R67" s="50">
        <v>-0.12374</v>
      </c>
      <c r="S67" s="50">
        <v>0.10385999999999999</v>
      </c>
      <c r="T67">
        <v>-1.1914</v>
      </c>
      <c r="U67">
        <v>0.23349049999999999</v>
      </c>
      <c r="W67" t="str">
        <f t="shared" ref="W67:W116" si="4">IF(U67&lt;0.01,"***",IF(U67&lt;0.05,"**",IF(U67&lt;0.1,"*","")))</f>
        <v/>
      </c>
    </row>
    <row r="68" spans="16:23" x14ac:dyDescent="0.25">
      <c r="P68">
        <v>67</v>
      </c>
      <c r="Q68" t="s">
        <v>740</v>
      </c>
      <c r="R68" s="50">
        <v>-0.12662000000000001</v>
      </c>
      <c r="S68" s="50">
        <v>3.7271000000000001E-3</v>
      </c>
      <c r="T68">
        <v>-33.973399999999998</v>
      </c>
      <c r="U68" s="50">
        <v>2.2E-16</v>
      </c>
      <c r="W68" t="str">
        <f t="shared" si="4"/>
        <v>***</v>
      </c>
    </row>
    <row r="69" spans="16:23" x14ac:dyDescent="0.25">
      <c r="P69">
        <v>68</v>
      </c>
      <c r="Q69" t="s">
        <v>741</v>
      </c>
      <c r="R69" s="50">
        <v>-9.6626000000000004E-2</v>
      </c>
      <c r="S69" s="50">
        <v>5.3822000000000002E-3</v>
      </c>
      <c r="T69">
        <v>-17.9528</v>
      </c>
      <c r="U69" s="50">
        <v>2.2E-16</v>
      </c>
      <c r="W69" t="str">
        <f t="shared" si="4"/>
        <v>***</v>
      </c>
    </row>
    <row r="70" spans="16:23" x14ac:dyDescent="0.25">
      <c r="P70">
        <v>69</v>
      </c>
      <c r="Q70" t="s">
        <v>742</v>
      </c>
      <c r="R70" s="50">
        <v>-4.7243E-2</v>
      </c>
      <c r="S70" s="50">
        <v>6.4311999999999998E-3</v>
      </c>
      <c r="T70">
        <v>-7.3459000000000003</v>
      </c>
      <c r="U70" s="50">
        <v>2.043E-13</v>
      </c>
      <c r="W70" t="str">
        <f t="shared" si="4"/>
        <v>***</v>
      </c>
    </row>
    <row r="71" spans="16:23" x14ac:dyDescent="0.25">
      <c r="P71">
        <v>70</v>
      </c>
      <c r="Q71" t="s">
        <v>743</v>
      </c>
      <c r="R71" s="50">
        <v>-9.5445000000000002E-4</v>
      </c>
      <c r="S71" s="50">
        <v>9.1374000000000004E-3</v>
      </c>
      <c r="T71">
        <v>-0.1045</v>
      </c>
      <c r="U71">
        <v>0.91680779999999995</v>
      </c>
      <c r="W71" t="str">
        <f t="shared" si="4"/>
        <v/>
      </c>
    </row>
    <row r="72" spans="16:23" x14ac:dyDescent="0.25">
      <c r="P72">
        <v>71</v>
      </c>
      <c r="Q72" t="s">
        <v>744</v>
      </c>
      <c r="R72" s="50">
        <v>3.0224999999999998E-2</v>
      </c>
      <c r="S72" s="50">
        <v>8.9134000000000001E-3</v>
      </c>
      <c r="T72">
        <v>3.3908999999999998</v>
      </c>
      <c r="U72">
        <v>6.9660000000000002E-4</v>
      </c>
      <c r="W72" t="str">
        <f t="shared" si="4"/>
        <v>***</v>
      </c>
    </row>
    <row r="73" spans="16:23" x14ac:dyDescent="0.25">
      <c r="P73">
        <v>72</v>
      </c>
      <c r="Q73" t="s">
        <v>745</v>
      </c>
      <c r="R73" s="50">
        <v>-1.8273000000000001E-4</v>
      </c>
      <c r="S73" s="50">
        <v>8.8721999999999995E-6</v>
      </c>
      <c r="T73">
        <v>-20.5959</v>
      </c>
      <c r="U73" s="50">
        <v>2.2E-16</v>
      </c>
      <c r="W73" t="str">
        <f t="shared" si="4"/>
        <v>***</v>
      </c>
    </row>
    <row r="74" spans="16:23" x14ac:dyDescent="0.25">
      <c r="P74">
        <v>73</v>
      </c>
      <c r="Q74" t="s">
        <v>746</v>
      </c>
      <c r="R74" s="50">
        <v>-2.4627999999999998E-3</v>
      </c>
      <c r="S74" s="50">
        <v>9.8080999999999993E-4</v>
      </c>
      <c r="T74">
        <v>-2.5110000000000001</v>
      </c>
      <c r="U74">
        <v>1.2038800000000001E-2</v>
      </c>
      <c r="W74" t="str">
        <f t="shared" si="4"/>
        <v>**</v>
      </c>
    </row>
    <row r="75" spans="16:23" x14ac:dyDescent="0.25">
      <c r="P75">
        <v>74</v>
      </c>
      <c r="Q75" t="s">
        <v>747</v>
      </c>
      <c r="R75" s="50">
        <v>0.10847</v>
      </c>
      <c r="S75" s="50">
        <v>1.1821999999999999E-2</v>
      </c>
      <c r="T75">
        <v>9.1753</v>
      </c>
      <c r="U75" s="50">
        <v>2.2E-16</v>
      </c>
      <c r="W75" t="str">
        <f t="shared" si="4"/>
        <v>***</v>
      </c>
    </row>
    <row r="76" spans="16:23" x14ac:dyDescent="0.25">
      <c r="P76">
        <v>75</v>
      </c>
      <c r="Q76" t="s">
        <v>748</v>
      </c>
      <c r="R76" s="50">
        <v>1.103E-3</v>
      </c>
      <c r="S76" s="50">
        <v>0.10008</v>
      </c>
      <c r="T76">
        <v>1.0999999999999999E-2</v>
      </c>
      <c r="U76">
        <v>0.99120680000000005</v>
      </c>
      <c r="W76" t="str">
        <f t="shared" si="4"/>
        <v/>
      </c>
    </row>
    <row r="77" spans="16:23" x14ac:dyDescent="0.25">
      <c r="P77">
        <v>76</v>
      </c>
      <c r="Q77" t="s">
        <v>749</v>
      </c>
      <c r="R77" s="50">
        <v>-1.7111999999999999E-2</v>
      </c>
      <c r="S77" s="50">
        <v>1.1442000000000001E-2</v>
      </c>
      <c r="T77">
        <v>-1.4956</v>
      </c>
      <c r="U77">
        <v>0.13475609999999999</v>
      </c>
      <c r="W77" t="str">
        <f t="shared" si="4"/>
        <v/>
      </c>
    </row>
    <row r="78" spans="16:23" x14ac:dyDescent="0.25">
      <c r="P78">
        <v>77</v>
      </c>
      <c r="Q78" t="s">
        <v>750</v>
      </c>
      <c r="R78" s="50">
        <v>-4.2391999999999999E-2</v>
      </c>
      <c r="S78" s="50">
        <v>1.1107000000000001E-2</v>
      </c>
      <c r="T78">
        <v>-3.8167</v>
      </c>
      <c r="U78">
        <v>1.3520000000000001E-4</v>
      </c>
      <c r="W78" t="str">
        <f t="shared" si="4"/>
        <v>***</v>
      </c>
    </row>
    <row r="79" spans="16:23" x14ac:dyDescent="0.25">
      <c r="P79">
        <v>78</v>
      </c>
      <c r="Q79" t="s">
        <v>751</v>
      </c>
      <c r="R79" s="50">
        <v>4.5987E-2</v>
      </c>
      <c r="S79" s="50">
        <v>2.8483000000000001E-2</v>
      </c>
      <c r="T79">
        <v>1.6146</v>
      </c>
      <c r="U79">
        <v>0.1064055</v>
      </c>
      <c r="W79" t="str">
        <f t="shared" si="4"/>
        <v/>
      </c>
    </row>
    <row r="80" spans="16:23" x14ac:dyDescent="0.25">
      <c r="P80">
        <v>79</v>
      </c>
      <c r="Q80" t="s">
        <v>752</v>
      </c>
      <c r="R80" s="50">
        <v>2.0823999999999999E-3</v>
      </c>
      <c r="S80" s="50">
        <v>1.9306E-2</v>
      </c>
      <c r="T80">
        <v>0.1079</v>
      </c>
      <c r="U80">
        <v>0.91410579999999997</v>
      </c>
      <c r="W80" t="str">
        <f t="shared" si="4"/>
        <v/>
      </c>
    </row>
    <row r="81" spans="16:23" x14ac:dyDescent="0.25">
      <c r="P81">
        <v>80</v>
      </c>
      <c r="Q81" t="s">
        <v>753</v>
      </c>
      <c r="R81" s="50">
        <v>5.4716000000000001E-2</v>
      </c>
      <c r="S81" s="50">
        <v>2.8232E-2</v>
      </c>
      <c r="T81">
        <v>1.9380999999999999</v>
      </c>
      <c r="U81">
        <v>5.2613899999999998E-2</v>
      </c>
      <c r="W81" t="str">
        <f t="shared" si="4"/>
        <v>*</v>
      </c>
    </row>
    <row r="82" spans="16:23" x14ac:dyDescent="0.25">
      <c r="P82">
        <v>81</v>
      </c>
      <c r="Q82" t="s">
        <v>754</v>
      </c>
      <c r="R82" s="50">
        <v>4.0489999999999998E-2</v>
      </c>
      <c r="S82" s="50">
        <v>1.338E-2</v>
      </c>
      <c r="T82">
        <v>3.0263</v>
      </c>
      <c r="U82">
        <v>2.4759999999999999E-3</v>
      </c>
      <c r="W82" t="str">
        <f t="shared" si="4"/>
        <v>***</v>
      </c>
    </row>
    <row r="83" spans="16:23" x14ac:dyDescent="0.25">
      <c r="P83">
        <v>82</v>
      </c>
      <c r="Q83" t="s">
        <v>755</v>
      </c>
      <c r="R83" s="50">
        <v>2.6516999999999999E-2</v>
      </c>
      <c r="S83" s="50">
        <v>1.4113000000000001E-2</v>
      </c>
      <c r="T83">
        <v>1.8789</v>
      </c>
      <c r="U83">
        <v>6.0258800000000001E-2</v>
      </c>
      <c r="W83" t="str">
        <f t="shared" si="4"/>
        <v>*</v>
      </c>
    </row>
    <row r="84" spans="16:23" x14ac:dyDescent="0.25">
      <c r="P84">
        <v>83</v>
      </c>
      <c r="Q84" t="s">
        <v>756</v>
      </c>
      <c r="R84" s="50">
        <v>6.3102000000000005E-2</v>
      </c>
      <c r="S84" s="50">
        <v>1.3325E-2</v>
      </c>
      <c r="T84">
        <v>4.7355999999999998</v>
      </c>
      <c r="U84" s="50">
        <v>2.1840000000000002E-6</v>
      </c>
      <c r="W84" t="str">
        <f t="shared" si="4"/>
        <v>***</v>
      </c>
    </row>
    <row r="85" spans="16:23" x14ac:dyDescent="0.25">
      <c r="P85">
        <v>84</v>
      </c>
      <c r="Q85" t="s">
        <v>757</v>
      </c>
      <c r="R85" s="50">
        <v>4.7114999999999997E-2</v>
      </c>
      <c r="S85" s="50">
        <v>1.1904E-2</v>
      </c>
      <c r="T85">
        <v>3.9581</v>
      </c>
      <c r="U85" s="50">
        <v>7.5560000000000002E-5</v>
      </c>
      <c r="W85" t="str">
        <f t="shared" si="4"/>
        <v>***</v>
      </c>
    </row>
    <row r="86" spans="16:23" x14ac:dyDescent="0.25">
      <c r="P86">
        <v>85</v>
      </c>
      <c r="Q86" t="s">
        <v>759</v>
      </c>
      <c r="R86" s="50">
        <v>5.5726999999999999E-2</v>
      </c>
      <c r="S86" s="50">
        <v>1.0548999999999999E-2</v>
      </c>
      <c r="T86">
        <v>5.2827999999999999</v>
      </c>
      <c r="U86" s="50">
        <v>1.272E-7</v>
      </c>
      <c r="W86" t="str">
        <f t="shared" si="4"/>
        <v>***</v>
      </c>
    </row>
    <row r="87" spans="16:23" x14ac:dyDescent="0.25">
      <c r="P87">
        <v>86</v>
      </c>
      <c r="Q87" t="s">
        <v>760</v>
      </c>
      <c r="R87" s="50">
        <v>-0.11416</v>
      </c>
      <c r="S87" s="50">
        <v>4.6163999999999997E-2</v>
      </c>
      <c r="T87">
        <v>-2.4729999999999999</v>
      </c>
      <c r="U87">
        <v>1.34E-2</v>
      </c>
      <c r="W87" t="str">
        <f t="shared" si="4"/>
        <v>**</v>
      </c>
    </row>
    <row r="88" spans="16:23" x14ac:dyDescent="0.25">
      <c r="P88">
        <v>87</v>
      </c>
      <c r="Q88" t="s">
        <v>761</v>
      </c>
      <c r="R88" s="50">
        <v>-0.30099999999999999</v>
      </c>
      <c r="S88" s="50">
        <v>0.13674</v>
      </c>
      <c r="T88">
        <v>-2.2012999999999998</v>
      </c>
      <c r="U88">
        <v>2.7712500000000001E-2</v>
      </c>
      <c r="W88" t="str">
        <f t="shared" si="4"/>
        <v>**</v>
      </c>
    </row>
    <row r="89" spans="16:23" x14ac:dyDescent="0.25">
      <c r="P89">
        <v>88</v>
      </c>
      <c r="Q89" t="s">
        <v>762</v>
      </c>
      <c r="R89" s="50">
        <v>-2.3120999999999999E-2</v>
      </c>
      <c r="S89" s="50">
        <v>1.4426E-2</v>
      </c>
      <c r="T89">
        <v>-1.6027</v>
      </c>
      <c r="U89">
        <v>0.1090001</v>
      </c>
      <c r="W89" t="str">
        <f t="shared" si="4"/>
        <v/>
      </c>
    </row>
    <row r="90" spans="16:23" x14ac:dyDescent="0.25">
      <c r="P90">
        <v>89</v>
      </c>
      <c r="Q90" t="s">
        <v>763</v>
      </c>
      <c r="R90" s="50">
        <v>1.0371E-2</v>
      </c>
      <c r="S90" s="50">
        <v>1.0214000000000001E-2</v>
      </c>
      <c r="T90">
        <v>1.0154000000000001</v>
      </c>
      <c r="U90">
        <v>0.30991590000000002</v>
      </c>
      <c r="W90" t="str">
        <f t="shared" si="4"/>
        <v/>
      </c>
    </row>
    <row r="91" spans="16:23" x14ac:dyDescent="0.25">
      <c r="P91">
        <v>90</v>
      </c>
      <c r="Q91" t="s">
        <v>764</v>
      </c>
      <c r="R91" s="50">
        <v>-2.2426999999999999E-2</v>
      </c>
      <c r="S91" s="50">
        <v>1.0796999999999999E-2</v>
      </c>
      <c r="T91">
        <v>-2.0771000000000002</v>
      </c>
      <c r="U91">
        <v>3.7788299999999997E-2</v>
      </c>
      <c r="W91" t="str">
        <f t="shared" si="4"/>
        <v>**</v>
      </c>
    </row>
    <row r="92" spans="16:23" x14ac:dyDescent="0.25">
      <c r="P92">
        <v>91</v>
      </c>
      <c r="Q92" t="s">
        <v>765</v>
      </c>
      <c r="R92" s="50">
        <v>-3.116E-2</v>
      </c>
      <c r="S92" s="50">
        <v>1.9716999999999998E-2</v>
      </c>
      <c r="T92">
        <v>-1.5804</v>
      </c>
      <c r="U92">
        <v>0.1140243</v>
      </c>
      <c r="W92" t="str">
        <f t="shared" si="4"/>
        <v/>
      </c>
    </row>
    <row r="93" spans="16:23" x14ac:dyDescent="0.25">
      <c r="P93">
        <v>92</v>
      </c>
      <c r="Q93" t="s">
        <v>766</v>
      </c>
      <c r="R93" s="50">
        <v>9.7728999999999993E-3</v>
      </c>
      <c r="S93" s="50">
        <v>1.2758E-2</v>
      </c>
      <c r="T93">
        <v>0.76600000000000001</v>
      </c>
      <c r="U93">
        <v>0.44367839999999997</v>
      </c>
      <c r="W93" t="str">
        <f t="shared" si="4"/>
        <v/>
      </c>
    </row>
    <row r="94" spans="16:23" x14ac:dyDescent="0.25">
      <c r="P94">
        <v>93</v>
      </c>
      <c r="Q94" t="s">
        <v>767</v>
      </c>
      <c r="R94" s="50">
        <v>-2.971E-2</v>
      </c>
      <c r="S94" s="50">
        <v>2.4910000000000002E-2</v>
      </c>
      <c r="T94">
        <v>-1.1927000000000001</v>
      </c>
      <c r="U94">
        <v>0.2329958</v>
      </c>
      <c r="W94" t="str">
        <f t="shared" si="4"/>
        <v/>
      </c>
    </row>
    <row r="95" spans="16:23" x14ac:dyDescent="0.25">
      <c r="P95">
        <v>94</v>
      </c>
      <c r="Q95" t="s">
        <v>768</v>
      </c>
      <c r="R95" s="50">
        <v>-0.14912</v>
      </c>
      <c r="S95" s="50">
        <v>9.4035999999999998E-3</v>
      </c>
      <c r="T95">
        <v>-15.8581</v>
      </c>
      <c r="U95" s="50">
        <v>2.2E-16</v>
      </c>
      <c r="W95" t="str">
        <f t="shared" si="4"/>
        <v>***</v>
      </c>
    </row>
    <row r="96" spans="16:23" x14ac:dyDescent="0.25">
      <c r="P96">
        <v>95</v>
      </c>
      <c r="Q96" t="s">
        <v>769</v>
      </c>
      <c r="R96" s="50">
        <v>-0.18654999999999999</v>
      </c>
      <c r="S96" s="50">
        <v>1.1164E-2</v>
      </c>
      <c r="T96">
        <v>-16.710699999999999</v>
      </c>
      <c r="U96" s="50">
        <v>2.2E-16</v>
      </c>
      <c r="W96" t="str">
        <f t="shared" si="4"/>
        <v>***</v>
      </c>
    </row>
    <row r="97" spans="16:23" x14ac:dyDescent="0.25">
      <c r="P97">
        <v>96</v>
      </c>
      <c r="Q97" t="s">
        <v>770</v>
      </c>
      <c r="R97" s="50">
        <v>-7.9506999999999994E-2</v>
      </c>
      <c r="S97" s="50">
        <v>3.5680999999999997E-2</v>
      </c>
      <c r="T97">
        <v>-2.2282999999999999</v>
      </c>
      <c r="U97">
        <v>2.58636E-2</v>
      </c>
      <c r="W97" t="str">
        <f t="shared" si="4"/>
        <v>**</v>
      </c>
    </row>
    <row r="98" spans="16:23" x14ac:dyDescent="0.25">
      <c r="P98">
        <v>97</v>
      </c>
      <c r="Q98" t="s">
        <v>771</v>
      </c>
      <c r="R98" s="50">
        <v>-0.23144999999999999</v>
      </c>
      <c r="S98" s="50">
        <v>2.9531999999999999E-2</v>
      </c>
      <c r="T98">
        <v>-7.8372999999999999</v>
      </c>
      <c r="U98" s="50">
        <v>4.6630000000000002E-15</v>
      </c>
      <c r="W98" t="str">
        <f t="shared" si="4"/>
        <v>***</v>
      </c>
    </row>
    <row r="99" spans="16:23" x14ac:dyDescent="0.25">
      <c r="P99">
        <v>98</v>
      </c>
      <c r="Q99" t="s">
        <v>772</v>
      </c>
      <c r="R99" s="50">
        <v>-0.61051</v>
      </c>
      <c r="S99" s="50">
        <v>0.13785</v>
      </c>
      <c r="T99">
        <v>-4.4287000000000001</v>
      </c>
      <c r="U99" s="50">
        <v>9.4809999999999995E-6</v>
      </c>
      <c r="W99" t="str">
        <f t="shared" si="4"/>
        <v>***</v>
      </c>
    </row>
    <row r="100" spans="16:23" x14ac:dyDescent="0.25">
      <c r="P100">
        <v>99</v>
      </c>
      <c r="Q100" t="s">
        <v>773</v>
      </c>
      <c r="R100" s="50">
        <v>1.4205E-5</v>
      </c>
      <c r="S100" s="50">
        <v>5.0074000000000002E-5</v>
      </c>
      <c r="T100">
        <v>0.28370000000000001</v>
      </c>
      <c r="U100">
        <v>0.77665220000000001</v>
      </c>
      <c r="W100" t="str">
        <f t="shared" si="4"/>
        <v/>
      </c>
    </row>
    <row r="101" spans="16:23" x14ac:dyDescent="0.25">
      <c r="P101">
        <v>100</v>
      </c>
      <c r="Q101" t="s">
        <v>774</v>
      </c>
      <c r="R101" s="50">
        <v>-2.6782E-2</v>
      </c>
      <c r="S101" s="50">
        <v>8.9878000000000006E-3</v>
      </c>
      <c r="T101">
        <v>-2.9798</v>
      </c>
      <c r="U101">
        <v>2.8842E-3</v>
      </c>
      <c r="W101" t="str">
        <f t="shared" si="4"/>
        <v>***</v>
      </c>
    </row>
    <row r="102" spans="16:23" x14ac:dyDescent="0.25">
      <c r="P102">
        <v>101</v>
      </c>
      <c r="Q102" t="s">
        <v>775</v>
      </c>
      <c r="R102" s="50">
        <v>8.7332999999999994E-3</v>
      </c>
      <c r="S102" s="50">
        <v>1.7768E-3</v>
      </c>
      <c r="T102">
        <v>4.915</v>
      </c>
      <c r="U102" s="50">
        <v>8.8769999999999999E-7</v>
      </c>
      <c r="W102" t="str">
        <f t="shared" si="4"/>
        <v>***</v>
      </c>
    </row>
    <row r="103" spans="16:23" x14ac:dyDescent="0.25">
      <c r="P103">
        <v>102</v>
      </c>
      <c r="Q103" t="s">
        <v>776</v>
      </c>
      <c r="R103" s="50">
        <v>-2.1573999999999999E-2</v>
      </c>
      <c r="S103" s="50">
        <v>1.7802999999999999E-2</v>
      </c>
      <c r="T103">
        <v>-1.2118</v>
      </c>
      <c r="U103">
        <v>0.22558439999999999</v>
      </c>
      <c r="W103" t="str">
        <f t="shared" si="4"/>
        <v/>
      </c>
    </row>
    <row r="104" spans="16:23" x14ac:dyDescent="0.25">
      <c r="P104">
        <v>103</v>
      </c>
      <c r="Q104" t="s">
        <v>777</v>
      </c>
      <c r="R104" s="50">
        <v>-6.4957000000000001E-3</v>
      </c>
      <c r="S104" s="50">
        <v>3.0113000000000001E-2</v>
      </c>
      <c r="T104">
        <v>-0.2157</v>
      </c>
      <c r="U104">
        <v>0.82921449999999997</v>
      </c>
      <c r="W104" t="str">
        <f t="shared" si="4"/>
        <v/>
      </c>
    </row>
    <row r="105" spans="16:23" x14ac:dyDescent="0.25">
      <c r="P105">
        <v>104</v>
      </c>
      <c r="Q105" t="s">
        <v>778</v>
      </c>
      <c r="R105" s="50">
        <v>6.3618999999999995E-2</v>
      </c>
      <c r="S105" s="50">
        <v>1.3325E-2</v>
      </c>
      <c r="T105">
        <v>4.7744</v>
      </c>
      <c r="U105" s="50">
        <v>1.8029999999999999E-6</v>
      </c>
      <c r="W105" t="str">
        <f t="shared" si="4"/>
        <v>***</v>
      </c>
    </row>
    <row r="106" spans="16:23" x14ac:dyDescent="0.25">
      <c r="P106">
        <v>105</v>
      </c>
      <c r="Q106" t="s">
        <v>779</v>
      </c>
      <c r="R106" s="50">
        <v>-2.1027000000000001E-2</v>
      </c>
      <c r="S106" s="50">
        <v>1.1679999999999999E-2</v>
      </c>
      <c r="T106">
        <v>-1.8003</v>
      </c>
      <c r="U106">
        <v>7.1815299999999999E-2</v>
      </c>
      <c r="W106" t="str">
        <f t="shared" si="4"/>
        <v>*</v>
      </c>
    </row>
    <row r="107" spans="16:23" x14ac:dyDescent="0.25">
      <c r="P107">
        <v>106</v>
      </c>
      <c r="Q107" t="s">
        <v>780</v>
      </c>
      <c r="R107" s="50">
        <v>-2.8663000000000001E-2</v>
      </c>
      <c r="S107" s="50">
        <v>1.3717999999999999E-2</v>
      </c>
      <c r="T107">
        <v>-2.0895000000000001</v>
      </c>
      <c r="U107">
        <v>3.6665099999999999E-2</v>
      </c>
      <c r="W107" t="str">
        <f t="shared" si="4"/>
        <v>**</v>
      </c>
    </row>
    <row r="108" spans="16:23" x14ac:dyDescent="0.25">
      <c r="P108">
        <v>107</v>
      </c>
      <c r="Q108" t="s">
        <v>781</v>
      </c>
      <c r="R108" s="50">
        <v>-2.9025000000000001E-3</v>
      </c>
      <c r="S108" s="50">
        <v>1.1214999999999999E-2</v>
      </c>
      <c r="T108">
        <v>-0.25879999999999997</v>
      </c>
      <c r="U108">
        <v>0.79578700000000002</v>
      </c>
      <c r="W108" t="str">
        <f t="shared" si="4"/>
        <v/>
      </c>
    </row>
    <row r="109" spans="16:23" x14ac:dyDescent="0.25">
      <c r="P109">
        <v>108</v>
      </c>
      <c r="Q109" t="s">
        <v>782</v>
      </c>
      <c r="R109" s="50">
        <v>-5.4004999999999997E-2</v>
      </c>
      <c r="S109" s="50">
        <v>1.0976E-2</v>
      </c>
      <c r="T109">
        <v>-4.9203000000000001</v>
      </c>
      <c r="U109" s="50">
        <v>8.639E-7</v>
      </c>
      <c r="W109" t="str">
        <f t="shared" si="4"/>
        <v>***</v>
      </c>
    </row>
    <row r="110" spans="16:23" x14ac:dyDescent="0.25">
      <c r="P110">
        <v>109</v>
      </c>
      <c r="Q110" t="s">
        <v>783</v>
      </c>
      <c r="R110" s="50">
        <v>-0.21323</v>
      </c>
      <c r="S110" s="50">
        <v>5.5315000000000003E-2</v>
      </c>
      <c r="T110">
        <v>-3.8548</v>
      </c>
      <c r="U110">
        <v>1.158E-4</v>
      </c>
      <c r="W110" t="str">
        <f t="shared" si="4"/>
        <v>***</v>
      </c>
    </row>
    <row r="111" spans="16:23" x14ac:dyDescent="0.25">
      <c r="P111">
        <v>110</v>
      </c>
      <c r="Q111" t="s">
        <v>784</v>
      </c>
      <c r="R111" s="50">
        <v>-1.7498E-2</v>
      </c>
      <c r="S111" s="50">
        <v>1.6185000000000001E-2</v>
      </c>
      <c r="T111">
        <v>-1.0810999999999999</v>
      </c>
      <c r="U111">
        <v>0.27964719999999998</v>
      </c>
      <c r="W111" t="str">
        <f t="shared" si="4"/>
        <v/>
      </c>
    </row>
    <row r="112" spans="16:23" x14ac:dyDescent="0.25">
      <c r="P112">
        <v>111</v>
      </c>
      <c r="Q112" t="s">
        <v>785</v>
      </c>
      <c r="R112" s="50">
        <v>-7.2161000000000003E-2</v>
      </c>
      <c r="S112" s="50">
        <v>3.1398000000000002E-2</v>
      </c>
      <c r="T112">
        <v>-2.2982</v>
      </c>
      <c r="U112">
        <v>2.15476E-2</v>
      </c>
      <c r="W112" t="str">
        <f t="shared" si="4"/>
        <v>**</v>
      </c>
    </row>
    <row r="113" spans="16:23" x14ac:dyDescent="0.25">
      <c r="P113">
        <v>112</v>
      </c>
      <c r="Q113" t="s">
        <v>786</v>
      </c>
      <c r="R113" s="50">
        <v>0.13367999999999999</v>
      </c>
      <c r="S113" s="50">
        <v>1.4049000000000001E-2</v>
      </c>
      <c r="T113">
        <v>9.5157000000000007</v>
      </c>
      <c r="U113" s="50">
        <v>2.2E-16</v>
      </c>
      <c r="W113" t="str">
        <f t="shared" si="4"/>
        <v>***</v>
      </c>
    </row>
    <row r="114" spans="16:23" x14ac:dyDescent="0.25">
      <c r="P114">
        <v>113</v>
      </c>
      <c r="Q114" t="s">
        <v>787</v>
      </c>
      <c r="R114" s="50">
        <v>4.1438000000000003E-2</v>
      </c>
      <c r="S114" s="50">
        <v>2.0473999999999999E-2</v>
      </c>
      <c r="T114">
        <v>2.024</v>
      </c>
      <c r="U114">
        <v>4.2974199999999997E-2</v>
      </c>
      <c r="W114" t="str">
        <f t="shared" si="4"/>
        <v>**</v>
      </c>
    </row>
    <row r="115" spans="16:23" x14ac:dyDescent="0.25">
      <c r="P115">
        <v>114</v>
      </c>
      <c r="W115" t="str">
        <f t="shared" si="4"/>
        <v>***</v>
      </c>
    </row>
    <row r="116" spans="16:23" x14ac:dyDescent="0.25">
      <c r="P116">
        <v>115</v>
      </c>
      <c r="W116" t="str">
        <f t="shared" si="4"/>
        <v>***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6E75-F18A-4194-9836-9E0FBEFCBD34}">
  <dimension ref="A1:W116"/>
  <sheetViews>
    <sheetView topLeftCell="A43" workbookViewId="0">
      <selection activeCell="I70" sqref="I70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2.7109375" bestFit="1" customWidth="1"/>
    <col min="4" max="4" width="11.42578125" bestFit="1" customWidth="1"/>
    <col min="5" max="5" width="12.7109375" bestFit="1" customWidth="1"/>
    <col min="6" max="6" width="13.140625" bestFit="1" customWidth="1"/>
    <col min="7" max="7" width="12.7109375" bestFit="1" customWidth="1"/>
    <col min="8" max="8" width="10.5703125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>
        <v>6.1372741999999999E-3</v>
      </c>
      <c r="D2" s="50">
        <v>0.54376000000000002</v>
      </c>
      <c r="E2">
        <v>0.24358770220000001</v>
      </c>
      <c r="F2" s="50">
        <v>0.35294409999999998</v>
      </c>
      <c r="G2">
        <v>0.24972497639999999</v>
      </c>
      <c r="H2" s="50">
        <v>0.35276940000000001</v>
      </c>
      <c r="J2" t="str">
        <f>IF(D2&lt;0.01,"***",IF(D2&lt;0.05,"**",IF(D2&lt;0.1,"*","")))</f>
        <v/>
      </c>
      <c r="L2" t="str">
        <f>IF(F2&lt;0.01,"***",IF(F2&lt;0.05,"**",IF(F2&lt;0.1,"*","")))</f>
        <v/>
      </c>
      <c r="N2" t="str">
        <f>IF(H2&lt;0.01,"***",IF(H2&lt;0.05,"**",IF(H2&lt;0.1,"*","")))</f>
        <v/>
      </c>
      <c r="P2">
        <v>1</v>
      </c>
      <c r="Q2" t="s">
        <v>273</v>
      </c>
      <c r="R2" s="50">
        <v>1.718</v>
      </c>
      <c r="S2" s="50">
        <v>6.3281000000000004E-2</v>
      </c>
      <c r="T2">
        <v>27.148099999999999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>
        <v>-1.0848739999999999E-4</v>
      </c>
      <c r="D3" s="50">
        <v>3.0345620000000001E-9</v>
      </c>
      <c r="E3">
        <v>4.3812388999999998E-3</v>
      </c>
      <c r="F3" s="50">
        <v>0</v>
      </c>
      <c r="G3">
        <v>4.2727514000000001E-3</v>
      </c>
      <c r="H3" s="50">
        <v>0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***</v>
      </c>
      <c r="N3" t="str">
        <f t="shared" ref="N3:N58" si="2">IF(H3&lt;0.01,"***",IF(H3&lt;0.05,"**",IF(H3&lt;0.1,"*","")))</f>
        <v>***</v>
      </c>
      <c r="P3">
        <v>2</v>
      </c>
      <c r="Q3" t="s">
        <v>11</v>
      </c>
      <c r="R3" s="50">
        <v>1.6934999999999999E-3</v>
      </c>
      <c r="S3" s="50">
        <v>7.7679000000000003E-3</v>
      </c>
      <c r="T3">
        <v>0.218</v>
      </c>
      <c r="U3">
        <v>0.82741509999999996</v>
      </c>
      <c r="W3" t="str">
        <f t="shared" ref="W3:W66" si="3">IF(U3&lt;0.01,"***",IF(U3&lt;0.05,"**",IF(U3&lt;0.1,"*","")))</f>
        <v/>
      </c>
    </row>
    <row r="4" spans="1:23" x14ac:dyDescent="0.25">
      <c r="A4">
        <v>3</v>
      </c>
      <c r="B4" t="s">
        <v>197</v>
      </c>
      <c r="C4">
        <v>4.0956356800000003E-2</v>
      </c>
      <c r="D4" s="50">
        <v>0</v>
      </c>
      <c r="E4">
        <v>0.35183571590000001</v>
      </c>
      <c r="F4" s="50">
        <v>6.1785900000000001E-4</v>
      </c>
      <c r="G4">
        <v>0.39279207269999999</v>
      </c>
      <c r="H4" s="50">
        <v>1.8940370000000001E-4</v>
      </c>
      <c r="J4" t="str">
        <f t="shared" si="0"/>
        <v>***</v>
      </c>
      <c r="L4" t="str">
        <f t="shared" si="1"/>
        <v>***</v>
      </c>
      <c r="N4" t="str">
        <f t="shared" si="2"/>
        <v>***</v>
      </c>
      <c r="P4">
        <v>3</v>
      </c>
      <c r="Q4" t="s">
        <v>16</v>
      </c>
      <c r="R4" s="50">
        <v>-1.8840999999999999E-4</v>
      </c>
      <c r="S4" s="50">
        <v>1.6042999999999999E-5</v>
      </c>
      <c r="T4">
        <v>-11.7441</v>
      </c>
      <c r="U4" s="50">
        <v>2.2E-16</v>
      </c>
      <c r="W4" t="str">
        <f t="shared" si="3"/>
        <v>***</v>
      </c>
    </row>
    <row r="5" spans="1:23" x14ac:dyDescent="0.25">
      <c r="A5">
        <v>4</v>
      </c>
      <c r="B5" t="s">
        <v>200</v>
      </c>
      <c r="C5">
        <v>5.4646241499999998E-2</v>
      </c>
      <c r="D5" s="50">
        <v>0</v>
      </c>
      <c r="E5">
        <v>0.29466160559999999</v>
      </c>
      <c r="F5" s="50">
        <v>3.8341389999999999E-3</v>
      </c>
      <c r="G5">
        <v>0.34930784710000001</v>
      </c>
      <c r="H5" s="50">
        <v>8.1941519999999995E-4</v>
      </c>
      <c r="J5" t="str">
        <f t="shared" si="0"/>
        <v>***</v>
      </c>
      <c r="L5" t="str">
        <f t="shared" si="1"/>
        <v>***</v>
      </c>
      <c r="N5" t="str">
        <f t="shared" si="2"/>
        <v>***</v>
      </c>
      <c r="P5">
        <v>4</v>
      </c>
      <c r="Q5" t="s">
        <v>197</v>
      </c>
      <c r="R5" s="50">
        <v>3.4537999999999999E-2</v>
      </c>
      <c r="S5" s="50">
        <v>3.2939000000000002E-3</v>
      </c>
      <c r="T5">
        <v>10.4855</v>
      </c>
      <c r="U5" s="50">
        <v>2.2E-16</v>
      </c>
      <c r="W5" t="str">
        <f t="shared" si="3"/>
        <v>***</v>
      </c>
    </row>
    <row r="6" spans="1:23" x14ac:dyDescent="0.25">
      <c r="A6">
        <v>5</v>
      </c>
      <c r="B6" t="s">
        <v>204</v>
      </c>
      <c r="C6">
        <v>4.4191618100000003E-2</v>
      </c>
      <c r="D6" s="50">
        <v>0</v>
      </c>
      <c r="E6">
        <v>0.248060007</v>
      </c>
      <c r="F6" s="50">
        <v>1.6047430000000001E-2</v>
      </c>
      <c r="G6">
        <v>0.29225162510000002</v>
      </c>
      <c r="H6" s="50">
        <v>5.6397940000000001E-3</v>
      </c>
      <c r="J6" t="str">
        <f t="shared" si="0"/>
        <v>***</v>
      </c>
      <c r="L6" t="str">
        <f t="shared" si="1"/>
        <v>**</v>
      </c>
      <c r="N6" t="str">
        <f t="shared" si="2"/>
        <v>***</v>
      </c>
      <c r="P6">
        <v>5</v>
      </c>
      <c r="Q6" t="s">
        <v>200</v>
      </c>
      <c r="R6" s="50">
        <v>4.9271000000000002E-2</v>
      </c>
      <c r="S6" s="50">
        <v>3.4348E-3</v>
      </c>
      <c r="T6">
        <v>14.3447</v>
      </c>
      <c r="U6" s="50">
        <v>2.2E-16</v>
      </c>
      <c r="W6" t="str">
        <f t="shared" si="3"/>
        <v>***</v>
      </c>
    </row>
    <row r="7" spans="1:23" x14ac:dyDescent="0.25">
      <c r="A7">
        <v>6</v>
      </c>
      <c r="B7" t="s">
        <v>206</v>
      </c>
      <c r="C7">
        <v>1.51233215E-2</v>
      </c>
      <c r="D7" s="50">
        <v>0.1142372</v>
      </c>
      <c r="E7">
        <v>-0.27539006859999998</v>
      </c>
      <c r="F7" s="50">
        <v>0.2814778</v>
      </c>
      <c r="G7">
        <v>-0.26026674700000002</v>
      </c>
      <c r="H7" s="50">
        <v>0.32066260000000002</v>
      </c>
      <c r="J7" t="str">
        <f t="shared" si="0"/>
        <v/>
      </c>
      <c r="L7" t="str">
        <f t="shared" si="1"/>
        <v/>
      </c>
      <c r="N7" t="str">
        <f t="shared" si="2"/>
        <v/>
      </c>
      <c r="P7">
        <v>6</v>
      </c>
      <c r="Q7" t="s">
        <v>204</v>
      </c>
      <c r="R7" s="50">
        <v>3.9666E-2</v>
      </c>
      <c r="S7" s="50">
        <v>3.5891E-3</v>
      </c>
      <c r="T7">
        <v>11.0519</v>
      </c>
      <c r="U7" s="50">
        <v>2.2E-16</v>
      </c>
      <c r="W7" t="str">
        <f t="shared" si="3"/>
        <v>***</v>
      </c>
    </row>
    <row r="8" spans="1:23" x14ac:dyDescent="0.25">
      <c r="A8">
        <v>7</v>
      </c>
      <c r="B8" t="s">
        <v>207</v>
      </c>
      <c r="C8">
        <v>5.8472865200000002E-2</v>
      </c>
      <c r="D8" s="50">
        <v>7.9408249999999999E-8</v>
      </c>
      <c r="E8">
        <v>0.32758331429999998</v>
      </c>
      <c r="F8" s="50">
        <v>0.24677550000000001</v>
      </c>
      <c r="G8">
        <v>0.38605617949999999</v>
      </c>
      <c r="H8" s="50">
        <v>0.1825367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2.0147000000000002E-2</v>
      </c>
      <c r="S8" s="50">
        <v>7.6990000000000001E-3</v>
      </c>
      <c r="T8">
        <v>2.6168999999999998</v>
      </c>
      <c r="U8">
        <v>8.8736000000000006E-3</v>
      </c>
      <c r="W8" t="str">
        <f t="shared" si="3"/>
        <v>***</v>
      </c>
    </row>
    <row r="9" spans="1:23" x14ac:dyDescent="0.25">
      <c r="A9">
        <v>8</v>
      </c>
      <c r="B9" t="s">
        <v>209</v>
      </c>
      <c r="C9">
        <v>8.9398398200000007E-2</v>
      </c>
      <c r="D9" s="50">
        <v>6.6613380000000004E-16</v>
      </c>
      <c r="E9">
        <v>7.6104711699999994E-2</v>
      </c>
      <c r="F9" s="50">
        <v>0.79402729999999999</v>
      </c>
      <c r="G9">
        <v>0.16550310979999999</v>
      </c>
      <c r="H9" s="50">
        <v>0.57403760000000004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5.2497000000000002E-2</v>
      </c>
      <c r="S9" s="50">
        <v>8.6558999999999994E-3</v>
      </c>
      <c r="T9">
        <v>6.0648999999999997</v>
      </c>
      <c r="U9" s="50">
        <v>1.32E-9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>
        <v>6.8252591700000004E-2</v>
      </c>
      <c r="D10" s="50">
        <v>3.3610019999999997E-2</v>
      </c>
      <c r="E10">
        <v>1.1574817101999999</v>
      </c>
      <c r="F10" s="50">
        <v>0.1911736</v>
      </c>
      <c r="G10">
        <v>1.2257343019</v>
      </c>
      <c r="H10" s="50">
        <v>0.17594979999999999</v>
      </c>
      <c r="J10" t="str">
        <f t="shared" si="0"/>
        <v>**</v>
      </c>
      <c r="L10" t="str">
        <f t="shared" si="1"/>
        <v/>
      </c>
      <c r="N10" t="str">
        <f t="shared" si="2"/>
        <v/>
      </c>
      <c r="P10">
        <v>9</v>
      </c>
      <c r="Q10" t="s">
        <v>209</v>
      </c>
      <c r="R10" s="50">
        <v>8.8010000000000005E-2</v>
      </c>
      <c r="S10" s="50">
        <v>8.8748000000000004E-3</v>
      </c>
      <c r="T10">
        <v>9.9169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>
        <v>0.111739915</v>
      </c>
      <c r="D11" s="50">
        <v>0</v>
      </c>
      <c r="E11">
        <v>-0.1818285832</v>
      </c>
      <c r="F11" s="50">
        <v>0</v>
      </c>
      <c r="G11">
        <v>-7.0088668100000001E-2</v>
      </c>
      <c r="H11" s="50">
        <v>7.5367360000000005E-4</v>
      </c>
      <c r="J11" t="str">
        <f t="shared" si="0"/>
        <v>***</v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4.7136999999999998E-2</v>
      </c>
      <c r="S11" s="50">
        <v>2.5533E-2</v>
      </c>
      <c r="T11">
        <v>1.8461000000000001</v>
      </c>
      <c r="U11">
        <v>6.4876799999999998E-2</v>
      </c>
      <c r="W11" t="str">
        <f t="shared" si="3"/>
        <v>*</v>
      </c>
    </row>
    <row r="12" spans="1:23" x14ac:dyDescent="0.25">
      <c r="A12">
        <v>11</v>
      </c>
      <c r="B12" t="s">
        <v>13</v>
      </c>
      <c r="C12">
        <v>8.1396689999999994E-2</v>
      </c>
      <c r="D12" s="50">
        <v>0</v>
      </c>
      <c r="E12">
        <v>-0.19991059529999999</v>
      </c>
      <c r="F12" s="50">
        <v>2.547296E-12</v>
      </c>
      <c r="G12">
        <v>-0.1185139053</v>
      </c>
      <c r="H12" s="50">
        <v>5.0756659999999999E-5</v>
      </c>
      <c r="J12" t="str">
        <f t="shared" si="0"/>
        <v>***</v>
      </c>
      <c r="L12" t="str">
        <f t="shared" si="1"/>
        <v>***</v>
      </c>
      <c r="N12" t="str">
        <f t="shared" si="2"/>
        <v>***</v>
      </c>
      <c r="P12">
        <v>11</v>
      </c>
      <c r="Q12" t="s">
        <v>15</v>
      </c>
      <c r="R12" s="50">
        <v>0.11506</v>
      </c>
      <c r="S12" s="50">
        <v>2.4299999999999999E-3</v>
      </c>
      <c r="T12">
        <v>47.348599999999998</v>
      </c>
      <c r="U12" s="50">
        <v>2.2E-16</v>
      </c>
      <c r="W12" t="str">
        <f t="shared" si="3"/>
        <v>***</v>
      </c>
    </row>
    <row r="13" spans="1:23" x14ac:dyDescent="0.25">
      <c r="A13">
        <v>12</v>
      </c>
      <c r="B13" t="s">
        <v>14</v>
      </c>
      <c r="C13">
        <v>4.0975058699999997E-2</v>
      </c>
      <c r="D13" s="50">
        <v>0</v>
      </c>
      <c r="E13">
        <v>-9.7605193899999998E-2</v>
      </c>
      <c r="F13" s="50">
        <v>5.3555779999999997E-3</v>
      </c>
      <c r="G13">
        <v>-5.6630135300000002E-2</v>
      </c>
      <c r="H13" s="50">
        <v>0.1121944</v>
      </c>
      <c r="J13" t="str">
        <f t="shared" si="0"/>
        <v>***</v>
      </c>
      <c r="L13" t="str">
        <f t="shared" si="1"/>
        <v>***</v>
      </c>
      <c r="N13" t="str">
        <f t="shared" si="2"/>
        <v/>
      </c>
      <c r="P13">
        <v>12</v>
      </c>
      <c r="Q13" t="s">
        <v>13</v>
      </c>
      <c r="R13" s="50">
        <v>8.5043999999999995E-2</v>
      </c>
      <c r="S13" s="50">
        <v>3.6971E-3</v>
      </c>
      <c r="T13">
        <v>23.0029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>
        <v>-1.48907682E-2</v>
      </c>
      <c r="D14" s="50">
        <v>9.8901900000000003E-5</v>
      </c>
      <c r="E14">
        <v>-2.87677236E-2</v>
      </c>
      <c r="F14" s="50">
        <v>0.62091320000000005</v>
      </c>
      <c r="G14">
        <v>-4.3658491799999997E-2</v>
      </c>
      <c r="H14" s="50">
        <v>0.46230880000000002</v>
      </c>
      <c r="J14" t="str">
        <f t="shared" si="0"/>
        <v>***</v>
      </c>
      <c r="L14" t="str">
        <f t="shared" si="1"/>
        <v/>
      </c>
      <c r="N14" t="str">
        <f t="shared" si="2"/>
        <v/>
      </c>
      <c r="P14">
        <v>13</v>
      </c>
      <c r="Q14" t="s">
        <v>14</v>
      </c>
      <c r="R14" s="50">
        <v>4.2756000000000002E-2</v>
      </c>
      <c r="S14" s="50">
        <v>4.0206E-3</v>
      </c>
      <c r="T14">
        <v>10.6341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>
        <v>-1.1174045E-3</v>
      </c>
      <c r="D15" s="50">
        <v>0.6953821</v>
      </c>
      <c r="E15">
        <v>8.5606245499999997E-2</v>
      </c>
      <c r="F15" s="50">
        <v>0.15802050000000001</v>
      </c>
      <c r="G15">
        <v>8.4488840999999995E-2</v>
      </c>
      <c r="H15" s="50">
        <v>0.17379720000000001</v>
      </c>
      <c r="J15" t="str">
        <f t="shared" si="0"/>
        <v/>
      </c>
      <c r="L15" t="str">
        <f t="shared" si="1"/>
        <v/>
      </c>
      <c r="N15" t="str">
        <f t="shared" si="2"/>
        <v/>
      </c>
      <c r="P15">
        <v>14</v>
      </c>
      <c r="Q15" t="s">
        <v>59</v>
      </c>
      <c r="R15" s="50">
        <v>-1.4366E-2</v>
      </c>
      <c r="S15" s="50">
        <v>3.6373999999999998E-3</v>
      </c>
      <c r="T15">
        <v>-3.9496000000000002</v>
      </c>
      <c r="U15" s="50">
        <v>7.8289999999999998E-5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>
        <v>3.3041979999999998E-4</v>
      </c>
      <c r="D16" s="50">
        <v>0</v>
      </c>
      <c r="E16">
        <v>6.5654099999999996E-4</v>
      </c>
      <c r="F16" s="50">
        <v>0</v>
      </c>
      <c r="G16">
        <v>9.8696080000000011E-4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-2.6790999999999998E-3</v>
      </c>
      <c r="S16" s="50">
        <v>2.5002000000000002E-3</v>
      </c>
      <c r="T16">
        <v>-1.0716000000000001</v>
      </c>
      <c r="U16">
        <v>0.28391680000000002</v>
      </c>
      <c r="W16" t="str">
        <f t="shared" si="3"/>
        <v/>
      </c>
    </row>
    <row r="17" spans="1:23" x14ac:dyDescent="0.25">
      <c r="A17">
        <v>16</v>
      </c>
      <c r="B17" t="s">
        <v>33</v>
      </c>
      <c r="C17">
        <v>-1.4524734000000001E-3</v>
      </c>
      <c r="D17" s="50">
        <v>9.8353289999999996E-2</v>
      </c>
      <c r="E17">
        <v>-2.3062391099999999E-2</v>
      </c>
      <c r="F17" s="50">
        <v>2.2204459999999999E-16</v>
      </c>
      <c r="G17">
        <v>-2.4514864399999999E-2</v>
      </c>
      <c r="H17" s="50">
        <v>0</v>
      </c>
      <c r="J17" t="str">
        <f t="shared" si="0"/>
        <v>*</v>
      </c>
      <c r="L17" t="str">
        <f t="shared" si="1"/>
        <v>***</v>
      </c>
      <c r="N17" t="str">
        <f t="shared" si="2"/>
        <v>***</v>
      </c>
      <c r="P17">
        <v>16</v>
      </c>
      <c r="Q17" t="s">
        <v>18</v>
      </c>
      <c r="R17" s="50">
        <v>3.1844000000000002E-4</v>
      </c>
      <c r="S17" s="50">
        <v>5.0383999999999999E-6</v>
      </c>
      <c r="T17">
        <v>63.203499999999998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>
        <v>-6.8417020600000003E-2</v>
      </c>
      <c r="D18" s="50">
        <v>4.8674399999999999E-11</v>
      </c>
      <c r="E18">
        <v>0.3140208592</v>
      </c>
      <c r="F18" s="50">
        <v>4.4408919999999998E-16</v>
      </c>
      <c r="G18">
        <v>0.24560383860000001</v>
      </c>
      <c r="H18" s="50">
        <v>9.6950669999999998E-11</v>
      </c>
      <c r="J18" t="str">
        <f t="shared" si="0"/>
        <v>***</v>
      </c>
      <c r="L18" t="str">
        <f t="shared" si="1"/>
        <v>***</v>
      </c>
      <c r="N18" t="str">
        <f t="shared" si="2"/>
        <v>***</v>
      </c>
      <c r="P18">
        <v>17</v>
      </c>
      <c r="Q18" t="s">
        <v>33</v>
      </c>
      <c r="R18" s="50">
        <v>-1.0318E-3</v>
      </c>
      <c r="S18" s="50">
        <v>8.8444999999999995E-4</v>
      </c>
      <c r="T18">
        <v>-1.1665000000000001</v>
      </c>
      <c r="U18">
        <v>0.2433961</v>
      </c>
      <c r="W18" t="str">
        <f t="shared" si="3"/>
        <v/>
      </c>
    </row>
    <row r="19" spans="1:23" x14ac:dyDescent="0.25">
      <c r="A19">
        <v>18</v>
      </c>
      <c r="B19" t="s">
        <v>21</v>
      </c>
      <c r="C19">
        <v>-1.5615604700000001E-2</v>
      </c>
      <c r="D19" s="50">
        <v>0.59359030000000002</v>
      </c>
      <c r="E19">
        <v>-0.1001593948</v>
      </c>
      <c r="F19" s="50">
        <v>0.86786019999999997</v>
      </c>
      <c r="G19">
        <v>-0.1157749995</v>
      </c>
      <c r="H19" s="50">
        <v>0.85265170000000001</v>
      </c>
      <c r="J19" t="str">
        <f t="shared" si="0"/>
        <v/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-7.4146000000000004E-2</v>
      </c>
      <c r="S19" s="50">
        <v>1.0496999999999999E-2</v>
      </c>
      <c r="T19">
        <v>-7.0637999999999996</v>
      </c>
      <c r="U19" s="50">
        <v>1.62E-12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>
        <v>8.2289819900000005E-2</v>
      </c>
      <c r="D20" s="50">
        <v>0</v>
      </c>
      <c r="E20">
        <v>0.24697289510000001</v>
      </c>
      <c r="F20" s="50">
        <v>7.3592410000000003E-4</v>
      </c>
      <c r="G20">
        <v>0.32926271509999999</v>
      </c>
      <c r="H20" s="50">
        <v>1.138919E-5</v>
      </c>
      <c r="J20" t="str">
        <f t="shared" si="0"/>
        <v>***</v>
      </c>
      <c r="L20" t="str">
        <f t="shared" si="1"/>
        <v>***</v>
      </c>
      <c r="N20" t="str">
        <f t="shared" si="2"/>
        <v>***</v>
      </c>
      <c r="P20">
        <v>19</v>
      </c>
      <c r="Q20" t="s">
        <v>21</v>
      </c>
      <c r="R20" s="50">
        <v>-1.3788E-2</v>
      </c>
      <c r="S20" s="50">
        <v>2.5187999999999999E-2</v>
      </c>
      <c r="T20">
        <v>-0.5474</v>
      </c>
      <c r="U20">
        <v>0.58409290000000003</v>
      </c>
      <c r="W20" t="str">
        <f t="shared" si="3"/>
        <v/>
      </c>
    </row>
    <row r="21" spans="1:23" x14ac:dyDescent="0.25">
      <c r="A21">
        <v>20</v>
      </c>
      <c r="B21" t="s">
        <v>226</v>
      </c>
      <c r="C21">
        <v>4.4758370899999997E-2</v>
      </c>
      <c r="D21" s="50">
        <v>0</v>
      </c>
      <c r="E21">
        <v>2.8761936000000002E-3</v>
      </c>
      <c r="F21" s="50">
        <v>0.96777389999999996</v>
      </c>
      <c r="G21">
        <v>4.7634564499999997E-2</v>
      </c>
      <c r="H21" s="50">
        <v>0.52758510000000003</v>
      </c>
      <c r="J21" t="str">
        <f t="shared" si="0"/>
        <v>***</v>
      </c>
      <c r="L21" t="str">
        <f t="shared" si="1"/>
        <v/>
      </c>
      <c r="N21" t="str">
        <f t="shared" si="2"/>
        <v/>
      </c>
      <c r="P21">
        <v>20</v>
      </c>
      <c r="Q21" t="s">
        <v>224</v>
      </c>
      <c r="R21" s="50">
        <v>7.7785000000000007E-2</v>
      </c>
      <c r="S21" s="50">
        <v>2.9426999999999999E-3</v>
      </c>
      <c r="T21">
        <v>26.4329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>
        <v>-8.8448586900000001E-2</v>
      </c>
      <c r="D22" s="50">
        <v>0</v>
      </c>
      <c r="E22">
        <v>-0.37173060810000003</v>
      </c>
      <c r="F22" s="50">
        <v>3.9946290000000002E-2</v>
      </c>
      <c r="G22">
        <v>-0.46017919499999999</v>
      </c>
      <c r="H22" s="50">
        <v>1.2999729999999999E-2</v>
      </c>
      <c r="J22" t="str">
        <f t="shared" si="0"/>
        <v>***</v>
      </c>
      <c r="L22" t="str">
        <f t="shared" si="1"/>
        <v>**</v>
      </c>
      <c r="N22" t="str">
        <f t="shared" si="2"/>
        <v>**</v>
      </c>
      <c r="P22">
        <v>21</v>
      </c>
      <c r="Q22" t="s">
        <v>226</v>
      </c>
      <c r="R22" s="50">
        <v>4.4706000000000003E-2</v>
      </c>
      <c r="S22" s="50">
        <v>2.6291999999999999E-3</v>
      </c>
      <c r="T22">
        <v>17.003599999999999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>
        <v>-3.6081341999999999E-3</v>
      </c>
      <c r="D23" s="50">
        <v>0.62358760000000002</v>
      </c>
      <c r="E23">
        <v>-7.6531798499999998E-2</v>
      </c>
      <c r="F23" s="50">
        <v>0.55893159999999997</v>
      </c>
      <c r="G23">
        <v>-8.0139932699999999E-2</v>
      </c>
      <c r="H23" s="50">
        <v>0.55097070000000004</v>
      </c>
      <c r="J23" t="str">
        <f t="shared" si="0"/>
        <v/>
      </c>
      <c r="L23" t="str">
        <f t="shared" si="1"/>
        <v/>
      </c>
      <c r="N23" t="str">
        <f t="shared" si="2"/>
        <v/>
      </c>
      <c r="P23">
        <v>22</v>
      </c>
      <c r="Q23" t="s">
        <v>230</v>
      </c>
      <c r="R23" s="50">
        <v>-8.1667000000000003E-2</v>
      </c>
      <c r="S23" s="50">
        <v>5.8507000000000003E-3</v>
      </c>
      <c r="T23">
        <v>-13.9587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>
        <v>1.6403472E-3</v>
      </c>
      <c r="D24" s="50">
        <v>0.89879580000000003</v>
      </c>
      <c r="E24">
        <v>0.24475037550000001</v>
      </c>
      <c r="F24" s="50">
        <v>0.16084999999999999</v>
      </c>
      <c r="G24">
        <v>0.24639072270000001</v>
      </c>
      <c r="H24" s="50">
        <v>0.1656794</v>
      </c>
      <c r="J24" t="str">
        <f t="shared" si="0"/>
        <v/>
      </c>
      <c r="L24" t="str">
        <f t="shared" si="1"/>
        <v/>
      </c>
      <c r="N24" t="str">
        <f t="shared" si="2"/>
        <v/>
      </c>
      <c r="P24">
        <v>23</v>
      </c>
      <c r="Q24" t="s">
        <v>22</v>
      </c>
      <c r="R24" s="50">
        <v>-2.212E-3</v>
      </c>
      <c r="S24" s="50">
        <v>6.1092000000000004E-3</v>
      </c>
      <c r="T24">
        <v>-0.36209999999999998</v>
      </c>
      <c r="U24">
        <v>0.71729670000000001</v>
      </c>
      <c r="W24" t="str">
        <f t="shared" si="3"/>
        <v/>
      </c>
    </row>
    <row r="25" spans="1:23" x14ac:dyDescent="0.25">
      <c r="A25">
        <v>24</v>
      </c>
      <c r="B25" t="s">
        <v>24</v>
      </c>
      <c r="C25">
        <v>-1.17558952E-2</v>
      </c>
      <c r="D25" s="50">
        <v>7.0287259999999999E-3</v>
      </c>
      <c r="E25">
        <v>0.2397656322</v>
      </c>
      <c r="F25" s="50">
        <v>5.6368690000000001E-3</v>
      </c>
      <c r="G25">
        <v>0.22800973699999999</v>
      </c>
      <c r="H25" s="50">
        <v>1.006424E-2</v>
      </c>
      <c r="J25" t="str">
        <f t="shared" si="0"/>
        <v>***</v>
      </c>
      <c r="L25" t="str">
        <f t="shared" si="1"/>
        <v>***</v>
      </c>
      <c r="N25" t="str">
        <f t="shared" si="2"/>
        <v>**</v>
      </c>
      <c r="P25">
        <v>24</v>
      </c>
      <c r="Q25" t="s">
        <v>23</v>
      </c>
      <c r="R25" s="50">
        <v>-2.8246E-3</v>
      </c>
      <c r="S25" s="50">
        <v>1.3844E-2</v>
      </c>
      <c r="T25">
        <v>-0.20399999999999999</v>
      </c>
      <c r="U25">
        <v>0.83832830000000003</v>
      </c>
      <c r="W25" t="str">
        <f t="shared" si="3"/>
        <v/>
      </c>
    </row>
    <row r="26" spans="1:23" x14ac:dyDescent="0.25">
      <c r="A26">
        <v>25</v>
      </c>
      <c r="B26" t="s">
        <v>25</v>
      </c>
      <c r="C26">
        <v>2.8858613200000001E-2</v>
      </c>
      <c r="D26" s="50">
        <v>1.568562E-7</v>
      </c>
      <c r="E26">
        <v>0.44573149369999998</v>
      </c>
      <c r="F26" s="50">
        <v>3.4923909999999999E-7</v>
      </c>
      <c r="G26">
        <v>0.47459010689999998</v>
      </c>
      <c r="H26" s="50">
        <v>1.16091E-7</v>
      </c>
      <c r="J26" t="str">
        <f t="shared" si="0"/>
        <v>***</v>
      </c>
      <c r="L26" t="str">
        <f t="shared" si="1"/>
        <v>***</v>
      </c>
      <c r="N26" t="str">
        <f t="shared" si="2"/>
        <v>***</v>
      </c>
      <c r="P26">
        <v>25</v>
      </c>
      <c r="Q26" t="s">
        <v>24</v>
      </c>
      <c r="R26" s="50">
        <v>-1.6129999999999999E-2</v>
      </c>
      <c r="S26" s="50">
        <v>3.9061999999999999E-3</v>
      </c>
      <c r="T26">
        <v>-4.1292999999999997</v>
      </c>
      <c r="U26" s="50">
        <v>3.6380000000000001E-5</v>
      </c>
      <c r="W26" t="str">
        <f t="shared" si="3"/>
        <v>***</v>
      </c>
    </row>
    <row r="27" spans="1:23" x14ac:dyDescent="0.25">
      <c r="A27">
        <v>26</v>
      </c>
      <c r="B27" t="s">
        <v>26</v>
      </c>
      <c r="C27">
        <v>4.6447470999999999E-3</v>
      </c>
      <c r="D27" s="50">
        <v>0.38517099999999999</v>
      </c>
      <c r="E27">
        <v>0.39085910299999999</v>
      </c>
      <c r="F27" s="50">
        <v>2.2844000000000001E-6</v>
      </c>
      <c r="G27">
        <v>0.3955038501</v>
      </c>
      <c r="H27" s="50">
        <v>2.8287569999999998E-6</v>
      </c>
      <c r="J27" t="str">
        <f t="shared" si="0"/>
        <v/>
      </c>
      <c r="L27" t="str">
        <f t="shared" si="1"/>
        <v>***</v>
      </c>
      <c r="N27" t="str">
        <f t="shared" si="2"/>
        <v>***</v>
      </c>
      <c r="P27">
        <v>26</v>
      </c>
      <c r="Q27" t="s">
        <v>25</v>
      </c>
      <c r="R27" s="50">
        <v>2.0726999999999999E-2</v>
      </c>
      <c r="S27" s="50">
        <v>5.2302E-3</v>
      </c>
      <c r="T27">
        <v>3.9630000000000001</v>
      </c>
      <c r="U27" s="50">
        <v>7.4010000000000005E-5</v>
      </c>
      <c r="W27" t="str">
        <f t="shared" si="3"/>
        <v>***</v>
      </c>
    </row>
    <row r="28" spans="1:23" x14ac:dyDescent="0.25">
      <c r="A28">
        <v>27</v>
      </c>
      <c r="B28" t="s">
        <v>27</v>
      </c>
      <c r="C28">
        <v>2.5302386400000001E-2</v>
      </c>
      <c r="D28" s="50">
        <v>1.3559649999999999E-4</v>
      </c>
      <c r="E28">
        <v>0.4702460638</v>
      </c>
      <c r="F28" s="50">
        <v>1.816303E-11</v>
      </c>
      <c r="G28">
        <v>0.49554845019999999</v>
      </c>
      <c r="H28" s="50">
        <v>3.6337600000000001E-12</v>
      </c>
      <c r="J28" t="str">
        <f t="shared" si="0"/>
        <v>***</v>
      </c>
      <c r="L28" t="str">
        <f t="shared" si="1"/>
        <v>***</v>
      </c>
      <c r="N28" t="str">
        <f t="shared" si="2"/>
        <v>***</v>
      </c>
      <c r="P28">
        <v>27</v>
      </c>
      <c r="Q28" t="s">
        <v>26</v>
      </c>
      <c r="R28" s="50">
        <v>-2.4857E-3</v>
      </c>
      <c r="S28" s="50">
        <v>4.9649999999999998E-3</v>
      </c>
      <c r="T28">
        <v>-0.50060000000000004</v>
      </c>
      <c r="U28">
        <v>0.61662499999999998</v>
      </c>
      <c r="W28" t="str">
        <f t="shared" si="3"/>
        <v/>
      </c>
    </row>
    <row r="29" spans="1:23" x14ac:dyDescent="0.25">
      <c r="A29">
        <v>28</v>
      </c>
      <c r="B29" t="s">
        <v>31</v>
      </c>
      <c r="C29">
        <v>-6.7945903999999998E-3</v>
      </c>
      <c r="D29" s="50">
        <v>0.103563</v>
      </c>
      <c r="E29">
        <v>0.30342246119999999</v>
      </c>
      <c r="F29" s="50">
        <v>4.3429649999999998E-6</v>
      </c>
      <c r="G29">
        <v>0.29662787089999998</v>
      </c>
      <c r="H29" s="50">
        <v>1.143484E-5</v>
      </c>
      <c r="J29" t="str">
        <f t="shared" si="0"/>
        <v/>
      </c>
      <c r="L29" t="str">
        <f t="shared" si="1"/>
        <v>***</v>
      </c>
      <c r="N29" t="str">
        <f t="shared" si="2"/>
        <v>***</v>
      </c>
      <c r="P29">
        <v>28</v>
      </c>
      <c r="Q29" t="s">
        <v>27</v>
      </c>
      <c r="R29" s="50">
        <v>1.6723999999999999E-2</v>
      </c>
      <c r="S29" s="50">
        <v>6.4903000000000001E-3</v>
      </c>
      <c r="T29">
        <v>2.5767000000000002</v>
      </c>
      <c r="U29">
        <v>9.9743999999999996E-3</v>
      </c>
      <c r="W29" t="str">
        <f t="shared" si="3"/>
        <v>***</v>
      </c>
    </row>
    <row r="30" spans="1:23" x14ac:dyDescent="0.25">
      <c r="A30">
        <v>29</v>
      </c>
      <c r="B30" t="s">
        <v>28</v>
      </c>
      <c r="C30">
        <v>7.4437911600000004E-2</v>
      </c>
      <c r="D30" s="50">
        <v>2.8907059999999998E-4</v>
      </c>
      <c r="E30">
        <v>-0.18355490690000001</v>
      </c>
      <c r="F30" s="50">
        <v>0.52168939999999997</v>
      </c>
      <c r="G30">
        <v>-0.10911699530000001</v>
      </c>
      <c r="H30" s="50">
        <v>0.71307200000000004</v>
      </c>
      <c r="J30" t="str">
        <f t="shared" si="0"/>
        <v>***</v>
      </c>
      <c r="L30" t="str">
        <f t="shared" si="1"/>
        <v/>
      </c>
      <c r="N30" t="str">
        <f t="shared" si="2"/>
        <v/>
      </c>
      <c r="P30">
        <v>29</v>
      </c>
      <c r="Q30" t="s">
        <v>31</v>
      </c>
      <c r="R30" s="50">
        <v>-1.2330000000000001E-2</v>
      </c>
      <c r="S30" s="50">
        <v>3.9664000000000001E-3</v>
      </c>
      <c r="T30">
        <v>-3.1086</v>
      </c>
      <c r="U30">
        <v>1.8798E-3</v>
      </c>
      <c r="W30" t="str">
        <f t="shared" si="3"/>
        <v>***</v>
      </c>
    </row>
    <row r="31" spans="1:23" x14ac:dyDescent="0.25">
      <c r="A31">
        <v>30</v>
      </c>
      <c r="B31" t="s">
        <v>235</v>
      </c>
      <c r="C31">
        <v>1.78474733E-2</v>
      </c>
      <c r="D31" s="50">
        <v>0.73858889999999999</v>
      </c>
      <c r="E31">
        <v>-2.5455506931</v>
      </c>
      <c r="F31" s="50">
        <v>7.1991579999999998E-3</v>
      </c>
      <c r="G31">
        <v>-2.5277032197999998</v>
      </c>
      <c r="H31" s="50">
        <v>8.2253150000000004E-3</v>
      </c>
      <c r="J31" t="str">
        <f t="shared" si="0"/>
        <v/>
      </c>
      <c r="L31" t="str">
        <f t="shared" si="1"/>
        <v>***</v>
      </c>
      <c r="N31" t="str">
        <f t="shared" si="2"/>
        <v>***</v>
      </c>
      <c r="P31">
        <v>30</v>
      </c>
      <c r="Q31" t="s">
        <v>28</v>
      </c>
      <c r="R31" s="50">
        <v>7.7786999999999995E-2</v>
      </c>
      <c r="S31" s="50">
        <v>2.0327000000000001E-2</v>
      </c>
      <c r="T31">
        <v>3.8267000000000002</v>
      </c>
      <c r="U31">
        <v>1.2990000000000001E-4</v>
      </c>
      <c r="W31" t="str">
        <f t="shared" si="3"/>
        <v>***</v>
      </c>
    </row>
    <row r="32" spans="1:23" x14ac:dyDescent="0.25">
      <c r="A32">
        <v>31</v>
      </c>
      <c r="B32" t="s">
        <v>236</v>
      </c>
      <c r="C32">
        <v>3.8961214700000003E-2</v>
      </c>
      <c r="D32" s="50">
        <v>1.5903E-3</v>
      </c>
      <c r="E32">
        <v>4.15702591E-2</v>
      </c>
      <c r="F32" s="50">
        <v>0.39549000000000001</v>
      </c>
      <c r="G32">
        <v>8.0531473800000003E-2</v>
      </c>
      <c r="H32" s="50">
        <v>9.360599E-2</v>
      </c>
      <c r="J32" t="str">
        <f t="shared" si="0"/>
        <v>***</v>
      </c>
      <c r="L32" t="str">
        <f t="shared" si="1"/>
        <v/>
      </c>
      <c r="N32" t="str">
        <f t="shared" si="2"/>
        <v>*</v>
      </c>
      <c r="P32">
        <v>31</v>
      </c>
      <c r="Q32" t="s">
        <v>235</v>
      </c>
      <c r="R32" s="50">
        <v>6.4285999999999996E-2</v>
      </c>
      <c r="S32" s="50">
        <v>5.1540000000000002E-2</v>
      </c>
      <c r="T32">
        <v>1.2473000000000001</v>
      </c>
      <c r="U32">
        <v>0.21228520000000001</v>
      </c>
      <c r="W32" t="str">
        <f t="shared" si="3"/>
        <v/>
      </c>
    </row>
    <row r="33" spans="1:23" x14ac:dyDescent="0.25">
      <c r="A33">
        <v>32</v>
      </c>
      <c r="B33" t="s">
        <v>238</v>
      </c>
      <c r="C33">
        <v>-1.2057564999999999E-2</v>
      </c>
      <c r="D33" s="50">
        <v>0.20037720000000001</v>
      </c>
      <c r="E33">
        <v>-2.5615236000000002E-3</v>
      </c>
      <c r="F33" s="50">
        <v>0.94570810000000005</v>
      </c>
      <c r="G33">
        <v>-1.46190887E-2</v>
      </c>
      <c r="H33" s="50">
        <v>0.63745149999999995</v>
      </c>
      <c r="J33" t="str">
        <f t="shared" si="0"/>
        <v/>
      </c>
      <c r="L33" t="str">
        <f t="shared" si="1"/>
        <v/>
      </c>
      <c r="N33" t="str">
        <f t="shared" si="2"/>
        <v/>
      </c>
      <c r="P33">
        <v>32</v>
      </c>
      <c r="Q33" t="s">
        <v>236</v>
      </c>
      <c r="R33" s="50">
        <v>3.8203000000000001E-2</v>
      </c>
      <c r="S33" s="50">
        <v>1.2729000000000001E-2</v>
      </c>
      <c r="T33">
        <v>3.0013999999999998</v>
      </c>
      <c r="U33">
        <v>2.6876999999999999E-3</v>
      </c>
      <c r="W33" t="str">
        <f t="shared" si="3"/>
        <v>***</v>
      </c>
    </row>
    <row r="34" spans="1:23" x14ac:dyDescent="0.25">
      <c r="A34">
        <v>33</v>
      </c>
      <c r="B34" t="s">
        <v>240</v>
      </c>
      <c r="C34">
        <v>2.0008306399999998E-2</v>
      </c>
      <c r="D34" s="50">
        <v>3.4833959999999997E-2</v>
      </c>
      <c r="E34">
        <v>-5.1311947199999999E-2</v>
      </c>
      <c r="F34" s="50">
        <v>0.14434930000000001</v>
      </c>
      <c r="G34">
        <v>-3.1303640799999997E-2</v>
      </c>
      <c r="H34" s="50">
        <v>0.36307660000000003</v>
      </c>
      <c r="J34" t="str">
        <f t="shared" si="0"/>
        <v>**</v>
      </c>
      <c r="L34" t="str">
        <f t="shared" si="1"/>
        <v/>
      </c>
      <c r="N34" t="str">
        <f t="shared" si="2"/>
        <v/>
      </c>
      <c r="P34">
        <v>33</v>
      </c>
      <c r="Q34" t="s">
        <v>238</v>
      </c>
      <c r="R34" s="50">
        <v>-1.2011000000000001E-2</v>
      </c>
      <c r="S34" s="50">
        <v>9.4762000000000006E-3</v>
      </c>
      <c r="T34">
        <v>-1.2675000000000001</v>
      </c>
      <c r="U34">
        <v>0.20498269999999999</v>
      </c>
      <c r="W34" t="str">
        <f t="shared" si="3"/>
        <v/>
      </c>
    </row>
    <row r="35" spans="1:23" x14ac:dyDescent="0.25">
      <c r="A35">
        <v>34</v>
      </c>
      <c r="B35" t="s">
        <v>241</v>
      </c>
      <c r="C35">
        <v>4.9052260700000003E-2</v>
      </c>
      <c r="D35" s="50">
        <v>6.5314040000000002E-3</v>
      </c>
      <c r="E35">
        <v>4.4406932599999997E-2</v>
      </c>
      <c r="F35" s="50">
        <v>0.37458000000000002</v>
      </c>
      <c r="G35">
        <v>9.3459193199999999E-2</v>
      </c>
      <c r="H35" s="50">
        <v>4.9191970000000002E-2</v>
      </c>
      <c r="J35" t="str">
        <f t="shared" si="0"/>
        <v>***</v>
      </c>
      <c r="L35" t="str">
        <f t="shared" si="1"/>
        <v/>
      </c>
      <c r="N35" t="str">
        <f t="shared" si="2"/>
        <v>**</v>
      </c>
      <c r="P35">
        <v>34</v>
      </c>
      <c r="Q35" t="s">
        <v>240</v>
      </c>
      <c r="R35" s="50">
        <v>2.0944000000000001E-2</v>
      </c>
      <c r="S35" s="50">
        <v>9.6246999999999999E-3</v>
      </c>
      <c r="T35">
        <v>2.1760999999999999</v>
      </c>
      <c r="U35">
        <v>2.9546099999999999E-2</v>
      </c>
      <c r="W35" t="str">
        <f t="shared" si="3"/>
        <v>**</v>
      </c>
    </row>
    <row r="36" spans="1:23" x14ac:dyDescent="0.25">
      <c r="A36">
        <v>35</v>
      </c>
      <c r="B36" t="s">
        <v>243</v>
      </c>
      <c r="C36">
        <v>2.00387949E-2</v>
      </c>
      <c r="D36" s="50">
        <v>5.8458980000000001E-2</v>
      </c>
      <c r="E36">
        <v>0.1177107548</v>
      </c>
      <c r="F36" s="50">
        <v>8.5891869999999999E-3</v>
      </c>
      <c r="G36">
        <v>0.13774954959999999</v>
      </c>
      <c r="H36" s="50">
        <v>1.9377719999999999E-3</v>
      </c>
      <c r="J36" t="str">
        <f t="shared" si="0"/>
        <v>*</v>
      </c>
      <c r="L36" t="str">
        <f t="shared" si="1"/>
        <v>***</v>
      </c>
      <c r="N36" t="str">
        <f t="shared" si="2"/>
        <v>***</v>
      </c>
      <c r="P36">
        <v>35</v>
      </c>
      <c r="Q36" t="s">
        <v>241</v>
      </c>
      <c r="R36" s="50">
        <v>4.8242E-2</v>
      </c>
      <c r="S36" s="50">
        <v>1.8353999999999999E-2</v>
      </c>
      <c r="T36">
        <v>2.6284999999999998</v>
      </c>
      <c r="U36">
        <v>8.5774000000000006E-3</v>
      </c>
      <c r="W36" t="str">
        <f t="shared" si="3"/>
        <v>***</v>
      </c>
    </row>
    <row r="37" spans="1:23" x14ac:dyDescent="0.25">
      <c r="A37">
        <v>36</v>
      </c>
      <c r="B37" t="s">
        <v>245</v>
      </c>
      <c r="C37">
        <v>6.7611623800000006E-2</v>
      </c>
      <c r="D37" s="50">
        <v>2.223062E-3</v>
      </c>
      <c r="E37">
        <v>0.26608306310000002</v>
      </c>
      <c r="F37" s="50">
        <v>4.8467180000000001E-5</v>
      </c>
      <c r="G37">
        <v>0.33369468689999998</v>
      </c>
      <c r="H37" s="50">
        <v>1.147957E-7</v>
      </c>
      <c r="J37" t="str">
        <f t="shared" si="0"/>
        <v>***</v>
      </c>
      <c r="L37" t="str">
        <f t="shared" si="1"/>
        <v>***</v>
      </c>
      <c r="N37" t="str">
        <f t="shared" si="2"/>
        <v>***</v>
      </c>
      <c r="P37">
        <v>36</v>
      </c>
      <c r="Q37" t="s">
        <v>243</v>
      </c>
      <c r="R37" s="50">
        <v>1.7891000000000001E-2</v>
      </c>
      <c r="S37" s="50">
        <v>1.0919999999999999E-2</v>
      </c>
      <c r="T37">
        <v>1.6385000000000001</v>
      </c>
      <c r="U37">
        <v>0.1013259</v>
      </c>
      <c r="W37" t="str">
        <f t="shared" si="3"/>
        <v/>
      </c>
    </row>
    <row r="38" spans="1:23" x14ac:dyDescent="0.25">
      <c r="A38">
        <v>37</v>
      </c>
      <c r="B38" t="s">
        <v>166</v>
      </c>
      <c r="C38">
        <v>0.2044926084</v>
      </c>
      <c r="D38" s="50">
        <v>0</v>
      </c>
      <c r="E38">
        <v>0.11259062409999999</v>
      </c>
      <c r="F38" s="50">
        <v>8.2121350000000006E-3</v>
      </c>
      <c r="G38">
        <v>0.31708323249999998</v>
      </c>
      <c r="H38" s="50">
        <v>2.7400300000000001E-13</v>
      </c>
      <c r="J38" t="str">
        <f t="shared" si="0"/>
        <v>***</v>
      </c>
      <c r="L38" t="str">
        <f t="shared" si="1"/>
        <v>***</v>
      </c>
      <c r="N38" t="str">
        <f t="shared" si="2"/>
        <v>***</v>
      </c>
      <c r="P38">
        <v>37</v>
      </c>
      <c r="Q38" t="s">
        <v>245</v>
      </c>
      <c r="R38" s="50">
        <v>6.2757999999999994E-2</v>
      </c>
      <c r="S38" s="50">
        <v>2.2717999999999999E-2</v>
      </c>
      <c r="T38">
        <v>2.7625000000000002</v>
      </c>
      <c r="U38">
        <v>5.7365999999999997E-3</v>
      </c>
      <c r="W38" t="str">
        <f t="shared" si="3"/>
        <v>***</v>
      </c>
    </row>
    <row r="39" spans="1:23" x14ac:dyDescent="0.25">
      <c r="A39">
        <v>38</v>
      </c>
      <c r="B39" t="s">
        <v>167</v>
      </c>
      <c r="C39">
        <v>0.24295640509999999</v>
      </c>
      <c r="D39" s="50">
        <v>0</v>
      </c>
      <c r="E39">
        <v>9.2643491499999994E-2</v>
      </c>
      <c r="F39" s="50">
        <v>9.8485320000000001E-2</v>
      </c>
      <c r="G39">
        <v>0.3355998966</v>
      </c>
      <c r="H39" s="50">
        <v>4.048721E-9</v>
      </c>
      <c r="J39" t="str">
        <f t="shared" si="0"/>
        <v>***</v>
      </c>
      <c r="L39" t="str">
        <f t="shared" si="1"/>
        <v>*</v>
      </c>
      <c r="N39" t="str">
        <f t="shared" si="2"/>
        <v>***</v>
      </c>
      <c r="P39">
        <v>38</v>
      </c>
      <c r="Q39" t="s">
        <v>166</v>
      </c>
      <c r="R39" s="50">
        <v>0.20244000000000001</v>
      </c>
      <c r="S39" s="50">
        <v>7.4384999999999998E-3</v>
      </c>
      <c r="T39">
        <v>27.215</v>
      </c>
      <c r="U39" s="50">
        <v>2.2E-16</v>
      </c>
      <c r="W39" t="str">
        <f t="shared" si="3"/>
        <v>***</v>
      </c>
    </row>
    <row r="40" spans="1:23" x14ac:dyDescent="0.25">
      <c r="A40">
        <v>39</v>
      </c>
      <c r="B40" t="s">
        <v>168</v>
      </c>
      <c r="C40">
        <v>0.2974220212</v>
      </c>
      <c r="D40" s="50">
        <v>0</v>
      </c>
      <c r="E40">
        <v>0.98688916829999995</v>
      </c>
      <c r="F40" s="50">
        <v>1.8201799999999999E-5</v>
      </c>
      <c r="G40">
        <v>1.2843111894999999</v>
      </c>
      <c r="H40" s="50">
        <v>4.543082E-8</v>
      </c>
      <c r="J40" t="str">
        <f t="shared" si="0"/>
        <v>***</v>
      </c>
      <c r="L40" t="str">
        <f t="shared" si="1"/>
        <v>***</v>
      </c>
      <c r="N40" t="str">
        <f t="shared" si="2"/>
        <v>***</v>
      </c>
      <c r="P40">
        <v>39</v>
      </c>
      <c r="Q40" t="s">
        <v>167</v>
      </c>
      <c r="R40" s="50">
        <v>0.24127000000000001</v>
      </c>
      <c r="S40" s="50">
        <v>8.1717999999999999E-3</v>
      </c>
      <c r="T40">
        <v>29.5242</v>
      </c>
      <c r="U40" s="50">
        <v>2.2E-16</v>
      </c>
      <c r="W40" t="str">
        <f t="shared" si="3"/>
        <v>***</v>
      </c>
    </row>
    <row r="41" spans="1:23" x14ac:dyDescent="0.25">
      <c r="A41">
        <v>40</v>
      </c>
      <c r="B41" t="s">
        <v>169</v>
      </c>
      <c r="C41">
        <v>0.23473304010000001</v>
      </c>
      <c r="D41" s="50">
        <v>0</v>
      </c>
      <c r="E41">
        <v>-0.33675618569999999</v>
      </c>
      <c r="F41" s="50">
        <v>8.5857089999999997E-2</v>
      </c>
      <c r="G41">
        <v>-0.1020231456</v>
      </c>
      <c r="H41" s="50">
        <v>0.60364879999999999</v>
      </c>
      <c r="J41" t="str">
        <f t="shared" si="0"/>
        <v>***</v>
      </c>
      <c r="L41" t="str">
        <f t="shared" si="1"/>
        <v>*</v>
      </c>
      <c r="N41" t="str">
        <f t="shared" si="2"/>
        <v/>
      </c>
      <c r="P41">
        <v>40</v>
      </c>
      <c r="Q41" t="s">
        <v>168</v>
      </c>
      <c r="R41" s="50">
        <v>0.27942</v>
      </c>
      <c r="S41" s="50">
        <v>1.3185000000000001E-2</v>
      </c>
      <c r="T41">
        <v>21.191700000000001</v>
      </c>
      <c r="U41" s="50">
        <v>2.2E-16</v>
      </c>
      <c r="W41" t="str">
        <f t="shared" si="3"/>
        <v>***</v>
      </c>
    </row>
    <row r="42" spans="1:23" x14ac:dyDescent="0.25">
      <c r="A42">
        <v>41</v>
      </c>
      <c r="B42" t="s">
        <v>170</v>
      </c>
      <c r="C42">
        <v>0.1059196699</v>
      </c>
      <c r="D42" s="50">
        <v>1.911273E-3</v>
      </c>
      <c r="E42">
        <v>-3.2294847463999998</v>
      </c>
      <c r="F42" s="50">
        <v>6.2551990000000003E-4</v>
      </c>
      <c r="G42">
        <v>-3.1235650764999998</v>
      </c>
      <c r="H42" s="50">
        <v>1.220191E-3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169</v>
      </c>
      <c r="R42" s="50">
        <v>0.24088000000000001</v>
      </c>
      <c r="S42" s="50">
        <v>1.3776E-2</v>
      </c>
      <c r="T42">
        <v>17.4848</v>
      </c>
      <c r="U42" s="50">
        <v>2.2E-16</v>
      </c>
      <c r="W42" t="str">
        <f t="shared" si="3"/>
        <v>***</v>
      </c>
    </row>
    <row r="43" spans="1:23" x14ac:dyDescent="0.25">
      <c r="A43">
        <v>42</v>
      </c>
      <c r="B43" t="s">
        <v>50</v>
      </c>
      <c r="C43">
        <v>4.0611900000000003E-5</v>
      </c>
      <c r="D43" s="50">
        <v>0.15253230000000001</v>
      </c>
      <c r="E43">
        <v>2.353434E-4</v>
      </c>
      <c r="F43" s="50">
        <v>0.4084412</v>
      </c>
      <c r="G43">
        <v>2.7595529999999998E-4</v>
      </c>
      <c r="H43" s="50">
        <v>0.34270430000000002</v>
      </c>
      <c r="J43" t="str">
        <f t="shared" si="0"/>
        <v/>
      </c>
      <c r="L43" t="str">
        <f t="shared" si="1"/>
        <v/>
      </c>
      <c r="N43" t="str">
        <f t="shared" si="2"/>
        <v/>
      </c>
      <c r="P43">
        <v>42</v>
      </c>
      <c r="Q43" t="s">
        <v>170</v>
      </c>
      <c r="R43" s="50">
        <v>0.16483999999999999</v>
      </c>
      <c r="S43" s="50">
        <v>2.7508000000000001E-2</v>
      </c>
      <c r="T43">
        <v>5.9923000000000002</v>
      </c>
      <c r="U43" s="50">
        <v>2.0690000000000002E-9</v>
      </c>
      <c r="W43" t="str">
        <f t="shared" si="3"/>
        <v>***</v>
      </c>
    </row>
    <row r="44" spans="1:23" x14ac:dyDescent="0.25">
      <c r="A44">
        <v>43</v>
      </c>
      <c r="B44" t="s">
        <v>52</v>
      </c>
      <c r="C44">
        <v>1.12971401E-2</v>
      </c>
      <c r="D44" s="50">
        <v>1.110581E-5</v>
      </c>
      <c r="E44">
        <v>-0.15985491399999999</v>
      </c>
      <c r="F44" s="50">
        <v>9.0115769999999998E-3</v>
      </c>
      <c r="G44">
        <v>-0.1485577739</v>
      </c>
      <c r="H44" s="50">
        <v>1.781636E-2</v>
      </c>
      <c r="J44" t="str">
        <f t="shared" si="0"/>
        <v>***</v>
      </c>
      <c r="L44" t="str">
        <f t="shared" si="1"/>
        <v>***</v>
      </c>
      <c r="N44" t="str">
        <f t="shared" si="2"/>
        <v>**</v>
      </c>
      <c r="P44">
        <v>43</v>
      </c>
      <c r="Q44" t="s">
        <v>50</v>
      </c>
      <c r="R44" s="50">
        <v>3.6319000000000002E-5</v>
      </c>
      <c r="S44" s="50">
        <v>2.8986999999999999E-5</v>
      </c>
      <c r="T44">
        <v>1.2528999999999999</v>
      </c>
      <c r="U44">
        <v>0.21022569999999999</v>
      </c>
      <c r="W44" t="str">
        <f t="shared" si="3"/>
        <v/>
      </c>
    </row>
    <row r="45" spans="1:23" x14ac:dyDescent="0.25">
      <c r="A45">
        <v>44</v>
      </c>
      <c r="B45" t="s">
        <v>51</v>
      </c>
      <c r="C45">
        <v>1.7549515E-3</v>
      </c>
      <c r="D45" s="50">
        <v>1.0814219999999999E-2</v>
      </c>
      <c r="E45">
        <v>5.4227566800000002E-2</v>
      </c>
      <c r="F45" s="50">
        <v>5.137364E-6</v>
      </c>
      <c r="G45">
        <v>5.5982518299999999E-2</v>
      </c>
      <c r="H45" s="50">
        <v>4.235955E-6</v>
      </c>
      <c r="J45" t="str">
        <f t="shared" si="0"/>
        <v>**</v>
      </c>
      <c r="L45" t="str">
        <f t="shared" si="1"/>
        <v>***</v>
      </c>
      <c r="N45" t="str">
        <f t="shared" si="2"/>
        <v>***</v>
      </c>
      <c r="P45">
        <v>44</v>
      </c>
      <c r="Q45" t="s">
        <v>52</v>
      </c>
      <c r="R45" s="50">
        <v>1.4213E-2</v>
      </c>
      <c r="S45" s="50">
        <v>2.137E-3</v>
      </c>
      <c r="T45">
        <v>6.6509999999999998</v>
      </c>
      <c r="U45" s="50">
        <v>2.9109999999999997E-11</v>
      </c>
      <c r="W45" t="str">
        <f t="shared" si="3"/>
        <v>***</v>
      </c>
    </row>
    <row r="46" spans="1:23" x14ac:dyDescent="0.25">
      <c r="A46">
        <v>45</v>
      </c>
      <c r="B46" t="s">
        <v>164</v>
      </c>
      <c r="C46">
        <v>-2.9155729999999999E-3</v>
      </c>
      <c r="D46" s="50">
        <v>0.87714890000000001</v>
      </c>
      <c r="E46">
        <v>-5.6267773999999996E-3</v>
      </c>
      <c r="F46" s="50">
        <v>0.74661630000000001</v>
      </c>
      <c r="G46">
        <v>-8.5423504000000008E-3</v>
      </c>
      <c r="H46" s="50">
        <v>4.8500330000000001E-2</v>
      </c>
      <c r="J46" t="str">
        <f t="shared" si="0"/>
        <v/>
      </c>
      <c r="L46" t="str">
        <f t="shared" si="1"/>
        <v/>
      </c>
      <c r="N46" t="str">
        <f t="shared" si="2"/>
        <v>**</v>
      </c>
      <c r="P46">
        <v>45</v>
      </c>
      <c r="Q46" t="s">
        <v>51</v>
      </c>
      <c r="R46" s="50">
        <v>7.6568999999999997E-4</v>
      </c>
      <c r="S46" s="50">
        <v>6.3526000000000001E-4</v>
      </c>
      <c r="T46">
        <v>1.2053</v>
      </c>
      <c r="U46">
        <v>0.22808120000000001</v>
      </c>
      <c r="W46" t="str">
        <f t="shared" si="3"/>
        <v/>
      </c>
    </row>
    <row r="47" spans="1:23" x14ac:dyDescent="0.25">
      <c r="A47">
        <v>46</v>
      </c>
      <c r="B47" t="s">
        <v>39</v>
      </c>
      <c r="C47">
        <v>1.8931596500000002E-2</v>
      </c>
      <c r="D47" s="50">
        <v>0.51652350000000002</v>
      </c>
      <c r="E47">
        <v>-0.14018469089999999</v>
      </c>
      <c r="F47" s="50">
        <v>1.216265E-3</v>
      </c>
      <c r="G47">
        <v>-0.1212530944</v>
      </c>
      <c r="H47" s="50">
        <v>1.356641E-4</v>
      </c>
      <c r="J47" t="str">
        <f t="shared" si="0"/>
        <v/>
      </c>
      <c r="L47" t="str">
        <f t="shared" si="1"/>
        <v>***</v>
      </c>
      <c r="N47" t="str">
        <f t="shared" si="2"/>
        <v>***</v>
      </c>
      <c r="P47">
        <v>46</v>
      </c>
      <c r="Q47" t="s">
        <v>164</v>
      </c>
      <c r="R47" s="50">
        <v>-2.8129000000000001E-3</v>
      </c>
      <c r="S47" s="50">
        <v>1.7795999999999999E-2</v>
      </c>
      <c r="T47">
        <v>-0.15809999999999999</v>
      </c>
      <c r="U47">
        <v>0.87440819999999997</v>
      </c>
      <c r="W47" t="str">
        <f t="shared" si="3"/>
        <v/>
      </c>
    </row>
    <row r="48" spans="1:23" x14ac:dyDescent="0.25">
      <c r="A48">
        <v>47</v>
      </c>
      <c r="B48" t="s">
        <v>40</v>
      </c>
      <c r="C48">
        <v>-7.3582861999999999E-2</v>
      </c>
      <c r="D48" s="50">
        <v>1.176171E-8</v>
      </c>
      <c r="E48">
        <v>3.1699172599999999E-2</v>
      </c>
      <c r="F48" s="50">
        <v>1.478698E-2</v>
      </c>
      <c r="G48">
        <v>-4.18836894E-2</v>
      </c>
      <c r="H48" s="50">
        <v>0</v>
      </c>
      <c r="J48" t="str">
        <f t="shared" si="0"/>
        <v>***</v>
      </c>
      <c r="L48" t="str">
        <f t="shared" si="1"/>
        <v>**</v>
      </c>
      <c r="N48" t="str">
        <f t="shared" si="2"/>
        <v>***</v>
      </c>
      <c r="P48">
        <v>47</v>
      </c>
      <c r="Q48" t="s">
        <v>39</v>
      </c>
      <c r="R48" s="50">
        <v>2.1489000000000001E-2</v>
      </c>
      <c r="S48" s="50">
        <v>2.9562999999999999E-2</v>
      </c>
      <c r="T48">
        <v>0.72689999999999999</v>
      </c>
      <c r="U48">
        <v>0.46729409999999999</v>
      </c>
      <c r="W48" t="str">
        <f t="shared" si="3"/>
        <v/>
      </c>
    </row>
    <row r="49" spans="1:23" x14ac:dyDescent="0.25">
      <c r="A49">
        <v>48</v>
      </c>
      <c r="B49" t="s">
        <v>41</v>
      </c>
      <c r="C49">
        <v>1.96541184E-2</v>
      </c>
      <c r="D49" s="50">
        <v>9.3779799999999996E-2</v>
      </c>
      <c r="E49">
        <v>-1.8287425499999999E-2</v>
      </c>
      <c r="F49" s="50">
        <v>0.122012</v>
      </c>
      <c r="G49">
        <v>1.3666929E-3</v>
      </c>
      <c r="H49" s="50">
        <v>0.51463060000000005</v>
      </c>
      <c r="J49" t="str">
        <f t="shared" si="0"/>
        <v>*</v>
      </c>
      <c r="L49" t="str">
        <f t="shared" si="1"/>
        <v/>
      </c>
      <c r="N49" t="str">
        <f t="shared" si="2"/>
        <v/>
      </c>
      <c r="P49">
        <v>48</v>
      </c>
      <c r="Q49" t="s">
        <v>40</v>
      </c>
      <c r="R49" s="50">
        <v>-7.4161000000000005E-2</v>
      </c>
      <c r="S49" s="50">
        <v>1.3296000000000001E-2</v>
      </c>
      <c r="T49">
        <v>-5.5777000000000001</v>
      </c>
      <c r="U49" s="50">
        <v>2.4369999999999999E-8</v>
      </c>
      <c r="W49" t="str">
        <f t="shared" si="3"/>
        <v>***</v>
      </c>
    </row>
    <row r="50" spans="1:23" x14ac:dyDescent="0.25">
      <c r="A50">
        <v>49</v>
      </c>
      <c r="B50" t="s">
        <v>173</v>
      </c>
      <c r="C50">
        <v>2.1852034100000001E-2</v>
      </c>
      <c r="D50" s="50">
        <v>0.1007864</v>
      </c>
      <c r="E50">
        <v>-2.44764765E-2</v>
      </c>
      <c r="F50" s="50">
        <v>6.6800689999999996E-2</v>
      </c>
      <c r="G50">
        <v>-2.6244425E-3</v>
      </c>
      <c r="H50" s="50">
        <v>1.396651E-2</v>
      </c>
      <c r="J50" t="str">
        <f t="shared" si="0"/>
        <v/>
      </c>
      <c r="L50" t="str">
        <f t="shared" si="1"/>
        <v>*</v>
      </c>
      <c r="N50" t="str">
        <f t="shared" si="2"/>
        <v>**</v>
      </c>
      <c r="P50">
        <v>49</v>
      </c>
      <c r="Q50" t="s">
        <v>41</v>
      </c>
      <c r="R50" s="50">
        <v>1.9987999999999999E-2</v>
      </c>
      <c r="S50" s="50">
        <v>1.1664000000000001E-2</v>
      </c>
      <c r="T50">
        <v>1.7136</v>
      </c>
      <c r="U50">
        <v>8.6606600000000006E-2</v>
      </c>
      <c r="W50" t="str">
        <f t="shared" si="3"/>
        <v>*</v>
      </c>
    </row>
    <row r="51" spans="1:23" x14ac:dyDescent="0.25">
      <c r="A51">
        <v>50</v>
      </c>
      <c r="B51" t="s">
        <v>174</v>
      </c>
      <c r="C51">
        <v>1.70716645E-2</v>
      </c>
      <c r="D51" s="50">
        <v>0.1158199</v>
      </c>
      <c r="E51">
        <v>2.7305666400000001E-2</v>
      </c>
      <c r="F51" s="50">
        <v>4.619562E-2</v>
      </c>
      <c r="G51">
        <v>4.4377330899999998E-2</v>
      </c>
      <c r="H51" s="50">
        <v>1.743998E-8</v>
      </c>
      <c r="J51" t="str">
        <f t="shared" si="0"/>
        <v/>
      </c>
      <c r="L51" t="str">
        <f t="shared" si="1"/>
        <v>**</v>
      </c>
      <c r="N51" t="str">
        <f t="shared" si="2"/>
        <v>***</v>
      </c>
      <c r="P51">
        <v>50</v>
      </c>
      <c r="Q51" t="s">
        <v>173</v>
      </c>
      <c r="R51" s="50">
        <v>2.2298999999999999E-2</v>
      </c>
      <c r="S51" s="50">
        <v>1.3686E-2</v>
      </c>
      <c r="T51">
        <v>1.6294</v>
      </c>
      <c r="U51">
        <v>0.1032368</v>
      </c>
      <c r="W51" t="str">
        <f t="shared" si="3"/>
        <v/>
      </c>
    </row>
    <row r="52" spans="1:23" x14ac:dyDescent="0.25">
      <c r="A52">
        <v>51</v>
      </c>
      <c r="B52" t="s">
        <v>175</v>
      </c>
      <c r="C52">
        <v>5.90322676E-2</v>
      </c>
      <c r="D52" s="50">
        <v>2.660683E-8</v>
      </c>
      <c r="E52">
        <v>-5.3033305400000001E-2</v>
      </c>
      <c r="F52" s="50">
        <v>9.1442500000000004E-5</v>
      </c>
      <c r="G52">
        <v>5.9989622000000001E-3</v>
      </c>
      <c r="H52" s="50">
        <v>0.4583313</v>
      </c>
      <c r="J52" t="str">
        <f t="shared" si="0"/>
        <v>***</v>
      </c>
      <c r="L52" t="str">
        <f t="shared" si="1"/>
        <v>***</v>
      </c>
      <c r="N52" t="str">
        <f t="shared" si="2"/>
        <v/>
      </c>
      <c r="P52">
        <v>51</v>
      </c>
      <c r="Q52" t="s">
        <v>174</v>
      </c>
      <c r="R52" s="50">
        <v>1.6573999999999998E-2</v>
      </c>
      <c r="S52" s="50">
        <v>1.107E-2</v>
      </c>
      <c r="T52">
        <v>1.4972000000000001</v>
      </c>
      <c r="U52">
        <v>0.1343384</v>
      </c>
      <c r="W52" t="str">
        <f t="shared" si="3"/>
        <v/>
      </c>
    </row>
    <row r="53" spans="1:23" x14ac:dyDescent="0.25">
      <c r="A53">
        <v>52</v>
      </c>
      <c r="B53" t="s">
        <v>43</v>
      </c>
      <c r="C53">
        <v>-4.2397647300000001E-2</v>
      </c>
      <c r="D53" s="50">
        <v>0.27721390000000001</v>
      </c>
      <c r="E53">
        <v>-1.7185789378</v>
      </c>
      <c r="F53" s="50">
        <v>1.477209E-9</v>
      </c>
      <c r="G53">
        <v>-1.7609765850000001</v>
      </c>
      <c r="H53" s="50">
        <v>9.2032779999999999E-10</v>
      </c>
      <c r="J53" t="str">
        <f t="shared" si="0"/>
        <v/>
      </c>
      <c r="L53" t="str">
        <f t="shared" si="1"/>
        <v>***</v>
      </c>
      <c r="N53" t="str">
        <f t="shared" si="2"/>
        <v>***</v>
      </c>
      <c r="P53">
        <v>52</v>
      </c>
      <c r="Q53" t="s">
        <v>175</v>
      </c>
      <c r="R53" s="50">
        <v>0.06</v>
      </c>
      <c r="S53" s="50">
        <v>1.0867999999999999E-2</v>
      </c>
      <c r="T53">
        <v>5.5206</v>
      </c>
      <c r="U53" s="50">
        <v>3.3780000000000002E-8</v>
      </c>
      <c r="W53" t="str">
        <f t="shared" si="3"/>
        <v>***</v>
      </c>
    </row>
    <row r="54" spans="1:23" x14ac:dyDescent="0.25">
      <c r="A54">
        <v>53</v>
      </c>
      <c r="B54" t="s">
        <v>44</v>
      </c>
      <c r="C54">
        <v>-2.8245390200000001E-2</v>
      </c>
      <c r="D54" s="50">
        <v>4.5559769999999999E-2</v>
      </c>
      <c r="E54">
        <v>-0.22448199899999999</v>
      </c>
      <c r="F54" s="50">
        <v>1.600552E-4</v>
      </c>
      <c r="G54">
        <v>-0.25272738919999999</v>
      </c>
      <c r="H54" s="50">
        <v>2.112502E-5</v>
      </c>
      <c r="J54" t="str">
        <f t="shared" si="0"/>
        <v>**</v>
      </c>
      <c r="L54" t="str">
        <f t="shared" si="1"/>
        <v>***</v>
      </c>
      <c r="N54" t="str">
        <f t="shared" si="2"/>
        <v>***</v>
      </c>
      <c r="P54">
        <v>53</v>
      </c>
      <c r="Q54" t="s">
        <v>43</v>
      </c>
      <c r="R54" s="50">
        <v>-1.1046E-2</v>
      </c>
      <c r="S54" s="50">
        <v>3.9794000000000003E-2</v>
      </c>
      <c r="T54">
        <v>-0.27760000000000001</v>
      </c>
      <c r="U54">
        <v>0.7813369</v>
      </c>
      <c r="W54" t="str">
        <f t="shared" si="3"/>
        <v/>
      </c>
    </row>
    <row r="55" spans="1:23" x14ac:dyDescent="0.25">
      <c r="A55">
        <v>54</v>
      </c>
      <c r="B55" t="s">
        <v>45</v>
      </c>
      <c r="C55">
        <v>4.7255684300000003E-2</v>
      </c>
      <c r="D55" s="50">
        <v>5.746076E-2</v>
      </c>
      <c r="E55">
        <v>-3.7430670899999997E-2</v>
      </c>
      <c r="F55" s="50">
        <v>0.79637360000000001</v>
      </c>
      <c r="G55">
        <v>9.8250134000000006E-3</v>
      </c>
      <c r="H55" s="50">
        <v>0.93226129999999996</v>
      </c>
      <c r="J55" t="str">
        <f t="shared" si="0"/>
        <v>*</v>
      </c>
      <c r="L55" t="str">
        <f t="shared" si="1"/>
        <v/>
      </c>
      <c r="N55" t="str">
        <f t="shared" si="2"/>
        <v/>
      </c>
      <c r="P55">
        <v>54</v>
      </c>
      <c r="Q55" t="s">
        <v>44</v>
      </c>
      <c r="R55" s="50">
        <v>-2.4150000000000001E-2</v>
      </c>
      <c r="S55" s="50">
        <v>1.4315E-2</v>
      </c>
      <c r="T55">
        <v>-1.6870000000000001</v>
      </c>
      <c r="U55">
        <v>9.1598499999999999E-2</v>
      </c>
      <c r="W55" t="str">
        <f t="shared" si="3"/>
        <v>*</v>
      </c>
    </row>
    <row r="56" spans="1:23" x14ac:dyDescent="0.25">
      <c r="A56">
        <v>55</v>
      </c>
      <c r="B56" t="s">
        <v>48</v>
      </c>
      <c r="C56">
        <v>-1.00456165E-2</v>
      </c>
      <c r="D56" s="50">
        <v>0.39913510000000002</v>
      </c>
      <c r="E56">
        <v>0.69598699040000001</v>
      </c>
      <c r="F56" s="50">
        <v>0</v>
      </c>
      <c r="G56">
        <v>0.68594137389999998</v>
      </c>
      <c r="H56" s="50">
        <v>0</v>
      </c>
      <c r="J56" t="str">
        <f t="shared" si="0"/>
        <v/>
      </c>
      <c r="L56" t="str">
        <f t="shared" si="1"/>
        <v>***</v>
      </c>
      <c r="N56" t="str">
        <f t="shared" si="2"/>
        <v>***</v>
      </c>
      <c r="P56">
        <v>55</v>
      </c>
      <c r="Q56" t="s">
        <v>45</v>
      </c>
      <c r="R56" s="50">
        <v>4.7939000000000002E-2</v>
      </c>
      <c r="S56" s="50">
        <v>2.4986999999999999E-2</v>
      </c>
      <c r="T56">
        <v>1.9185000000000001</v>
      </c>
      <c r="U56">
        <v>5.5044099999999999E-2</v>
      </c>
      <c r="W56" t="str">
        <f t="shared" si="3"/>
        <v>*</v>
      </c>
    </row>
    <row r="57" spans="1:23" x14ac:dyDescent="0.25">
      <c r="A57">
        <v>56</v>
      </c>
      <c r="B57" t="s">
        <v>46</v>
      </c>
      <c r="C57">
        <v>-6.2271115799999999E-2</v>
      </c>
      <c r="D57" s="50">
        <v>3.2590480000000002E-4</v>
      </c>
      <c r="E57">
        <v>-0.1965563934</v>
      </c>
      <c r="F57" s="50">
        <v>7.7993419999999999E-3</v>
      </c>
      <c r="G57">
        <v>-0.25882750910000002</v>
      </c>
      <c r="H57" s="50">
        <v>3.9699629999999999E-4</v>
      </c>
      <c r="J57" t="str">
        <f t="shared" si="0"/>
        <v>***</v>
      </c>
      <c r="L57" t="str">
        <f t="shared" si="1"/>
        <v>***</v>
      </c>
      <c r="N57" t="str">
        <f t="shared" si="2"/>
        <v>***</v>
      </c>
      <c r="P57">
        <v>56</v>
      </c>
      <c r="Q57" t="s">
        <v>48</v>
      </c>
      <c r="R57" s="50">
        <v>-2.2742999999999999E-2</v>
      </c>
      <c r="S57" s="50">
        <v>1.1976000000000001E-2</v>
      </c>
      <c r="T57">
        <v>-1.899</v>
      </c>
      <c r="U57">
        <v>5.7561800000000003E-2</v>
      </c>
      <c r="W57" t="str">
        <f t="shared" si="3"/>
        <v>*</v>
      </c>
    </row>
    <row r="58" spans="1:23" x14ac:dyDescent="0.25">
      <c r="D58" s="50"/>
      <c r="F58" s="50"/>
      <c r="H58" s="50"/>
      <c r="P58">
        <v>57</v>
      </c>
      <c r="Q58" t="s">
        <v>46</v>
      </c>
      <c r="R58" s="50">
        <v>-5.8686000000000002E-2</v>
      </c>
      <c r="S58" s="50">
        <v>1.7496999999999999E-2</v>
      </c>
      <c r="T58">
        <v>-3.3540000000000001</v>
      </c>
      <c r="U58">
        <v>7.9659999999999996E-4</v>
      </c>
      <c r="W58" t="str">
        <f t="shared" si="3"/>
        <v>***</v>
      </c>
    </row>
    <row r="59" spans="1:23" x14ac:dyDescent="0.25">
      <c r="B59" t="s">
        <v>716</v>
      </c>
      <c r="C59" s="26">
        <v>23359</v>
      </c>
      <c r="D59" s="50"/>
      <c r="F59" s="50"/>
      <c r="H59" s="50"/>
      <c r="P59">
        <v>58</v>
      </c>
      <c r="Q59" t="s">
        <v>731</v>
      </c>
      <c r="R59" s="50">
        <v>3.4965999999999997E-2</v>
      </c>
      <c r="S59" s="50">
        <v>3.9276999999999999E-2</v>
      </c>
      <c r="T59">
        <v>0.89019999999999999</v>
      </c>
      <c r="U59">
        <v>0.37333569999999999</v>
      </c>
      <c r="W59" t="str">
        <f t="shared" si="3"/>
        <v/>
      </c>
    </row>
    <row r="60" spans="1:23" x14ac:dyDescent="0.25">
      <c r="P60">
        <v>59</v>
      </c>
      <c r="Q60" t="s">
        <v>732</v>
      </c>
      <c r="R60" s="50">
        <v>8.1565000000000001E-4</v>
      </c>
      <c r="S60" s="50">
        <v>5.5377000000000002E-5</v>
      </c>
      <c r="T60">
        <v>14.729200000000001</v>
      </c>
      <c r="U60" s="50">
        <v>2.2E-16</v>
      </c>
      <c r="W60" t="str">
        <f t="shared" si="3"/>
        <v>***</v>
      </c>
    </row>
    <row r="61" spans="1:23" x14ac:dyDescent="0.25">
      <c r="B61" t="s">
        <v>718</v>
      </c>
      <c r="C61">
        <v>0.85450999999999999</v>
      </c>
      <c r="D61" t="s">
        <v>719</v>
      </c>
      <c r="E61">
        <v>15625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733</v>
      </c>
      <c r="R61" s="50">
        <v>2.3123999999999999E-2</v>
      </c>
      <c r="S61" s="50">
        <v>1.5292999999999999E-2</v>
      </c>
      <c r="T61">
        <v>1.5121</v>
      </c>
      <c r="U61">
        <v>0.13051989999999999</v>
      </c>
      <c r="W61" t="str">
        <f t="shared" si="3"/>
        <v/>
      </c>
    </row>
    <row r="62" spans="1:23" x14ac:dyDescent="0.25">
      <c r="B62" t="s">
        <v>497</v>
      </c>
      <c r="C62">
        <v>-24359</v>
      </c>
      <c r="P62">
        <v>61</v>
      </c>
      <c r="Q62" t="s">
        <v>734</v>
      </c>
      <c r="R62" s="50">
        <v>2.0072000000000002E-3</v>
      </c>
      <c r="S62" s="50">
        <v>1.4921E-2</v>
      </c>
      <c r="T62">
        <v>0.13450000000000001</v>
      </c>
      <c r="U62">
        <v>0.89298759999999999</v>
      </c>
      <c r="W62" t="str">
        <f t="shared" si="3"/>
        <v/>
      </c>
    </row>
    <row r="63" spans="1:23" x14ac:dyDescent="0.25">
      <c r="B63" t="s">
        <v>717</v>
      </c>
      <c r="C63">
        <v>12294.59</v>
      </c>
      <c r="P63">
        <v>62</v>
      </c>
      <c r="Q63" t="s">
        <v>735</v>
      </c>
      <c r="R63" s="50">
        <v>3.2358999999999999E-3</v>
      </c>
      <c r="S63" s="50">
        <v>1.5452E-2</v>
      </c>
      <c r="T63">
        <v>0.2094</v>
      </c>
      <c r="U63">
        <v>0.83412010000000003</v>
      </c>
      <c r="W63" t="str">
        <f t="shared" si="3"/>
        <v/>
      </c>
    </row>
    <row r="64" spans="1:23" x14ac:dyDescent="0.25">
      <c r="P64">
        <v>63</v>
      </c>
      <c r="Q64" t="s">
        <v>736</v>
      </c>
      <c r="R64" s="50">
        <v>-5.8354000000000003E-2</v>
      </c>
      <c r="S64" s="50">
        <v>3.7432E-2</v>
      </c>
      <c r="T64">
        <v>-1.5589</v>
      </c>
      <c r="U64">
        <v>0.1190132</v>
      </c>
      <c r="W64" t="str">
        <f t="shared" si="3"/>
        <v/>
      </c>
    </row>
    <row r="65" spans="16:23" x14ac:dyDescent="0.25">
      <c r="P65">
        <v>64</v>
      </c>
      <c r="Q65" t="s">
        <v>737</v>
      </c>
      <c r="R65" s="50">
        <v>4.1758000000000003E-3</v>
      </c>
      <c r="S65" s="50">
        <v>4.2230999999999998E-2</v>
      </c>
      <c r="T65">
        <v>9.8900000000000002E-2</v>
      </c>
      <c r="U65">
        <v>0.92123409999999994</v>
      </c>
      <c r="W65" t="str">
        <f t="shared" si="3"/>
        <v/>
      </c>
    </row>
    <row r="66" spans="16:23" x14ac:dyDescent="0.25">
      <c r="P66">
        <v>65</v>
      </c>
      <c r="Q66" t="s">
        <v>738</v>
      </c>
      <c r="R66" s="50">
        <v>-6.3714999999999994E-2</v>
      </c>
      <c r="S66" s="50">
        <v>4.2370999999999999E-2</v>
      </c>
      <c r="T66">
        <v>-1.5037</v>
      </c>
      <c r="U66">
        <v>0.13264790000000001</v>
      </c>
      <c r="W66" t="str">
        <f t="shared" si="3"/>
        <v/>
      </c>
    </row>
    <row r="67" spans="16:23" x14ac:dyDescent="0.25">
      <c r="P67">
        <v>66</v>
      </c>
      <c r="Q67" t="s">
        <v>739</v>
      </c>
      <c r="R67" s="50">
        <v>0.1328</v>
      </c>
      <c r="S67" s="50">
        <v>0.12773000000000001</v>
      </c>
      <c r="T67">
        <v>1.0397000000000001</v>
      </c>
      <c r="U67">
        <v>0.29849120000000001</v>
      </c>
      <c r="W67" t="str">
        <f t="shared" ref="W67:W116" si="4">IF(U67&lt;0.01,"***",IF(U67&lt;0.05,"**",IF(U67&lt;0.1,"*","")))</f>
        <v/>
      </c>
    </row>
    <row r="68" spans="16:23" x14ac:dyDescent="0.25">
      <c r="P68">
        <v>67</v>
      </c>
      <c r="Q68" t="s">
        <v>740</v>
      </c>
      <c r="R68" s="50">
        <v>-0.12534999999999999</v>
      </c>
      <c r="S68" s="50">
        <v>3.7496000000000001E-3</v>
      </c>
      <c r="T68">
        <v>-33.429200000000002</v>
      </c>
      <c r="U68" s="50">
        <v>2.2E-16</v>
      </c>
      <c r="W68" t="str">
        <f t="shared" si="4"/>
        <v>***</v>
      </c>
    </row>
    <row r="69" spans="16:23" x14ac:dyDescent="0.25">
      <c r="P69">
        <v>68</v>
      </c>
      <c r="Q69" t="s">
        <v>741</v>
      </c>
      <c r="R69" s="50">
        <v>-0.10244</v>
      </c>
      <c r="S69" s="50">
        <v>5.3416000000000002E-3</v>
      </c>
      <c r="T69">
        <v>-19.178100000000001</v>
      </c>
      <c r="U69" s="50">
        <v>2.2E-16</v>
      </c>
      <c r="W69" t="str">
        <f t="shared" si="4"/>
        <v>***</v>
      </c>
    </row>
    <row r="70" spans="16:23" x14ac:dyDescent="0.25">
      <c r="P70">
        <v>69</v>
      </c>
      <c r="Q70" t="s">
        <v>742</v>
      </c>
      <c r="R70" s="50">
        <v>-5.1069000000000003E-2</v>
      </c>
      <c r="S70" s="50">
        <v>6.4717999999999998E-3</v>
      </c>
      <c r="T70">
        <v>-7.8910999999999998</v>
      </c>
      <c r="U70" s="50">
        <v>2.8870000000000002E-15</v>
      </c>
      <c r="W70" t="str">
        <f t="shared" si="4"/>
        <v>***</v>
      </c>
    </row>
    <row r="71" spans="16:23" x14ac:dyDescent="0.25">
      <c r="P71">
        <v>70</v>
      </c>
      <c r="Q71" t="s">
        <v>743</v>
      </c>
      <c r="R71" s="50">
        <v>7.9570000000000005E-3</v>
      </c>
      <c r="S71" s="50">
        <v>8.9882E-3</v>
      </c>
      <c r="T71">
        <v>0.88529999999999998</v>
      </c>
      <c r="U71">
        <v>0.37600889999999998</v>
      </c>
      <c r="W71" t="str">
        <f t="shared" si="4"/>
        <v/>
      </c>
    </row>
    <row r="72" spans="16:23" x14ac:dyDescent="0.25">
      <c r="P72">
        <v>71</v>
      </c>
      <c r="Q72" t="s">
        <v>744</v>
      </c>
      <c r="R72" s="50">
        <v>1.5082E-2</v>
      </c>
      <c r="S72" s="50">
        <v>8.8055000000000008E-3</v>
      </c>
      <c r="T72">
        <v>1.7128000000000001</v>
      </c>
      <c r="U72">
        <v>8.6749000000000007E-2</v>
      </c>
      <c r="W72" t="str">
        <f t="shared" si="4"/>
        <v>*</v>
      </c>
    </row>
    <row r="73" spans="16:23" x14ac:dyDescent="0.25">
      <c r="P73">
        <v>72</v>
      </c>
      <c r="Q73" t="s">
        <v>745</v>
      </c>
      <c r="R73" s="50">
        <v>-1.7356000000000001E-4</v>
      </c>
      <c r="S73" s="50">
        <v>8.8976999999999995E-6</v>
      </c>
      <c r="T73">
        <v>-19.506</v>
      </c>
      <c r="U73" s="50">
        <v>2.2E-16</v>
      </c>
      <c r="W73" t="str">
        <f t="shared" si="4"/>
        <v>***</v>
      </c>
    </row>
    <row r="74" spans="16:23" x14ac:dyDescent="0.25">
      <c r="P74">
        <v>73</v>
      </c>
      <c r="Q74" t="s">
        <v>746</v>
      </c>
      <c r="R74" s="50">
        <v>-2.5669999999999998E-3</v>
      </c>
      <c r="S74" s="50">
        <v>9.7205999999999996E-4</v>
      </c>
      <c r="T74">
        <v>-2.6408</v>
      </c>
      <c r="U74">
        <v>8.2708999999999994E-3</v>
      </c>
      <c r="W74" t="str">
        <f t="shared" si="4"/>
        <v>***</v>
      </c>
    </row>
    <row r="75" spans="16:23" x14ac:dyDescent="0.25">
      <c r="P75">
        <v>74</v>
      </c>
      <c r="Q75" t="s">
        <v>747</v>
      </c>
      <c r="R75" s="50">
        <v>0.11020000000000001</v>
      </c>
      <c r="S75" s="50">
        <v>1.1818E-2</v>
      </c>
      <c r="T75">
        <v>9.3249999999999993</v>
      </c>
      <c r="U75" s="50">
        <v>2.2E-16</v>
      </c>
      <c r="W75" t="str">
        <f t="shared" si="4"/>
        <v>***</v>
      </c>
    </row>
    <row r="76" spans="16:23" x14ac:dyDescent="0.25">
      <c r="P76">
        <v>75</v>
      </c>
      <c r="Q76" t="s">
        <v>748</v>
      </c>
      <c r="R76" s="50">
        <v>-3.2071999999999999E-3</v>
      </c>
      <c r="S76" s="50">
        <v>9.7128999999999993E-2</v>
      </c>
      <c r="T76">
        <v>-3.3000000000000002E-2</v>
      </c>
      <c r="U76">
        <v>0.97365829999999998</v>
      </c>
      <c r="W76" t="str">
        <f t="shared" si="4"/>
        <v/>
      </c>
    </row>
    <row r="77" spans="16:23" x14ac:dyDescent="0.25">
      <c r="P77">
        <v>76</v>
      </c>
      <c r="Q77" t="s">
        <v>749</v>
      </c>
      <c r="R77" s="50">
        <v>-2.9448999999999999E-2</v>
      </c>
      <c r="S77" s="50">
        <v>1.1165E-2</v>
      </c>
      <c r="T77">
        <v>-2.6377000000000002</v>
      </c>
      <c r="U77">
        <v>8.3465999999999992E-3</v>
      </c>
      <c r="W77" t="str">
        <f t="shared" si="4"/>
        <v>***</v>
      </c>
    </row>
    <row r="78" spans="16:23" x14ac:dyDescent="0.25">
      <c r="P78">
        <v>77</v>
      </c>
      <c r="Q78" t="s">
        <v>750</v>
      </c>
      <c r="R78" s="50">
        <v>-3.7713000000000003E-2</v>
      </c>
      <c r="S78" s="50">
        <v>1.0970000000000001E-2</v>
      </c>
      <c r="T78">
        <v>-3.4378000000000002</v>
      </c>
      <c r="U78">
        <v>5.865E-4</v>
      </c>
      <c r="W78" t="str">
        <f t="shared" si="4"/>
        <v>***</v>
      </c>
    </row>
    <row r="79" spans="16:23" x14ac:dyDescent="0.25">
      <c r="P79">
        <v>78</v>
      </c>
      <c r="Q79" t="s">
        <v>751</v>
      </c>
      <c r="R79" s="50">
        <v>1.4113000000000001E-2</v>
      </c>
      <c r="S79" s="50">
        <v>2.6291999999999999E-2</v>
      </c>
      <c r="T79">
        <v>0.53680000000000005</v>
      </c>
      <c r="U79">
        <v>0.59140329999999997</v>
      </c>
      <c r="W79" t="str">
        <f t="shared" si="4"/>
        <v/>
      </c>
    </row>
    <row r="80" spans="16:23" x14ac:dyDescent="0.25">
      <c r="P80">
        <v>79</v>
      </c>
      <c r="Q80" t="s">
        <v>752</v>
      </c>
      <c r="R80" s="50">
        <v>-9.5525000000000002E-3</v>
      </c>
      <c r="S80" s="50">
        <v>1.9078000000000001E-2</v>
      </c>
      <c r="T80">
        <v>-0.50070000000000003</v>
      </c>
      <c r="U80">
        <v>0.61658520000000006</v>
      </c>
      <c r="W80" t="str">
        <f t="shared" si="4"/>
        <v/>
      </c>
    </row>
    <row r="81" spans="16:23" x14ac:dyDescent="0.25">
      <c r="P81">
        <v>80</v>
      </c>
      <c r="Q81" t="s">
        <v>753</v>
      </c>
      <c r="R81" s="50">
        <v>3.8995000000000002E-2</v>
      </c>
      <c r="S81" s="50">
        <v>2.8799999999999999E-2</v>
      </c>
      <c r="T81">
        <v>1.3540000000000001</v>
      </c>
      <c r="U81">
        <v>0.1757378</v>
      </c>
      <c r="W81" t="str">
        <f t="shared" si="4"/>
        <v/>
      </c>
    </row>
    <row r="82" spans="16:23" x14ac:dyDescent="0.25">
      <c r="P82">
        <v>81</v>
      </c>
      <c r="Q82" t="s">
        <v>754</v>
      </c>
      <c r="R82" s="50">
        <v>4.9602E-2</v>
      </c>
      <c r="S82" s="50">
        <v>1.3109000000000001E-2</v>
      </c>
      <c r="T82">
        <v>3.7837000000000001</v>
      </c>
      <c r="U82">
        <v>1.5449999999999999E-4</v>
      </c>
      <c r="W82" t="str">
        <f t="shared" si="4"/>
        <v>***</v>
      </c>
    </row>
    <row r="83" spans="16:23" x14ac:dyDescent="0.25">
      <c r="P83">
        <v>82</v>
      </c>
      <c r="Q83" t="s">
        <v>755</v>
      </c>
      <c r="R83" s="50">
        <v>4.8941999999999999E-2</v>
      </c>
      <c r="S83" s="50">
        <v>1.3691E-2</v>
      </c>
      <c r="T83">
        <v>3.5749</v>
      </c>
      <c r="U83">
        <v>3.5040000000000001E-4</v>
      </c>
      <c r="W83" t="str">
        <f t="shared" si="4"/>
        <v>***</v>
      </c>
    </row>
    <row r="84" spans="16:23" x14ac:dyDescent="0.25">
      <c r="P84">
        <v>83</v>
      </c>
      <c r="Q84" t="s">
        <v>756</v>
      </c>
      <c r="R84" s="50">
        <v>6.0545000000000002E-2</v>
      </c>
      <c r="S84" s="50">
        <v>1.3158E-2</v>
      </c>
      <c r="T84">
        <v>4.6013000000000002</v>
      </c>
      <c r="U84" s="50">
        <v>4.1980000000000003E-6</v>
      </c>
      <c r="W84" t="str">
        <f t="shared" si="4"/>
        <v>***</v>
      </c>
    </row>
    <row r="85" spans="16:23" x14ac:dyDescent="0.25">
      <c r="P85">
        <v>84</v>
      </c>
      <c r="Q85" t="s">
        <v>757</v>
      </c>
      <c r="R85" s="50">
        <v>5.6022000000000002E-2</v>
      </c>
      <c r="S85" s="50">
        <v>1.1736E-2</v>
      </c>
      <c r="T85">
        <v>4.7736999999999998</v>
      </c>
      <c r="U85" s="50">
        <v>1.8080000000000001E-6</v>
      </c>
      <c r="W85" t="str">
        <f t="shared" si="4"/>
        <v>***</v>
      </c>
    </row>
    <row r="86" spans="16:23" x14ac:dyDescent="0.25">
      <c r="P86">
        <v>85</v>
      </c>
      <c r="Q86" t="s">
        <v>759</v>
      </c>
      <c r="R86" s="50">
        <v>5.5875000000000001E-2</v>
      </c>
      <c r="S86" s="50">
        <v>1.0283E-2</v>
      </c>
      <c r="T86">
        <v>5.4335000000000004</v>
      </c>
      <c r="U86" s="50">
        <v>5.526E-8</v>
      </c>
      <c r="W86" t="str">
        <f t="shared" si="4"/>
        <v>***</v>
      </c>
    </row>
    <row r="87" spans="16:23" x14ac:dyDescent="0.25">
      <c r="P87">
        <v>86</v>
      </c>
      <c r="Q87" t="s">
        <v>760</v>
      </c>
      <c r="R87" s="50">
        <v>-9.3804999999999999E-2</v>
      </c>
      <c r="S87" s="50">
        <v>4.6378000000000003E-2</v>
      </c>
      <c r="T87">
        <v>-2.0226000000000002</v>
      </c>
      <c r="U87">
        <v>4.3111400000000001E-2</v>
      </c>
      <c r="W87" t="str">
        <f t="shared" si="4"/>
        <v>**</v>
      </c>
    </row>
    <row r="88" spans="16:23" x14ac:dyDescent="0.25">
      <c r="P88">
        <v>87</v>
      </c>
      <c r="Q88" t="s">
        <v>761</v>
      </c>
      <c r="R88" s="50">
        <v>-0.43535000000000001</v>
      </c>
      <c r="S88" s="50">
        <v>0.15765999999999999</v>
      </c>
      <c r="T88">
        <v>-2.7612999999999999</v>
      </c>
      <c r="U88">
        <v>5.7571999999999996E-3</v>
      </c>
      <c r="W88" t="str">
        <f t="shared" si="4"/>
        <v>***</v>
      </c>
    </row>
    <row r="89" spans="16:23" x14ac:dyDescent="0.25">
      <c r="P89">
        <v>88</v>
      </c>
      <c r="Q89" t="s">
        <v>762</v>
      </c>
      <c r="R89" s="50">
        <v>-2.6381000000000002E-2</v>
      </c>
      <c r="S89" s="50">
        <v>1.4342000000000001E-2</v>
      </c>
      <c r="T89">
        <v>-1.8393999999999999</v>
      </c>
      <c r="U89">
        <v>6.5858E-2</v>
      </c>
      <c r="W89" t="str">
        <f t="shared" si="4"/>
        <v>*</v>
      </c>
    </row>
    <row r="90" spans="16:23" x14ac:dyDescent="0.25">
      <c r="P90">
        <v>89</v>
      </c>
      <c r="Q90" t="s">
        <v>763</v>
      </c>
      <c r="R90" s="50">
        <v>9.8648E-3</v>
      </c>
      <c r="S90" s="50">
        <v>1.0407E-2</v>
      </c>
      <c r="T90">
        <v>0.94789999999999996</v>
      </c>
      <c r="U90">
        <v>0.34318579999999999</v>
      </c>
      <c r="W90" t="str">
        <f t="shared" si="4"/>
        <v/>
      </c>
    </row>
    <row r="91" spans="16:23" x14ac:dyDescent="0.25">
      <c r="P91">
        <v>90</v>
      </c>
      <c r="Q91" t="s">
        <v>764</v>
      </c>
      <c r="R91" s="50">
        <v>-2.554E-2</v>
      </c>
      <c r="S91" s="50">
        <v>1.0881999999999999E-2</v>
      </c>
      <c r="T91">
        <v>-2.3469000000000002</v>
      </c>
      <c r="U91">
        <v>1.89293E-2</v>
      </c>
      <c r="W91" t="str">
        <f t="shared" si="4"/>
        <v>**</v>
      </c>
    </row>
    <row r="92" spans="16:23" x14ac:dyDescent="0.25">
      <c r="P92">
        <v>91</v>
      </c>
      <c r="Q92" t="s">
        <v>765</v>
      </c>
      <c r="R92" s="50">
        <v>-3.4522999999999998E-2</v>
      </c>
      <c r="S92" s="50">
        <v>1.9514E-2</v>
      </c>
      <c r="T92">
        <v>-1.7690999999999999</v>
      </c>
      <c r="U92">
        <v>7.68813E-2</v>
      </c>
      <c r="W92" t="str">
        <f t="shared" si="4"/>
        <v>*</v>
      </c>
    </row>
    <row r="93" spans="16:23" x14ac:dyDescent="0.25">
      <c r="P93">
        <v>92</v>
      </c>
      <c r="Q93" t="s">
        <v>766</v>
      </c>
      <c r="R93" s="50">
        <v>2.3300999999999999E-3</v>
      </c>
      <c r="S93" s="50">
        <v>1.2633999999999999E-2</v>
      </c>
      <c r="T93">
        <v>0.18440000000000001</v>
      </c>
      <c r="U93">
        <v>0.85367910000000002</v>
      </c>
      <c r="W93" t="str">
        <f t="shared" si="4"/>
        <v/>
      </c>
    </row>
    <row r="94" spans="16:23" x14ac:dyDescent="0.25">
      <c r="P94">
        <v>93</v>
      </c>
      <c r="Q94" t="s">
        <v>767</v>
      </c>
      <c r="R94" s="50">
        <v>-1.3772E-2</v>
      </c>
      <c r="S94" s="50">
        <v>2.4337999999999999E-2</v>
      </c>
      <c r="T94">
        <v>-0.56579999999999997</v>
      </c>
      <c r="U94">
        <v>0.57149850000000002</v>
      </c>
      <c r="W94" t="str">
        <f t="shared" si="4"/>
        <v/>
      </c>
    </row>
    <row r="95" spans="16:23" x14ac:dyDescent="0.25">
      <c r="P95">
        <v>94</v>
      </c>
      <c r="Q95" t="s">
        <v>768</v>
      </c>
      <c r="R95" s="50">
        <v>-0.15589</v>
      </c>
      <c r="S95" s="50">
        <v>9.3871000000000007E-3</v>
      </c>
      <c r="T95">
        <v>-16.607099999999999</v>
      </c>
      <c r="U95" s="50">
        <v>2.2E-16</v>
      </c>
      <c r="W95" t="str">
        <f t="shared" si="4"/>
        <v>***</v>
      </c>
    </row>
    <row r="96" spans="16:23" x14ac:dyDescent="0.25">
      <c r="P96">
        <v>95</v>
      </c>
      <c r="Q96" t="s">
        <v>769</v>
      </c>
      <c r="R96" s="50">
        <v>-0.192</v>
      </c>
      <c r="S96" s="50">
        <v>1.1091999999999999E-2</v>
      </c>
      <c r="T96">
        <v>-17.309699999999999</v>
      </c>
      <c r="U96" s="50">
        <v>2.2E-16</v>
      </c>
      <c r="W96" t="str">
        <f t="shared" si="4"/>
        <v>***</v>
      </c>
    </row>
    <row r="97" spans="16:23" x14ac:dyDescent="0.25">
      <c r="P97">
        <v>96</v>
      </c>
      <c r="Q97" t="s">
        <v>770</v>
      </c>
      <c r="R97" s="50">
        <v>-9.0883000000000005E-2</v>
      </c>
      <c r="S97" s="50">
        <v>3.6142000000000001E-2</v>
      </c>
      <c r="T97">
        <v>-2.5146000000000002</v>
      </c>
      <c r="U97">
        <v>1.1915200000000001E-2</v>
      </c>
      <c r="W97" t="str">
        <f t="shared" si="4"/>
        <v>**</v>
      </c>
    </row>
    <row r="98" spans="16:23" x14ac:dyDescent="0.25">
      <c r="P98">
        <v>97</v>
      </c>
      <c r="Q98" t="s">
        <v>771</v>
      </c>
      <c r="R98" s="50">
        <v>-0.25585000000000002</v>
      </c>
      <c r="S98" s="50">
        <v>3.124E-2</v>
      </c>
      <c r="T98">
        <v>-8.1898</v>
      </c>
      <c r="U98" s="50">
        <v>2.2200000000000001E-16</v>
      </c>
      <c r="W98" t="str">
        <f t="shared" si="4"/>
        <v>***</v>
      </c>
    </row>
    <row r="99" spans="16:23" x14ac:dyDescent="0.25">
      <c r="P99">
        <v>98</v>
      </c>
      <c r="Q99" t="s">
        <v>772</v>
      </c>
      <c r="R99" s="50">
        <v>-0.62336999999999998</v>
      </c>
      <c r="S99" s="50">
        <v>0.13885</v>
      </c>
      <c r="T99">
        <v>-4.4894999999999996</v>
      </c>
      <c r="U99" s="50">
        <v>7.1400000000000002E-6</v>
      </c>
      <c r="W99" t="str">
        <f t="shared" si="4"/>
        <v>***</v>
      </c>
    </row>
    <row r="100" spans="16:23" x14ac:dyDescent="0.25">
      <c r="P100">
        <v>99</v>
      </c>
      <c r="Q100" t="s">
        <v>773</v>
      </c>
      <c r="R100" s="50">
        <v>4.1914000000000002E-6</v>
      </c>
      <c r="S100" s="50">
        <v>5.0992999999999998E-5</v>
      </c>
      <c r="T100">
        <v>8.2199999999999995E-2</v>
      </c>
      <c r="U100">
        <v>0.93449190000000004</v>
      </c>
      <c r="W100" t="str">
        <f t="shared" si="4"/>
        <v/>
      </c>
    </row>
    <row r="101" spans="16:23" x14ac:dyDescent="0.25">
      <c r="P101">
        <v>100</v>
      </c>
      <c r="Q101" t="s">
        <v>774</v>
      </c>
      <c r="R101" s="50">
        <v>-3.6021999999999998E-2</v>
      </c>
      <c r="S101" s="50">
        <v>9.0805999999999994E-3</v>
      </c>
      <c r="T101">
        <v>-3.9668999999999999</v>
      </c>
      <c r="U101" s="50">
        <v>7.2830000000000006E-5</v>
      </c>
      <c r="W101" t="str">
        <f t="shared" si="4"/>
        <v>***</v>
      </c>
    </row>
    <row r="102" spans="16:23" x14ac:dyDescent="0.25">
      <c r="P102">
        <v>101</v>
      </c>
      <c r="Q102" t="s">
        <v>775</v>
      </c>
      <c r="R102" s="50">
        <v>7.4524999999999999E-3</v>
      </c>
      <c r="S102" s="50">
        <v>1.8178999999999999E-3</v>
      </c>
      <c r="T102">
        <v>4.0994999999999999</v>
      </c>
      <c r="U102" s="50">
        <v>4.1399999999999997E-5</v>
      </c>
      <c r="W102" t="str">
        <f t="shared" si="4"/>
        <v>***</v>
      </c>
    </row>
    <row r="103" spans="16:23" x14ac:dyDescent="0.25">
      <c r="P103">
        <v>102</v>
      </c>
      <c r="Q103" t="s">
        <v>776</v>
      </c>
      <c r="R103" s="50">
        <v>1.5589E-3</v>
      </c>
      <c r="S103" s="50">
        <v>1.7821E-2</v>
      </c>
      <c r="T103">
        <v>8.7499999999999994E-2</v>
      </c>
      <c r="U103">
        <v>0.9302935</v>
      </c>
      <c r="W103" t="str">
        <f t="shared" si="4"/>
        <v/>
      </c>
    </row>
    <row r="104" spans="16:23" x14ac:dyDescent="0.25">
      <c r="P104">
        <v>103</v>
      </c>
      <c r="Q104" t="s">
        <v>777</v>
      </c>
      <c r="R104" s="50">
        <v>-3.9288999999999998E-2</v>
      </c>
      <c r="S104" s="50">
        <v>3.0058999999999999E-2</v>
      </c>
      <c r="T104">
        <v>-1.3070999999999999</v>
      </c>
      <c r="U104">
        <v>0.1911957</v>
      </c>
      <c r="W104" t="str">
        <f t="shared" si="4"/>
        <v/>
      </c>
    </row>
    <row r="105" spans="16:23" x14ac:dyDescent="0.25">
      <c r="P105">
        <v>104</v>
      </c>
      <c r="Q105" t="s">
        <v>778</v>
      </c>
      <c r="R105" s="50">
        <v>6.8013000000000004E-2</v>
      </c>
      <c r="S105" s="50">
        <v>1.3278E-2</v>
      </c>
      <c r="T105">
        <v>5.1223999999999998</v>
      </c>
      <c r="U105" s="50">
        <v>3.016E-7</v>
      </c>
      <c r="W105" t="str">
        <f t="shared" si="4"/>
        <v>***</v>
      </c>
    </row>
    <row r="106" spans="16:23" x14ac:dyDescent="0.25">
      <c r="P106">
        <v>105</v>
      </c>
      <c r="Q106" t="s">
        <v>779</v>
      </c>
      <c r="R106" s="50">
        <v>-1.9786999999999999E-2</v>
      </c>
      <c r="S106" s="50">
        <v>1.1662E-2</v>
      </c>
      <c r="T106">
        <v>-1.6967000000000001</v>
      </c>
      <c r="U106">
        <v>8.9745500000000006E-2</v>
      </c>
      <c r="W106" t="str">
        <f t="shared" si="4"/>
        <v>*</v>
      </c>
    </row>
    <row r="107" spans="16:23" x14ac:dyDescent="0.25">
      <c r="P107">
        <v>106</v>
      </c>
      <c r="Q107" t="s">
        <v>780</v>
      </c>
      <c r="R107" s="50">
        <v>-2.2683999999999999E-2</v>
      </c>
      <c r="S107" s="50">
        <v>1.3686E-2</v>
      </c>
      <c r="T107">
        <v>-1.6574</v>
      </c>
      <c r="U107">
        <v>9.7429299999999996E-2</v>
      </c>
      <c r="W107" t="str">
        <f t="shared" si="4"/>
        <v>*</v>
      </c>
    </row>
    <row r="108" spans="16:23" x14ac:dyDescent="0.25">
      <c r="P108">
        <v>107</v>
      </c>
      <c r="Q108" t="s">
        <v>781</v>
      </c>
      <c r="R108" s="50">
        <v>-1.0059E-2</v>
      </c>
      <c r="S108" s="50">
        <v>1.1176E-2</v>
      </c>
      <c r="T108">
        <v>-0.9</v>
      </c>
      <c r="U108">
        <v>0.36809720000000001</v>
      </c>
      <c r="W108" t="str">
        <f t="shared" si="4"/>
        <v/>
      </c>
    </row>
    <row r="109" spans="16:23" x14ac:dyDescent="0.25">
      <c r="P109">
        <v>108</v>
      </c>
      <c r="Q109" t="s">
        <v>782</v>
      </c>
      <c r="R109" s="50">
        <v>-5.9118999999999998E-2</v>
      </c>
      <c r="S109" s="50">
        <v>1.0973E-2</v>
      </c>
      <c r="T109">
        <v>-5.3875000000000002</v>
      </c>
      <c r="U109" s="50">
        <v>7.142E-8</v>
      </c>
      <c r="W109" t="str">
        <f t="shared" si="4"/>
        <v>***</v>
      </c>
    </row>
    <row r="110" spans="16:23" x14ac:dyDescent="0.25">
      <c r="P110">
        <v>109</v>
      </c>
      <c r="Q110" t="s">
        <v>783</v>
      </c>
      <c r="R110" s="50">
        <v>-0.24746000000000001</v>
      </c>
      <c r="S110" s="50">
        <v>5.7326000000000002E-2</v>
      </c>
      <c r="T110">
        <v>-4.3167999999999997</v>
      </c>
      <c r="U110" s="50">
        <v>1.5829999999999999E-5</v>
      </c>
      <c r="W110" t="str">
        <f t="shared" si="4"/>
        <v>***</v>
      </c>
    </row>
    <row r="111" spans="16:23" x14ac:dyDescent="0.25">
      <c r="P111">
        <v>110</v>
      </c>
      <c r="Q111" t="s">
        <v>784</v>
      </c>
      <c r="R111" s="50">
        <v>-1.295E-2</v>
      </c>
      <c r="S111" s="50">
        <v>1.6437E-2</v>
      </c>
      <c r="T111">
        <v>-0.78779999999999994</v>
      </c>
      <c r="U111">
        <v>0.4307877</v>
      </c>
      <c r="W111" t="str">
        <f t="shared" si="4"/>
        <v/>
      </c>
    </row>
    <row r="112" spans="16:23" x14ac:dyDescent="0.25">
      <c r="P112">
        <v>111</v>
      </c>
      <c r="Q112" t="s">
        <v>785</v>
      </c>
      <c r="R112" s="50">
        <v>-4.6496000000000003E-2</v>
      </c>
      <c r="S112" s="50">
        <v>3.1766999999999997E-2</v>
      </c>
      <c r="T112">
        <v>-1.4637</v>
      </c>
      <c r="U112">
        <v>0.14328879999999999</v>
      </c>
      <c r="W112" t="str">
        <f t="shared" si="4"/>
        <v/>
      </c>
    </row>
    <row r="113" spans="16:23" x14ac:dyDescent="0.25">
      <c r="P113">
        <v>112</v>
      </c>
      <c r="Q113" t="s">
        <v>786</v>
      </c>
      <c r="R113" s="50">
        <v>0.12343999999999999</v>
      </c>
      <c r="S113" s="50">
        <v>1.4274999999999999E-2</v>
      </c>
      <c r="T113">
        <v>8.6473999999999993</v>
      </c>
      <c r="U113" s="50">
        <v>2.2E-16</v>
      </c>
      <c r="W113" t="str">
        <f t="shared" si="4"/>
        <v>***</v>
      </c>
    </row>
    <row r="114" spans="16:23" x14ac:dyDescent="0.25">
      <c r="P114">
        <v>113</v>
      </c>
      <c r="Q114" t="s">
        <v>787</v>
      </c>
      <c r="R114" s="50">
        <v>2.069E-2</v>
      </c>
      <c r="S114" s="50">
        <v>2.0338999999999999E-2</v>
      </c>
      <c r="T114">
        <v>1.0173000000000001</v>
      </c>
      <c r="U114">
        <v>0.30903009999999997</v>
      </c>
      <c r="W114" t="str">
        <f t="shared" si="4"/>
        <v/>
      </c>
    </row>
    <row r="115" spans="16:23" x14ac:dyDescent="0.25">
      <c r="P115">
        <v>114</v>
      </c>
      <c r="W115" t="str">
        <f t="shared" si="4"/>
        <v>***</v>
      </c>
    </row>
    <row r="116" spans="16:23" x14ac:dyDescent="0.25">
      <c r="P116">
        <v>115</v>
      </c>
      <c r="W116" t="str">
        <f t="shared" si="4"/>
        <v>***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64E07-4165-40AB-8E5E-9A60FB1D1E7B}">
  <dimension ref="A1:W116"/>
  <sheetViews>
    <sheetView workbookViewId="0">
      <selection activeCell="L64" sqref="L64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0.5703125" bestFit="1" customWidth="1"/>
    <col min="4" max="4" width="11.42578125" bestFit="1" customWidth="1"/>
    <col min="5" max="5" width="12.7109375" bestFit="1" customWidth="1"/>
    <col min="6" max="6" width="13.140625" bestFit="1" customWidth="1"/>
    <col min="7" max="7" width="9.28515625" bestFit="1" customWidth="1"/>
    <col min="8" max="8" width="10.5703125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0">
        <v>4.0837230000000002E-2</v>
      </c>
      <c r="D2" s="50">
        <v>2.3339359999999999E-5</v>
      </c>
      <c r="E2">
        <v>8.0389234399999995E-2</v>
      </c>
      <c r="F2" s="50">
        <v>0.66870560000000001</v>
      </c>
      <c r="G2" s="50">
        <v>0.1212265</v>
      </c>
      <c r="H2" s="50">
        <v>0.52361170000000001</v>
      </c>
      <c r="J2" t="str">
        <f>IF(D2&lt;0.01,"***",IF(D2&lt;0.05,"**",IF(D2&lt;0.1,"*","")))</f>
        <v>***</v>
      </c>
      <c r="L2" t="str">
        <f>IF(F2&lt;0.01,"***",IF(F2&lt;0.05,"**",IF(F2&lt;0.1,"*","")))</f>
        <v/>
      </c>
      <c r="N2" t="str">
        <f>IF(H2&lt;0.01,"***",IF(H2&lt;0.05,"**",IF(H2&lt;0.1,"*","")))</f>
        <v/>
      </c>
      <c r="P2">
        <v>1</v>
      </c>
      <c r="Q2" t="s">
        <v>273</v>
      </c>
      <c r="R2" s="50">
        <v>2.7509999999999999</v>
      </c>
      <c r="S2" s="50">
        <v>0.12331</v>
      </c>
      <c r="T2">
        <v>22.310600000000001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0">
        <v>-1.332424E-4</v>
      </c>
      <c r="D3" s="50">
        <v>3.5959599999999997E-8</v>
      </c>
      <c r="E3">
        <v>9.5945690000000001E-4</v>
      </c>
      <c r="F3" s="50">
        <v>1.9309300000000001E-2</v>
      </c>
      <c r="G3" s="50">
        <v>8.2621449999999998E-4</v>
      </c>
      <c r="H3" s="50">
        <v>5.0771690000000001E-2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**</v>
      </c>
      <c r="N3" t="str">
        <f t="shared" ref="N3:N58" si="2">IF(H3&lt;0.01,"***",IF(H3&lt;0.05,"**",IF(H3&lt;0.1,"*","")))</f>
        <v>*</v>
      </c>
      <c r="P3">
        <v>2</v>
      </c>
      <c r="Q3" t="s">
        <v>11</v>
      </c>
      <c r="R3" s="50">
        <v>3.9206999999999999E-2</v>
      </c>
      <c r="S3" s="50">
        <v>8.3137000000000003E-3</v>
      </c>
      <c r="T3">
        <v>4.7159000000000004</v>
      </c>
      <c r="U3" s="50">
        <v>2.4059999999999999E-6</v>
      </c>
      <c r="W3" t="str">
        <f t="shared" ref="W3:W66" si="3">IF(U3&lt;0.01,"***",IF(U3&lt;0.05,"**",IF(U3&lt;0.1,"*","")))</f>
        <v>***</v>
      </c>
    </row>
    <row r="4" spans="1:23" x14ac:dyDescent="0.25">
      <c r="A4">
        <v>3</v>
      </c>
      <c r="B4" t="s">
        <v>197</v>
      </c>
      <c r="C4" s="50">
        <v>2.140603E-2</v>
      </c>
      <c r="D4" s="50">
        <v>2.1630789999999999E-5</v>
      </c>
      <c r="E4">
        <v>0.18410200460000001</v>
      </c>
      <c r="F4" s="50">
        <v>4.2071339999999999E-2</v>
      </c>
      <c r="G4" s="50">
        <v>0.205508</v>
      </c>
      <c r="H4" s="50">
        <v>2.7681750000000001E-2</v>
      </c>
      <c r="J4" t="str">
        <f t="shared" si="0"/>
        <v>***</v>
      </c>
      <c r="L4" t="str">
        <f t="shared" si="1"/>
        <v>**</v>
      </c>
      <c r="N4" t="str">
        <f t="shared" si="2"/>
        <v>**</v>
      </c>
      <c r="P4">
        <v>3</v>
      </c>
      <c r="Q4" t="s">
        <v>16</v>
      </c>
      <c r="R4" s="50">
        <v>-1.527E-4</v>
      </c>
      <c r="S4" s="50">
        <v>2.1115E-5</v>
      </c>
      <c r="T4">
        <v>-7.2319000000000004</v>
      </c>
      <c r="U4" s="50">
        <v>4.7650000000000004E-13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0">
        <v>3.1874340000000001E-2</v>
      </c>
      <c r="D5" s="50">
        <v>3.3355449999999999E-10</v>
      </c>
      <c r="E5">
        <v>7.0785612999999997E-2</v>
      </c>
      <c r="F5" s="50">
        <v>0.44958110000000001</v>
      </c>
      <c r="G5" s="50">
        <v>0.10266</v>
      </c>
      <c r="H5" s="50">
        <v>0.29077560000000002</v>
      </c>
      <c r="J5" t="str">
        <f t="shared" si="0"/>
        <v>***</v>
      </c>
      <c r="L5" t="str">
        <f t="shared" si="1"/>
        <v/>
      </c>
      <c r="N5" t="str">
        <f t="shared" si="2"/>
        <v/>
      </c>
      <c r="P5">
        <v>4</v>
      </c>
      <c r="Q5" t="s">
        <v>197</v>
      </c>
      <c r="R5" s="50">
        <v>1.7672E-2</v>
      </c>
      <c r="S5" s="50">
        <v>4.2985999999999996E-3</v>
      </c>
      <c r="T5">
        <v>4.1112000000000002</v>
      </c>
      <c r="U5" s="50">
        <v>3.9360000000000003E-5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0">
        <v>1.053523E-2</v>
      </c>
      <c r="D6" s="50">
        <v>3.306659E-2</v>
      </c>
      <c r="E6">
        <v>4.9232940400000001E-2</v>
      </c>
      <c r="F6" s="50">
        <v>0.58620039999999995</v>
      </c>
      <c r="G6" s="50">
        <v>5.9768179999999997E-2</v>
      </c>
      <c r="H6" s="50">
        <v>0.52271699999999999</v>
      </c>
      <c r="J6" t="str">
        <f t="shared" si="0"/>
        <v>**</v>
      </c>
      <c r="L6" t="str">
        <f t="shared" si="1"/>
        <v/>
      </c>
      <c r="N6" t="str">
        <f t="shared" si="2"/>
        <v/>
      </c>
      <c r="P6">
        <v>5</v>
      </c>
      <c r="Q6" t="s">
        <v>200</v>
      </c>
      <c r="R6" s="50">
        <v>3.0439000000000001E-2</v>
      </c>
      <c r="S6" s="50">
        <v>4.3543000000000002E-3</v>
      </c>
      <c r="T6">
        <v>6.9904999999999999</v>
      </c>
      <c r="U6" s="50">
        <v>2.7389999999999999E-12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0">
        <v>-4.407691E-3</v>
      </c>
      <c r="D7" s="50">
        <v>0.65696350000000003</v>
      </c>
      <c r="E7">
        <v>-5.2923569699999999E-2</v>
      </c>
      <c r="F7" s="50">
        <v>0.78874080000000002</v>
      </c>
      <c r="G7" s="50">
        <v>-5.7331260000000002E-2</v>
      </c>
      <c r="H7" s="50">
        <v>0.77717409999999998</v>
      </c>
      <c r="J7" t="str">
        <f t="shared" si="0"/>
        <v/>
      </c>
      <c r="L7" t="str">
        <f t="shared" si="1"/>
        <v/>
      </c>
      <c r="N7" t="str">
        <f t="shared" si="2"/>
        <v/>
      </c>
      <c r="P7">
        <v>6</v>
      </c>
      <c r="Q7" t="s">
        <v>204</v>
      </c>
      <c r="R7" s="50">
        <v>9.5367000000000004E-3</v>
      </c>
      <c r="S7" s="50">
        <v>4.2348999999999998E-3</v>
      </c>
      <c r="T7">
        <v>2.2519</v>
      </c>
      <c r="U7">
        <v>2.4326400000000001E-2</v>
      </c>
      <c r="W7" t="str">
        <f t="shared" si="3"/>
        <v>**</v>
      </c>
    </row>
    <row r="8" spans="1:23" x14ac:dyDescent="0.25">
      <c r="A8">
        <v>7</v>
      </c>
      <c r="B8" t="s">
        <v>207</v>
      </c>
      <c r="C8" s="50">
        <v>0.11890439999999999</v>
      </c>
      <c r="D8" s="50">
        <v>0</v>
      </c>
      <c r="E8">
        <v>-8.0629594999999995E-3</v>
      </c>
      <c r="F8" s="50">
        <v>0.99305129999999997</v>
      </c>
      <c r="G8" s="50">
        <v>0.1108415</v>
      </c>
      <c r="H8" s="50">
        <v>0.56744340000000004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-3.3344E-3</v>
      </c>
      <c r="S8" s="50">
        <v>8.3952000000000002E-3</v>
      </c>
      <c r="T8">
        <v>-0.3972</v>
      </c>
      <c r="U8">
        <v>0.69123760000000001</v>
      </c>
      <c r="W8" t="str">
        <f t="shared" si="3"/>
        <v/>
      </c>
    </row>
    <row r="9" spans="1:23" x14ac:dyDescent="0.25">
      <c r="A9">
        <v>8</v>
      </c>
      <c r="B9" t="s">
        <v>209</v>
      </c>
      <c r="C9" s="50">
        <v>0.17000460000000001</v>
      </c>
      <c r="D9" s="50">
        <v>0</v>
      </c>
      <c r="E9">
        <v>-3.9103004000000004E-3</v>
      </c>
      <c r="F9" s="50">
        <v>0.99679209999999996</v>
      </c>
      <c r="G9" s="50">
        <v>0.1660943</v>
      </c>
      <c r="H9" s="50">
        <v>0.41507660000000002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0.11907</v>
      </c>
      <c r="S9" s="50">
        <v>9.2326000000000005E-3</v>
      </c>
      <c r="T9">
        <v>12.8964</v>
      </c>
      <c r="U9" s="50">
        <v>2.2E-16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0">
        <v>0.1576371</v>
      </c>
      <c r="D10" s="50">
        <v>2.2204459999999999E-16</v>
      </c>
      <c r="E10">
        <v>-4.0955340999999999E-2</v>
      </c>
      <c r="F10" s="50">
        <v>0.92787330000000001</v>
      </c>
      <c r="G10" s="50">
        <v>0.1166817</v>
      </c>
      <c r="H10" s="50">
        <v>0.73059689999999999</v>
      </c>
      <c r="J10" t="str">
        <f t="shared" si="0"/>
        <v>***</v>
      </c>
      <c r="L10" t="str">
        <f t="shared" si="1"/>
        <v/>
      </c>
      <c r="N10" t="str">
        <f t="shared" si="2"/>
        <v/>
      </c>
      <c r="P10">
        <v>9</v>
      </c>
      <c r="Q10" t="s">
        <v>209</v>
      </c>
      <c r="R10" s="50">
        <v>0.17008000000000001</v>
      </c>
      <c r="S10" s="50">
        <v>9.4026999999999999E-3</v>
      </c>
      <c r="T10">
        <v>18.088699999999999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0">
        <v>-1.258739E-3</v>
      </c>
      <c r="D11" s="50">
        <v>0.3388391</v>
      </c>
      <c r="E11">
        <v>-0.150548188</v>
      </c>
      <c r="F11" s="50">
        <v>0</v>
      </c>
      <c r="G11" s="50">
        <v>-0.15180689999999999</v>
      </c>
      <c r="H11" s="50">
        <v>0</v>
      </c>
      <c r="J11" t="str">
        <f t="shared" si="0"/>
        <v/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0.15847</v>
      </c>
      <c r="S11" s="50">
        <v>1.6449999999999999E-2</v>
      </c>
      <c r="T11">
        <v>9.6331000000000007</v>
      </c>
      <c r="U11" s="50">
        <v>2.2E-16</v>
      </c>
      <c r="W11" t="str">
        <f t="shared" si="3"/>
        <v>***</v>
      </c>
    </row>
    <row r="12" spans="1:23" x14ac:dyDescent="0.25">
      <c r="A12">
        <v>11</v>
      </c>
      <c r="B12" t="s">
        <v>13</v>
      </c>
      <c r="C12" s="50">
        <v>4.302404E-2</v>
      </c>
      <c r="D12" s="50">
        <v>0</v>
      </c>
      <c r="E12">
        <v>0.11694674369999999</v>
      </c>
      <c r="F12" s="50">
        <v>2.25596E-4</v>
      </c>
      <c r="G12" s="50">
        <v>0.1599708</v>
      </c>
      <c r="H12" s="50">
        <v>9.3448290000000003E-7</v>
      </c>
      <c r="J12" t="str">
        <f t="shared" si="0"/>
        <v>***</v>
      </c>
      <c r="L12" t="str">
        <f t="shared" si="1"/>
        <v>***</v>
      </c>
      <c r="N12" t="str">
        <f t="shared" si="2"/>
        <v>***</v>
      </c>
      <c r="P12">
        <v>11</v>
      </c>
      <c r="Q12" t="s">
        <v>15</v>
      </c>
      <c r="R12" s="50">
        <v>1.7944E-3</v>
      </c>
      <c r="S12" s="50">
        <v>1.2934000000000001E-3</v>
      </c>
      <c r="T12">
        <v>1.3874</v>
      </c>
      <c r="U12">
        <v>0.16533049999999999</v>
      </c>
      <c r="W12" t="str">
        <f t="shared" si="3"/>
        <v/>
      </c>
    </row>
    <row r="13" spans="1:23" x14ac:dyDescent="0.25">
      <c r="A13">
        <v>12</v>
      </c>
      <c r="B13" t="s">
        <v>14</v>
      </c>
      <c r="C13" s="50">
        <v>2.6341130000000001E-2</v>
      </c>
      <c r="D13" s="50">
        <v>0</v>
      </c>
      <c r="E13">
        <v>5.2662717499999998E-2</v>
      </c>
      <c r="F13" s="50">
        <v>8.4901110000000002E-2</v>
      </c>
      <c r="G13" s="50">
        <v>7.900385E-2</v>
      </c>
      <c r="H13" s="50">
        <v>1.212308E-2</v>
      </c>
      <c r="J13" t="str">
        <f t="shared" si="0"/>
        <v>***</v>
      </c>
      <c r="L13" t="str">
        <f t="shared" si="1"/>
        <v>*</v>
      </c>
      <c r="N13" t="str">
        <f t="shared" si="2"/>
        <v>**</v>
      </c>
      <c r="P13">
        <v>12</v>
      </c>
      <c r="Q13" t="s">
        <v>13</v>
      </c>
      <c r="R13" s="50">
        <v>4.0652000000000001E-2</v>
      </c>
      <c r="S13" s="50">
        <v>2.0320999999999998E-3</v>
      </c>
      <c r="T13">
        <v>20.005299999999998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0">
        <v>-1.7308359999999998E-2</v>
      </c>
      <c r="D14" s="50">
        <v>3.0553640000000001E-8</v>
      </c>
      <c r="E14">
        <v>1.7406113000000001E-2</v>
      </c>
      <c r="F14" s="50">
        <v>0.6178823</v>
      </c>
      <c r="G14" s="50">
        <v>9.7757659999999998E-5</v>
      </c>
      <c r="H14" s="50">
        <v>0.9965465</v>
      </c>
      <c r="J14" t="str">
        <f t="shared" si="0"/>
        <v>***</v>
      </c>
      <c r="L14" t="str">
        <f t="shared" si="1"/>
        <v/>
      </c>
      <c r="N14" t="str">
        <f t="shared" si="2"/>
        <v/>
      </c>
      <c r="P14">
        <v>13</v>
      </c>
      <c r="Q14" t="s">
        <v>14</v>
      </c>
      <c r="R14" s="50">
        <v>2.5273E-2</v>
      </c>
      <c r="S14" s="50">
        <v>2.3744999999999999E-3</v>
      </c>
      <c r="T14">
        <v>10.643700000000001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0">
        <v>-4.840158E-2</v>
      </c>
      <c r="D15" s="50">
        <v>1.0724750000000001E-13</v>
      </c>
      <c r="E15">
        <v>-7.04551078E-2</v>
      </c>
      <c r="F15" s="50">
        <v>0.40347349999999998</v>
      </c>
      <c r="G15" s="50">
        <v>-0.1188567</v>
      </c>
      <c r="H15" s="50">
        <v>0.17346439999999999</v>
      </c>
      <c r="J15" t="str">
        <f t="shared" si="0"/>
        <v>***</v>
      </c>
      <c r="L15" t="str">
        <f t="shared" si="1"/>
        <v/>
      </c>
      <c r="N15" t="str">
        <f t="shared" si="2"/>
        <v/>
      </c>
      <c r="P15">
        <v>14</v>
      </c>
      <c r="Q15" t="s">
        <v>59</v>
      </c>
      <c r="R15" s="50">
        <v>-1.7661E-2</v>
      </c>
      <c r="S15" s="50">
        <v>3.0220999999999998E-3</v>
      </c>
      <c r="T15">
        <v>-5.8438999999999997</v>
      </c>
      <c r="U15" s="50">
        <v>5.0989999999999999E-9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0">
        <v>1.209804E-4</v>
      </c>
      <c r="D16" s="50">
        <v>0</v>
      </c>
      <c r="E16">
        <v>2.4730500000000002E-4</v>
      </c>
      <c r="F16" s="50">
        <v>0</v>
      </c>
      <c r="G16" s="50">
        <v>3.6828540000000002E-4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-4.6972E-2</v>
      </c>
      <c r="S16" s="50">
        <v>6.1443000000000001E-3</v>
      </c>
      <c r="T16">
        <v>-7.6448999999999998</v>
      </c>
      <c r="U16" s="50">
        <v>2.087E-14</v>
      </c>
      <c r="W16" t="str">
        <f t="shared" si="3"/>
        <v>***</v>
      </c>
    </row>
    <row r="17" spans="1:23" x14ac:dyDescent="0.25">
      <c r="A17">
        <v>16</v>
      </c>
      <c r="B17" t="s">
        <v>33</v>
      </c>
      <c r="C17" s="50">
        <v>-2.1945530000000001E-3</v>
      </c>
      <c r="D17" s="50">
        <v>0</v>
      </c>
      <c r="E17">
        <v>3.9819002999999997E-3</v>
      </c>
      <c r="F17" s="50">
        <v>6.3924770000000006E-2</v>
      </c>
      <c r="G17" s="50">
        <v>1.7873469999999999E-3</v>
      </c>
      <c r="H17" s="50">
        <v>0.41501949999999999</v>
      </c>
      <c r="J17" t="str">
        <f t="shared" si="0"/>
        <v>***</v>
      </c>
      <c r="L17" t="str">
        <f t="shared" si="1"/>
        <v>*</v>
      </c>
      <c r="N17" t="str">
        <f t="shared" si="2"/>
        <v/>
      </c>
      <c r="P17">
        <v>16</v>
      </c>
      <c r="Q17" t="s">
        <v>18</v>
      </c>
      <c r="R17" s="50">
        <v>1.1595999999999999E-4</v>
      </c>
      <c r="S17" s="50">
        <v>1.7318000000000001E-6</v>
      </c>
      <c r="T17">
        <v>66.959999999999994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0">
        <v>2.0924729999999999E-2</v>
      </c>
      <c r="D18" s="50">
        <v>4.4408919999999998E-16</v>
      </c>
      <c r="E18">
        <v>3.54147665E-2</v>
      </c>
      <c r="F18" s="50">
        <v>8.7664649999999997E-2</v>
      </c>
      <c r="G18" s="50">
        <v>5.6339500000000001E-2</v>
      </c>
      <c r="H18" s="50">
        <v>7.8960679999999991E-3</v>
      </c>
      <c r="J18" t="str">
        <f t="shared" si="0"/>
        <v>***</v>
      </c>
      <c r="L18" t="str">
        <f t="shared" si="1"/>
        <v>*</v>
      </c>
      <c r="N18" t="str">
        <f t="shared" si="2"/>
        <v>***</v>
      </c>
      <c r="P18">
        <v>17</v>
      </c>
      <c r="Q18" t="s">
        <v>33</v>
      </c>
      <c r="R18" s="50">
        <v>-2.2753000000000001E-3</v>
      </c>
      <c r="S18" s="50">
        <v>2.4911999999999997E-4</v>
      </c>
      <c r="T18">
        <v>-9.1333000000000002</v>
      </c>
      <c r="U18" s="50">
        <v>2.2E-16</v>
      </c>
      <c r="W18" t="str">
        <f t="shared" si="3"/>
        <v>***</v>
      </c>
    </row>
    <row r="19" spans="1:23" x14ac:dyDescent="0.25">
      <c r="A19">
        <v>18</v>
      </c>
      <c r="B19" t="s">
        <v>21</v>
      </c>
      <c r="C19" s="50">
        <v>-2.3018520000000001E-2</v>
      </c>
      <c r="D19" s="50">
        <v>1.706433E-3</v>
      </c>
      <c r="E19">
        <v>-0.1682497959</v>
      </c>
      <c r="F19" s="50">
        <v>0.16529450000000001</v>
      </c>
      <c r="G19" s="50">
        <v>-0.1912683</v>
      </c>
      <c r="H19" s="50">
        <v>0.12578919999999999</v>
      </c>
      <c r="J19" t="str">
        <f t="shared" si="0"/>
        <v>***</v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2.0205999999999998E-2</v>
      </c>
      <c r="S19" s="50">
        <v>2.5663999999999999E-3</v>
      </c>
      <c r="T19">
        <v>7.8735999999999997</v>
      </c>
      <c r="U19" s="50">
        <v>3.5529999999999999E-15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0">
        <v>0.1052589</v>
      </c>
      <c r="D20" s="50">
        <v>0</v>
      </c>
      <c r="E20">
        <v>0.15269295229999999</v>
      </c>
      <c r="F20" s="50">
        <v>1.5674339999999998E-2</v>
      </c>
      <c r="G20" s="50">
        <v>0.25795180000000001</v>
      </c>
      <c r="H20" s="50">
        <v>7.4135789999999995E-5</v>
      </c>
      <c r="J20" t="str">
        <f t="shared" si="0"/>
        <v>***</v>
      </c>
      <c r="L20" t="str">
        <f t="shared" si="1"/>
        <v>**</v>
      </c>
      <c r="N20" t="str">
        <f t="shared" si="2"/>
        <v>***</v>
      </c>
      <c r="P20">
        <v>19</v>
      </c>
      <c r="Q20" t="s">
        <v>21</v>
      </c>
      <c r="R20" s="50">
        <v>-1.9605999999999998E-2</v>
      </c>
      <c r="S20" s="50">
        <v>6.6287999999999998E-3</v>
      </c>
      <c r="T20">
        <v>-2.9577</v>
      </c>
      <c r="U20">
        <v>3.0991999999999999E-3</v>
      </c>
      <c r="W20" t="str">
        <f t="shared" si="3"/>
        <v>***</v>
      </c>
    </row>
    <row r="21" spans="1:23" x14ac:dyDescent="0.25">
      <c r="A21">
        <v>20</v>
      </c>
      <c r="B21" t="s">
        <v>226</v>
      </c>
      <c r="C21" s="50">
        <v>5.7897860000000002E-2</v>
      </c>
      <c r="D21" s="50">
        <v>0</v>
      </c>
      <c r="E21">
        <v>2.4484322699999998E-2</v>
      </c>
      <c r="F21" s="50">
        <v>0.68474120000000005</v>
      </c>
      <c r="G21" s="50">
        <v>8.2382189999999994E-2</v>
      </c>
      <c r="H21" s="50">
        <v>0.1903184</v>
      </c>
      <c r="J21" t="str">
        <f t="shared" si="0"/>
        <v>***</v>
      </c>
      <c r="L21" t="str">
        <f t="shared" si="1"/>
        <v/>
      </c>
      <c r="N21" t="str">
        <f t="shared" si="2"/>
        <v/>
      </c>
      <c r="P21">
        <v>20</v>
      </c>
      <c r="Q21" t="s">
        <v>224</v>
      </c>
      <c r="R21" s="50">
        <v>0.10216</v>
      </c>
      <c r="S21" s="50">
        <v>3.3062E-3</v>
      </c>
      <c r="T21">
        <v>30.8995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0">
        <v>-5.534762E-2</v>
      </c>
      <c r="D22" s="50">
        <v>0</v>
      </c>
      <c r="E22">
        <v>0.14489224170000001</v>
      </c>
      <c r="F22" s="50">
        <v>0.117797</v>
      </c>
      <c r="G22" s="50">
        <v>8.9544620000000005E-2</v>
      </c>
      <c r="H22" s="50">
        <v>0.34752179999999999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5.7401000000000001E-2</v>
      </c>
      <c r="S22" s="50">
        <v>2.9082000000000001E-3</v>
      </c>
      <c r="T22">
        <v>19.737500000000001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0">
        <v>1.2501369999999999E-2</v>
      </c>
      <c r="D23" s="50">
        <v>4.9691340000000001E-2</v>
      </c>
      <c r="E23">
        <v>8.0937712499999995E-2</v>
      </c>
      <c r="F23" s="50">
        <v>0.40087129999999999</v>
      </c>
      <c r="G23" s="50">
        <v>9.3439079999999994E-2</v>
      </c>
      <c r="H23" s="50">
        <v>0.34622609999999998</v>
      </c>
      <c r="J23" t="str">
        <f t="shared" si="0"/>
        <v>**</v>
      </c>
      <c r="L23" t="str">
        <f t="shared" si="1"/>
        <v/>
      </c>
      <c r="N23" t="str">
        <f t="shared" si="2"/>
        <v/>
      </c>
      <c r="P23">
        <v>22</v>
      </c>
      <c r="Q23" t="s">
        <v>230</v>
      </c>
      <c r="R23" s="50">
        <v>-5.8285999999999998E-2</v>
      </c>
      <c r="S23" s="50">
        <v>4.6143E-3</v>
      </c>
      <c r="T23">
        <v>-12.631600000000001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0">
        <v>-3.2672310000000003E-2</v>
      </c>
      <c r="D24" s="50">
        <v>9.403883E-3</v>
      </c>
      <c r="E24">
        <v>-4.2537112699999997E-2</v>
      </c>
      <c r="F24" s="50">
        <v>0.83502799999999999</v>
      </c>
      <c r="G24" s="50">
        <v>-7.5209419999999999E-2</v>
      </c>
      <c r="H24" s="50">
        <v>0.72404900000000005</v>
      </c>
      <c r="J24" t="str">
        <f t="shared" si="0"/>
        <v>***</v>
      </c>
      <c r="L24" t="str">
        <f t="shared" si="1"/>
        <v/>
      </c>
      <c r="N24" t="str">
        <f t="shared" si="2"/>
        <v/>
      </c>
      <c r="P24">
        <v>23</v>
      </c>
      <c r="Q24" t="s">
        <v>22</v>
      </c>
      <c r="R24" s="50">
        <v>1.086E-2</v>
      </c>
      <c r="S24" s="50">
        <v>5.8872000000000004E-3</v>
      </c>
      <c r="T24">
        <v>1.8447</v>
      </c>
      <c r="U24">
        <v>6.5085299999999999E-2</v>
      </c>
      <c r="W24" t="str">
        <f t="shared" si="3"/>
        <v>*</v>
      </c>
    </row>
    <row r="25" spans="1:23" x14ac:dyDescent="0.25">
      <c r="A25">
        <v>24</v>
      </c>
      <c r="B25" t="s">
        <v>29</v>
      </c>
      <c r="C25" s="50">
        <v>-2.029011E-2</v>
      </c>
      <c r="D25" s="50">
        <v>2.812075E-2</v>
      </c>
      <c r="E25">
        <v>0.1850426849</v>
      </c>
      <c r="F25" s="50">
        <v>0.19003220000000001</v>
      </c>
      <c r="G25" s="50">
        <v>0.1647526</v>
      </c>
      <c r="H25" s="50">
        <v>0.25702180000000002</v>
      </c>
      <c r="J25" t="str">
        <f t="shared" si="0"/>
        <v>**</v>
      </c>
      <c r="L25" t="str">
        <f t="shared" si="1"/>
        <v/>
      </c>
      <c r="N25" t="str">
        <f t="shared" si="2"/>
        <v/>
      </c>
      <c r="P25">
        <v>24</v>
      </c>
      <c r="Q25" t="s">
        <v>23</v>
      </c>
      <c r="R25" s="50">
        <v>-3.1808999999999997E-2</v>
      </c>
      <c r="S25" s="50">
        <v>1.1269E-2</v>
      </c>
      <c r="T25">
        <v>-2.8227000000000002</v>
      </c>
      <c r="U25">
        <v>4.7626999999999999E-3</v>
      </c>
      <c r="W25" t="str">
        <f t="shared" si="3"/>
        <v>***</v>
      </c>
    </row>
    <row r="26" spans="1:23" x14ac:dyDescent="0.25">
      <c r="A26">
        <v>25</v>
      </c>
      <c r="B26" t="s">
        <v>28</v>
      </c>
      <c r="C26" s="50">
        <v>6.5454860000000004E-2</v>
      </c>
      <c r="D26" s="50">
        <v>0</v>
      </c>
      <c r="E26">
        <v>-3.8763620999999998E-2</v>
      </c>
      <c r="F26" s="50">
        <v>0.48525059999999998</v>
      </c>
      <c r="G26" s="50">
        <v>2.6691240000000001E-2</v>
      </c>
      <c r="H26" s="50">
        <v>0.64463239999999999</v>
      </c>
      <c r="J26" t="str">
        <f t="shared" si="0"/>
        <v>***</v>
      </c>
      <c r="L26" t="str">
        <f t="shared" si="1"/>
        <v/>
      </c>
      <c r="N26" t="str">
        <f t="shared" si="2"/>
        <v/>
      </c>
      <c r="P26">
        <v>25</v>
      </c>
      <c r="Q26" t="s">
        <v>29</v>
      </c>
      <c r="R26" s="50">
        <v>-2.4042999999999998E-2</v>
      </c>
      <c r="S26" s="50">
        <v>8.4817999999999994E-3</v>
      </c>
      <c r="T26">
        <v>-2.8346</v>
      </c>
      <c r="U26">
        <v>4.5881999999999997E-3</v>
      </c>
      <c r="W26" t="str">
        <f t="shared" si="3"/>
        <v>***</v>
      </c>
    </row>
    <row r="27" spans="1:23" x14ac:dyDescent="0.25">
      <c r="A27">
        <v>26</v>
      </c>
      <c r="B27" t="s">
        <v>235</v>
      </c>
      <c r="C27" s="50">
        <v>0.15851680000000001</v>
      </c>
      <c r="D27" s="50">
        <v>0</v>
      </c>
      <c r="E27">
        <v>-0.1957146609</v>
      </c>
      <c r="F27" s="50">
        <v>2.352826E-4</v>
      </c>
      <c r="G27" s="50">
        <v>-3.7197910000000001E-2</v>
      </c>
      <c r="H27" s="50">
        <v>0.46587970000000001</v>
      </c>
      <c r="J27" t="str">
        <f t="shared" si="0"/>
        <v>***</v>
      </c>
      <c r="L27" t="str">
        <f t="shared" si="1"/>
        <v>***</v>
      </c>
      <c r="N27" t="str">
        <f t="shared" si="2"/>
        <v/>
      </c>
      <c r="P27">
        <v>26</v>
      </c>
      <c r="Q27" t="s">
        <v>28</v>
      </c>
      <c r="R27" s="50">
        <v>6.6239999999999993E-2</v>
      </c>
      <c r="S27" s="50">
        <v>4.5231000000000004E-3</v>
      </c>
      <c r="T27">
        <v>14.645</v>
      </c>
      <c r="U27" s="50">
        <v>2.2E-16</v>
      </c>
      <c r="W27" t="str">
        <f t="shared" si="3"/>
        <v>***</v>
      </c>
    </row>
    <row r="28" spans="1:23" x14ac:dyDescent="0.25">
      <c r="A28">
        <v>27</v>
      </c>
      <c r="B28" t="s">
        <v>236</v>
      </c>
      <c r="C28" s="50">
        <v>0.2246948</v>
      </c>
      <c r="D28" s="50">
        <v>3.7410939999999997E-2</v>
      </c>
      <c r="E28">
        <v>0.24155475949999999</v>
      </c>
      <c r="F28" s="50">
        <v>0.93860330000000003</v>
      </c>
      <c r="G28" s="50">
        <v>0.46624959999999999</v>
      </c>
      <c r="H28" s="50">
        <v>0.86763710000000005</v>
      </c>
      <c r="J28" t="str">
        <f t="shared" si="0"/>
        <v>**</v>
      </c>
      <c r="L28" t="str">
        <f t="shared" si="1"/>
        <v/>
      </c>
      <c r="N28" t="str">
        <f t="shared" si="2"/>
        <v/>
      </c>
      <c r="P28">
        <v>27</v>
      </c>
      <c r="Q28" t="s">
        <v>235</v>
      </c>
      <c r="R28" s="50">
        <v>0.16248000000000001</v>
      </c>
      <c r="S28" s="50">
        <v>1.6041E-2</v>
      </c>
      <c r="T28">
        <v>10.1296</v>
      </c>
      <c r="U28" s="50">
        <v>2.2E-16</v>
      </c>
      <c r="W28" t="str">
        <f t="shared" si="3"/>
        <v>***</v>
      </c>
    </row>
    <row r="29" spans="1:23" x14ac:dyDescent="0.25">
      <c r="A29">
        <v>28</v>
      </c>
      <c r="B29" t="s">
        <v>238</v>
      </c>
      <c r="C29" s="50">
        <v>-4.7743939999999999E-2</v>
      </c>
      <c r="D29" s="50">
        <v>7.349754E-8</v>
      </c>
      <c r="E29">
        <v>2.2400190100000002E-2</v>
      </c>
      <c r="F29" s="50">
        <v>0.43514069999999999</v>
      </c>
      <c r="G29" s="50">
        <v>-2.534374E-2</v>
      </c>
      <c r="H29" s="50">
        <v>0.36151309999999998</v>
      </c>
      <c r="J29" t="str">
        <f t="shared" si="0"/>
        <v>***</v>
      </c>
      <c r="L29" t="str">
        <f t="shared" si="1"/>
        <v/>
      </c>
      <c r="N29" t="str">
        <f t="shared" si="2"/>
        <v/>
      </c>
      <c r="P29">
        <v>28</v>
      </c>
      <c r="Q29" t="s">
        <v>236</v>
      </c>
      <c r="R29" s="50">
        <v>0.21979000000000001</v>
      </c>
      <c r="S29" s="50">
        <v>8.7043999999999996E-2</v>
      </c>
      <c r="T29">
        <v>2.5251000000000001</v>
      </c>
      <c r="U29">
        <v>1.15663E-2</v>
      </c>
      <c r="W29" t="str">
        <f t="shared" si="3"/>
        <v>**</v>
      </c>
    </row>
    <row r="30" spans="1:23" x14ac:dyDescent="0.25">
      <c r="A30">
        <v>29</v>
      </c>
      <c r="B30" t="s">
        <v>240</v>
      </c>
      <c r="C30" s="50">
        <v>-1.53857E-2</v>
      </c>
      <c r="D30" s="50">
        <v>0.29042570000000001</v>
      </c>
      <c r="E30">
        <v>-1.6422241000000001E-3</v>
      </c>
      <c r="F30" s="50">
        <v>0.97031040000000002</v>
      </c>
      <c r="G30" s="50">
        <v>-1.7027919999999998E-2</v>
      </c>
      <c r="H30" s="50">
        <v>0.73565990000000003</v>
      </c>
      <c r="J30" t="str">
        <f t="shared" si="0"/>
        <v/>
      </c>
      <c r="L30" t="str">
        <f t="shared" si="1"/>
        <v/>
      </c>
      <c r="N30" t="str">
        <f t="shared" si="2"/>
        <v/>
      </c>
      <c r="P30">
        <v>29</v>
      </c>
      <c r="Q30" t="s">
        <v>238</v>
      </c>
      <c r="R30" s="50">
        <v>-4.8197999999999998E-2</v>
      </c>
      <c r="S30" s="50">
        <v>9.0810999999999999E-3</v>
      </c>
      <c r="T30">
        <v>-5.3075000000000001</v>
      </c>
      <c r="U30" s="50">
        <v>1.111E-7</v>
      </c>
      <c r="W30" t="str">
        <f t="shared" si="3"/>
        <v>***</v>
      </c>
    </row>
    <row r="31" spans="1:23" x14ac:dyDescent="0.25">
      <c r="A31">
        <v>30</v>
      </c>
      <c r="B31" t="s">
        <v>241</v>
      </c>
      <c r="C31" s="50">
        <v>1.456235E-2</v>
      </c>
      <c r="D31" s="50">
        <v>0.78269949999999999</v>
      </c>
      <c r="E31">
        <v>-1.9729327764</v>
      </c>
      <c r="F31" s="50">
        <v>0.11510189999999999</v>
      </c>
      <c r="G31" s="50">
        <v>-1.9583699999999999</v>
      </c>
      <c r="H31" s="50">
        <v>0.12677939999999999</v>
      </c>
      <c r="J31" t="str">
        <f t="shared" si="0"/>
        <v/>
      </c>
      <c r="L31" t="str">
        <f t="shared" si="1"/>
        <v/>
      </c>
      <c r="N31" t="str">
        <f t="shared" si="2"/>
        <v/>
      </c>
      <c r="P31">
        <v>30</v>
      </c>
      <c r="Q31" t="s">
        <v>240</v>
      </c>
      <c r="R31" s="50">
        <v>-1.5351999999999999E-2</v>
      </c>
      <c r="S31" s="50">
        <v>1.5022000000000001E-2</v>
      </c>
      <c r="T31">
        <v>-1.022</v>
      </c>
      <c r="U31">
        <v>0.30677539999999998</v>
      </c>
      <c r="W31" t="str">
        <f t="shared" si="3"/>
        <v/>
      </c>
    </row>
    <row r="32" spans="1:23" x14ac:dyDescent="0.25">
      <c r="A32">
        <v>31</v>
      </c>
      <c r="B32" t="s">
        <v>243</v>
      </c>
      <c r="C32" s="50">
        <v>4.9467219999999999E-2</v>
      </c>
      <c r="D32" s="50">
        <v>8.1718980000000001E-4</v>
      </c>
      <c r="E32">
        <v>-0.3231785284</v>
      </c>
      <c r="F32" s="50">
        <v>3.049662E-6</v>
      </c>
      <c r="G32" s="50">
        <v>-0.27371129999999999</v>
      </c>
      <c r="H32" s="50">
        <v>5.8688079999999997E-5</v>
      </c>
      <c r="J32" t="str">
        <f t="shared" si="0"/>
        <v>***</v>
      </c>
      <c r="L32" t="str">
        <f t="shared" si="1"/>
        <v>***</v>
      </c>
      <c r="N32" t="str">
        <f t="shared" si="2"/>
        <v>***</v>
      </c>
      <c r="P32">
        <v>31</v>
      </c>
      <c r="Q32" t="s">
        <v>241</v>
      </c>
      <c r="R32" s="50">
        <v>5.4573000000000003E-2</v>
      </c>
      <c r="S32" s="50">
        <v>4.7246000000000003E-2</v>
      </c>
      <c r="T32">
        <v>1.1551</v>
      </c>
      <c r="U32">
        <v>0.2480562</v>
      </c>
      <c r="W32" t="str">
        <f t="shared" si="3"/>
        <v/>
      </c>
    </row>
    <row r="33" spans="1:23" x14ac:dyDescent="0.25">
      <c r="A33">
        <v>32</v>
      </c>
      <c r="B33" t="s">
        <v>245</v>
      </c>
      <c r="C33" s="50">
        <v>0.2340991</v>
      </c>
      <c r="D33" s="50">
        <v>1.481772E-2</v>
      </c>
      <c r="E33">
        <v>1.2159963009999999</v>
      </c>
      <c r="F33" s="50">
        <v>0.48301270000000002</v>
      </c>
      <c r="G33" s="50">
        <v>1.4500949999999999</v>
      </c>
      <c r="H33" s="50">
        <v>0.41477439999999999</v>
      </c>
      <c r="J33" t="str">
        <f t="shared" si="0"/>
        <v>**</v>
      </c>
      <c r="L33" t="str">
        <f t="shared" si="1"/>
        <v/>
      </c>
      <c r="N33" t="str">
        <f t="shared" si="2"/>
        <v/>
      </c>
      <c r="P33">
        <v>32</v>
      </c>
      <c r="Q33" t="s">
        <v>243</v>
      </c>
      <c r="R33" s="50">
        <v>5.6021000000000001E-2</v>
      </c>
      <c r="S33" s="50">
        <v>1.5029000000000001E-2</v>
      </c>
      <c r="T33">
        <v>3.7275999999999998</v>
      </c>
      <c r="U33">
        <v>1.9330000000000001E-4</v>
      </c>
      <c r="W33" t="str">
        <f t="shared" si="3"/>
        <v>***</v>
      </c>
    </row>
    <row r="34" spans="1:23" x14ac:dyDescent="0.25">
      <c r="A34">
        <v>33</v>
      </c>
      <c r="B34" t="s">
        <v>166</v>
      </c>
      <c r="C34" s="50">
        <v>3.104413E-2</v>
      </c>
      <c r="D34" s="50">
        <v>0.1144746</v>
      </c>
      <c r="E34">
        <v>0.2063325952</v>
      </c>
      <c r="F34" s="50">
        <v>0.53845229999999999</v>
      </c>
      <c r="G34" s="50">
        <v>0.2373767</v>
      </c>
      <c r="H34" s="50">
        <v>0.4925136</v>
      </c>
      <c r="J34" t="str">
        <f t="shared" si="0"/>
        <v/>
      </c>
      <c r="L34" t="str">
        <f t="shared" si="1"/>
        <v/>
      </c>
      <c r="N34" t="str">
        <f t="shared" si="2"/>
        <v/>
      </c>
      <c r="P34">
        <v>33</v>
      </c>
      <c r="Q34" t="s">
        <v>245</v>
      </c>
      <c r="R34" s="50">
        <v>0.20943999999999999</v>
      </c>
      <c r="S34" s="50">
        <v>8.6292999999999995E-2</v>
      </c>
      <c r="T34">
        <v>2.427</v>
      </c>
      <c r="U34">
        <v>1.5222400000000001E-2</v>
      </c>
      <c r="W34" t="str">
        <f t="shared" si="3"/>
        <v>**</v>
      </c>
    </row>
    <row r="35" spans="1:23" x14ac:dyDescent="0.25">
      <c r="A35">
        <v>34</v>
      </c>
      <c r="B35" t="s">
        <v>167</v>
      </c>
      <c r="C35" s="50">
        <v>8.1637979999999999E-2</v>
      </c>
      <c r="D35" s="50">
        <v>1.009492E-5</v>
      </c>
      <c r="E35">
        <v>0.46124212889999999</v>
      </c>
      <c r="F35" s="50">
        <v>0.15714449999999999</v>
      </c>
      <c r="G35" s="50">
        <v>0.54288009999999998</v>
      </c>
      <c r="H35" s="50">
        <v>0.10579040000000001</v>
      </c>
      <c r="J35" t="str">
        <f t="shared" si="0"/>
        <v>***</v>
      </c>
      <c r="L35" t="str">
        <f t="shared" si="1"/>
        <v/>
      </c>
      <c r="N35" t="str">
        <f t="shared" si="2"/>
        <v/>
      </c>
      <c r="P35">
        <v>34</v>
      </c>
      <c r="Q35" t="s">
        <v>166</v>
      </c>
      <c r="R35" s="50">
        <v>2.6859999999999998E-2</v>
      </c>
      <c r="S35" s="50">
        <v>1.7297E-2</v>
      </c>
      <c r="T35">
        <v>1.5528</v>
      </c>
      <c r="U35">
        <v>0.1204693</v>
      </c>
      <c r="W35" t="str">
        <f t="shared" si="3"/>
        <v/>
      </c>
    </row>
    <row r="36" spans="1:23" x14ac:dyDescent="0.25">
      <c r="A36">
        <v>35</v>
      </c>
      <c r="B36" t="s">
        <v>168</v>
      </c>
      <c r="C36" s="50">
        <v>9.1584100000000002E-2</v>
      </c>
      <c r="D36" s="50">
        <v>9.2362650000000003E-7</v>
      </c>
      <c r="E36">
        <v>0.27198273779999999</v>
      </c>
      <c r="F36" s="50">
        <v>0.39912370000000003</v>
      </c>
      <c r="G36" s="50">
        <v>0.36356680000000002</v>
      </c>
      <c r="H36" s="50">
        <v>0.27475739999999998</v>
      </c>
      <c r="J36" t="str">
        <f t="shared" si="0"/>
        <v>***</v>
      </c>
      <c r="L36" t="str">
        <f t="shared" si="1"/>
        <v/>
      </c>
      <c r="N36" t="str">
        <f t="shared" si="2"/>
        <v/>
      </c>
      <c r="P36">
        <v>35</v>
      </c>
      <c r="Q36" t="s">
        <v>167</v>
      </c>
      <c r="R36" s="50">
        <v>7.2283E-2</v>
      </c>
      <c r="S36" s="50">
        <v>1.6361000000000001E-2</v>
      </c>
      <c r="T36">
        <v>4.4180000000000001</v>
      </c>
      <c r="U36" s="50">
        <v>9.961E-6</v>
      </c>
      <c r="W36" t="str">
        <f t="shared" si="3"/>
        <v>***</v>
      </c>
    </row>
    <row r="37" spans="1:23" x14ac:dyDescent="0.25">
      <c r="A37">
        <v>36</v>
      </c>
      <c r="B37" t="s">
        <v>169</v>
      </c>
      <c r="C37" s="50">
        <v>0.1054258</v>
      </c>
      <c r="D37" s="50">
        <v>1.3883850000000001E-8</v>
      </c>
      <c r="E37">
        <v>0.42736220800000002</v>
      </c>
      <c r="F37" s="50">
        <v>0.18880430000000001</v>
      </c>
      <c r="G37" s="50">
        <v>0.53278800000000004</v>
      </c>
      <c r="H37" s="50">
        <v>0.1116722</v>
      </c>
      <c r="J37" t="str">
        <f t="shared" si="0"/>
        <v>***</v>
      </c>
      <c r="L37" t="str">
        <f t="shared" si="1"/>
        <v/>
      </c>
      <c r="N37" t="str">
        <f t="shared" si="2"/>
        <v/>
      </c>
      <c r="P37">
        <v>36</v>
      </c>
      <c r="Q37" t="s">
        <v>168</v>
      </c>
      <c r="R37" s="50">
        <v>8.6068000000000006E-2</v>
      </c>
      <c r="S37" s="50">
        <v>1.6562E-2</v>
      </c>
      <c r="T37">
        <v>5.1966000000000001</v>
      </c>
      <c r="U37" s="50">
        <v>2.029E-7</v>
      </c>
      <c r="W37" t="str">
        <f t="shared" si="3"/>
        <v>***</v>
      </c>
    </row>
    <row r="38" spans="1:23" x14ac:dyDescent="0.25">
      <c r="A38">
        <v>37</v>
      </c>
      <c r="B38" t="s">
        <v>170</v>
      </c>
      <c r="C38" s="50">
        <v>0.1282605</v>
      </c>
      <c r="D38" s="50">
        <v>1.3039350000000001E-11</v>
      </c>
      <c r="E38">
        <v>0.51178832990000001</v>
      </c>
      <c r="F38" s="50">
        <v>0.12148009999999999</v>
      </c>
      <c r="G38" s="50">
        <v>0.64004890000000003</v>
      </c>
      <c r="H38" s="50">
        <v>6.0169739999999999E-2</v>
      </c>
      <c r="J38" t="str">
        <f t="shared" si="0"/>
        <v>***</v>
      </c>
      <c r="L38" t="str">
        <f t="shared" si="1"/>
        <v/>
      </c>
      <c r="N38" t="str">
        <f t="shared" si="2"/>
        <v>*</v>
      </c>
      <c r="P38">
        <v>37</v>
      </c>
      <c r="Q38" t="s">
        <v>169</v>
      </c>
      <c r="R38" s="50">
        <v>9.6757999999999997E-2</v>
      </c>
      <c r="S38" s="50">
        <v>1.6449999999999999E-2</v>
      </c>
      <c r="T38">
        <v>5.8821000000000003</v>
      </c>
      <c r="U38" s="50">
        <v>4.0510000000000002E-9</v>
      </c>
      <c r="W38" t="str">
        <f t="shared" si="3"/>
        <v>***</v>
      </c>
    </row>
    <row r="39" spans="1:23" x14ac:dyDescent="0.25">
      <c r="A39">
        <v>38</v>
      </c>
      <c r="B39" t="s">
        <v>50</v>
      </c>
      <c r="C39" s="50">
        <v>2.1681829999999998E-5</v>
      </c>
      <c r="D39" s="50">
        <v>0.480209</v>
      </c>
      <c r="E39">
        <v>-1.272407E-4</v>
      </c>
      <c r="F39" s="50">
        <v>0.50119579999999997</v>
      </c>
      <c r="G39" s="50">
        <v>-1.055589E-4</v>
      </c>
      <c r="H39" s="50">
        <v>0.58198510000000003</v>
      </c>
      <c r="J39" t="str">
        <f t="shared" si="0"/>
        <v/>
      </c>
      <c r="L39" t="str">
        <f t="shared" si="1"/>
        <v/>
      </c>
      <c r="N39" t="str">
        <f t="shared" si="2"/>
        <v/>
      </c>
      <c r="P39">
        <v>38</v>
      </c>
      <c r="Q39" t="s">
        <v>170</v>
      </c>
      <c r="R39" s="50">
        <v>0.11788</v>
      </c>
      <c r="S39" s="50">
        <v>1.6747000000000001E-2</v>
      </c>
      <c r="T39">
        <v>7.0388999999999999</v>
      </c>
      <c r="U39" s="50">
        <v>1.9369999999999999E-12</v>
      </c>
      <c r="W39" t="str">
        <f t="shared" si="3"/>
        <v>***</v>
      </c>
    </row>
    <row r="40" spans="1:23" x14ac:dyDescent="0.25">
      <c r="A40">
        <v>39</v>
      </c>
      <c r="B40" t="s">
        <v>52</v>
      </c>
      <c r="C40" s="50">
        <v>3.8295510000000002E-4</v>
      </c>
      <c r="D40" s="50">
        <v>0.90719590000000006</v>
      </c>
      <c r="E40">
        <v>-0.13101823030000001</v>
      </c>
      <c r="F40" s="50">
        <v>7.8080909999999996E-3</v>
      </c>
      <c r="G40" s="50">
        <v>-0.13063530000000001</v>
      </c>
      <c r="H40" s="50">
        <v>9.9146779999999997E-3</v>
      </c>
      <c r="J40" t="str">
        <f t="shared" si="0"/>
        <v/>
      </c>
      <c r="L40" t="str">
        <f t="shared" si="1"/>
        <v>***</v>
      </c>
      <c r="N40" t="str">
        <f t="shared" si="2"/>
        <v>***</v>
      </c>
      <c r="P40">
        <v>39</v>
      </c>
      <c r="Q40" t="s">
        <v>50</v>
      </c>
      <c r="R40" s="50">
        <v>2.4261999999999999E-5</v>
      </c>
      <c r="S40" s="50">
        <v>3.0198000000000001E-5</v>
      </c>
      <c r="T40">
        <v>0.8034</v>
      </c>
      <c r="U40">
        <v>0.42172120000000002</v>
      </c>
      <c r="W40" t="str">
        <f t="shared" si="3"/>
        <v/>
      </c>
    </row>
    <row r="41" spans="1:23" x14ac:dyDescent="0.25">
      <c r="A41">
        <v>40</v>
      </c>
      <c r="B41" t="s">
        <v>51</v>
      </c>
      <c r="C41" s="50">
        <v>-7.3630520000000005E-2</v>
      </c>
      <c r="D41" s="50">
        <v>3.9461630000000001E-9</v>
      </c>
      <c r="E41">
        <v>-0.1095182635</v>
      </c>
      <c r="F41" s="50">
        <v>0.62995409999999996</v>
      </c>
      <c r="G41" s="50">
        <v>-0.1831488</v>
      </c>
      <c r="H41" s="50">
        <v>0.43766179999999999</v>
      </c>
      <c r="J41" t="str">
        <f t="shared" si="0"/>
        <v>***</v>
      </c>
      <c r="L41" t="str">
        <f t="shared" si="1"/>
        <v/>
      </c>
      <c r="N41" t="str">
        <f t="shared" si="2"/>
        <v/>
      </c>
      <c r="P41">
        <v>40</v>
      </c>
      <c r="Q41" t="s">
        <v>52</v>
      </c>
      <c r="R41" s="50">
        <v>3.0400000000000002E-3</v>
      </c>
      <c r="S41" s="50">
        <v>2.4474000000000002E-3</v>
      </c>
      <c r="T41">
        <v>1.2421</v>
      </c>
      <c r="U41">
        <v>0.21419730000000001</v>
      </c>
      <c r="W41" t="str">
        <f t="shared" si="3"/>
        <v/>
      </c>
    </row>
    <row r="42" spans="1:23" x14ac:dyDescent="0.25">
      <c r="A42">
        <v>41</v>
      </c>
      <c r="B42" t="s">
        <v>164</v>
      </c>
      <c r="C42" s="50">
        <v>-0.1216921</v>
      </c>
      <c r="D42" s="50">
        <v>0</v>
      </c>
      <c r="E42">
        <v>0.10891307</v>
      </c>
      <c r="F42" s="50">
        <v>8.4154909999999999E-14</v>
      </c>
      <c r="G42" s="50">
        <v>-1.277907E-2</v>
      </c>
      <c r="H42" s="50">
        <v>1.91232E-7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51</v>
      </c>
      <c r="R42" s="50">
        <v>-7.1409E-2</v>
      </c>
      <c r="S42" s="50">
        <v>1.0571000000000001E-2</v>
      </c>
      <c r="T42">
        <v>-6.7553000000000001</v>
      </c>
      <c r="U42" s="50">
        <v>1.4259999999999999E-11</v>
      </c>
      <c r="W42" t="str">
        <f t="shared" si="3"/>
        <v>***</v>
      </c>
    </row>
    <row r="43" spans="1:23" x14ac:dyDescent="0.25">
      <c r="A43">
        <v>42</v>
      </c>
      <c r="B43" t="s">
        <v>39</v>
      </c>
      <c r="C43" s="50">
        <v>7.7115810000000007E-2</v>
      </c>
      <c r="D43" s="50">
        <v>4.6046239999999998E-8</v>
      </c>
      <c r="E43">
        <v>-0.11763986780000001</v>
      </c>
      <c r="F43" s="50">
        <v>4.083362E-6</v>
      </c>
      <c r="G43" s="50">
        <v>-4.0524060000000001E-2</v>
      </c>
      <c r="H43" s="50">
        <v>3.556223E-2</v>
      </c>
      <c r="J43" t="str">
        <f t="shared" si="0"/>
        <v>***</v>
      </c>
      <c r="L43" t="str">
        <f t="shared" si="1"/>
        <v>***</v>
      </c>
      <c r="N43" t="str">
        <f t="shared" si="2"/>
        <v>**</v>
      </c>
      <c r="P43">
        <v>42</v>
      </c>
      <c r="Q43" t="s">
        <v>164</v>
      </c>
      <c r="R43" s="50">
        <v>-0.1239</v>
      </c>
      <c r="S43" s="50">
        <v>1.472E-2</v>
      </c>
      <c r="T43">
        <v>-8.4170999999999996</v>
      </c>
      <c r="U43" s="50">
        <v>2.2E-16</v>
      </c>
      <c r="W43" t="str">
        <f t="shared" si="3"/>
        <v>***</v>
      </c>
    </row>
    <row r="44" spans="1:23" x14ac:dyDescent="0.25">
      <c r="A44">
        <v>43</v>
      </c>
      <c r="B44" t="s">
        <v>40</v>
      </c>
      <c r="C44" s="50">
        <v>-3.732155E-3</v>
      </c>
      <c r="D44" s="50">
        <v>0.72134690000000001</v>
      </c>
      <c r="E44">
        <v>-3.6619532E-3</v>
      </c>
      <c r="F44" s="50">
        <v>0.74636780000000003</v>
      </c>
      <c r="G44" s="50">
        <v>-7.3941079999999999E-3</v>
      </c>
      <c r="H44" s="50">
        <v>3.657151E-4</v>
      </c>
      <c r="J44" t="str">
        <f t="shared" si="0"/>
        <v/>
      </c>
      <c r="L44" t="str">
        <f t="shared" si="1"/>
        <v/>
      </c>
      <c r="N44" t="str">
        <f t="shared" si="2"/>
        <v>***</v>
      </c>
      <c r="P44">
        <v>43</v>
      </c>
      <c r="Q44" t="s">
        <v>39</v>
      </c>
      <c r="R44" s="50">
        <v>7.9501000000000002E-2</v>
      </c>
      <c r="S44" s="50">
        <v>1.4657E-2</v>
      </c>
      <c r="T44">
        <v>5.4238999999999997</v>
      </c>
      <c r="U44" s="50">
        <v>5.8299999999999999E-8</v>
      </c>
      <c r="W44" t="str">
        <f t="shared" si="3"/>
        <v>***</v>
      </c>
    </row>
    <row r="45" spans="1:23" x14ac:dyDescent="0.25">
      <c r="A45">
        <v>44</v>
      </c>
      <c r="B45" t="s">
        <v>41</v>
      </c>
      <c r="C45" s="50">
        <v>2.053143E-2</v>
      </c>
      <c r="D45" s="50">
        <v>6.8253430000000004E-2</v>
      </c>
      <c r="E45">
        <v>-1.58605037E-2</v>
      </c>
      <c r="F45" s="50">
        <v>0.16358829999999999</v>
      </c>
      <c r="G45" s="50">
        <v>4.6709229999999996E-3</v>
      </c>
      <c r="H45" s="50">
        <v>6.6237320000000002E-4</v>
      </c>
      <c r="J45" t="str">
        <f t="shared" si="0"/>
        <v>*</v>
      </c>
      <c r="L45" t="str">
        <f t="shared" si="1"/>
        <v/>
      </c>
      <c r="N45" t="str">
        <f t="shared" si="2"/>
        <v>***</v>
      </c>
      <c r="P45">
        <v>44</v>
      </c>
      <c r="Q45" t="s">
        <v>40</v>
      </c>
      <c r="R45" s="50">
        <v>-3.6579E-3</v>
      </c>
      <c r="S45" s="50">
        <v>1.1098999999999999E-2</v>
      </c>
      <c r="T45">
        <v>-0.3296</v>
      </c>
      <c r="U45">
        <v>0.7417376</v>
      </c>
      <c r="W45" t="str">
        <f t="shared" si="3"/>
        <v/>
      </c>
    </row>
    <row r="46" spans="1:23" x14ac:dyDescent="0.25">
      <c r="A46">
        <v>45</v>
      </c>
      <c r="B46" t="s">
        <v>173</v>
      </c>
      <c r="C46" s="50">
        <v>3.565919E-2</v>
      </c>
      <c r="D46" s="50">
        <v>4.3467779999999999E-8</v>
      </c>
      <c r="E46">
        <v>-3.3416215200000002E-2</v>
      </c>
      <c r="F46" s="50">
        <v>2.016168E-3</v>
      </c>
      <c r="G46" s="50">
        <v>2.2429759999999998E-3</v>
      </c>
      <c r="H46" s="50">
        <v>0.77327040000000002</v>
      </c>
      <c r="J46" t="str">
        <f t="shared" si="0"/>
        <v>***</v>
      </c>
      <c r="L46" t="str">
        <f t="shared" si="1"/>
        <v>***</v>
      </c>
      <c r="N46" t="str">
        <f t="shared" si="2"/>
        <v/>
      </c>
      <c r="P46">
        <v>45</v>
      </c>
      <c r="Q46" t="s">
        <v>41</v>
      </c>
      <c r="R46" s="50">
        <v>2.0853E-2</v>
      </c>
      <c r="S46" s="50">
        <v>1.1323E-2</v>
      </c>
      <c r="T46">
        <v>1.8415999999999999</v>
      </c>
      <c r="U46">
        <v>6.5526699999999993E-2</v>
      </c>
      <c r="W46" t="str">
        <f t="shared" si="3"/>
        <v>*</v>
      </c>
    </row>
    <row r="47" spans="1:23" x14ac:dyDescent="0.25">
      <c r="A47">
        <v>46</v>
      </c>
      <c r="B47" t="s">
        <v>174</v>
      </c>
      <c r="C47" s="50">
        <v>1.8764590000000001E-2</v>
      </c>
      <c r="D47" s="50">
        <v>2.6584739999999999E-2</v>
      </c>
      <c r="E47">
        <v>-2.4958683499999999E-2</v>
      </c>
      <c r="F47" s="50">
        <v>1.1142330000000001E-2</v>
      </c>
      <c r="G47" s="50">
        <v>-6.1940939999999998E-3</v>
      </c>
      <c r="H47" s="50">
        <v>0.20007230000000001</v>
      </c>
      <c r="J47" t="str">
        <f t="shared" si="0"/>
        <v>**</v>
      </c>
      <c r="L47" t="str">
        <f t="shared" si="1"/>
        <v>**</v>
      </c>
      <c r="N47" t="str">
        <f t="shared" si="2"/>
        <v/>
      </c>
      <c r="P47">
        <v>46</v>
      </c>
      <c r="Q47" t="s">
        <v>173</v>
      </c>
      <c r="R47" s="50">
        <v>3.6337000000000001E-2</v>
      </c>
      <c r="S47" s="50">
        <v>6.7267999999999998E-3</v>
      </c>
      <c r="T47">
        <v>5.4016999999999999</v>
      </c>
      <c r="U47" s="50">
        <v>6.5999999999999995E-8</v>
      </c>
      <c r="W47" t="str">
        <f t="shared" si="3"/>
        <v>***</v>
      </c>
    </row>
    <row r="48" spans="1:23" x14ac:dyDescent="0.25">
      <c r="A48">
        <v>47</v>
      </c>
      <c r="B48" t="s">
        <v>175</v>
      </c>
      <c r="C48" s="50">
        <v>2.812251E-2</v>
      </c>
      <c r="D48" s="50">
        <v>2.3985009999999999E-5</v>
      </c>
      <c r="E48">
        <v>-1.8095812100000001E-2</v>
      </c>
      <c r="F48" s="50">
        <v>2.746585E-2</v>
      </c>
      <c r="G48" s="50">
        <v>1.00267E-2</v>
      </c>
      <c r="H48" s="50">
        <v>2.608539E-2</v>
      </c>
      <c r="J48" t="str">
        <f t="shared" si="0"/>
        <v>***</v>
      </c>
      <c r="L48" t="str">
        <f t="shared" si="1"/>
        <v>**</v>
      </c>
      <c r="N48" t="str">
        <f t="shared" si="2"/>
        <v>**</v>
      </c>
      <c r="P48">
        <v>47</v>
      </c>
      <c r="Q48" t="s">
        <v>174</v>
      </c>
      <c r="R48" s="50">
        <v>1.9271E-2</v>
      </c>
      <c r="S48" s="50">
        <v>8.5540000000000008E-3</v>
      </c>
      <c r="T48">
        <v>2.2528000000000001</v>
      </c>
      <c r="U48">
        <v>2.4270099999999999E-2</v>
      </c>
      <c r="W48" t="str">
        <f t="shared" si="3"/>
        <v>**</v>
      </c>
    </row>
    <row r="49" spans="1:23" x14ac:dyDescent="0.25">
      <c r="A49">
        <v>48</v>
      </c>
      <c r="B49" t="s">
        <v>43</v>
      </c>
      <c r="C49" s="50">
        <v>6.2017589999999997E-2</v>
      </c>
      <c r="D49" s="50">
        <v>0.2482887</v>
      </c>
      <c r="E49">
        <v>-1.4547134719000001</v>
      </c>
      <c r="F49" s="50">
        <v>1.650071E-8</v>
      </c>
      <c r="G49" s="50">
        <v>-1.3926959999999999</v>
      </c>
      <c r="H49" s="50">
        <v>6.9431389999999993E-8</v>
      </c>
      <c r="J49" t="str">
        <f t="shared" si="0"/>
        <v/>
      </c>
      <c r="L49" t="str">
        <f t="shared" si="1"/>
        <v>***</v>
      </c>
      <c r="N49" t="str">
        <f t="shared" si="2"/>
        <v>***</v>
      </c>
      <c r="P49">
        <v>48</v>
      </c>
      <c r="Q49" t="s">
        <v>175</v>
      </c>
      <c r="R49" s="50">
        <v>2.8489E-2</v>
      </c>
      <c r="S49" s="50">
        <v>6.7790000000000003E-3</v>
      </c>
      <c r="T49">
        <v>4.2026000000000003</v>
      </c>
      <c r="U49" s="50">
        <v>2.639E-5</v>
      </c>
      <c r="W49" t="str">
        <f t="shared" si="3"/>
        <v>***</v>
      </c>
    </row>
    <row r="50" spans="1:23" x14ac:dyDescent="0.25">
      <c r="A50">
        <v>49</v>
      </c>
      <c r="B50" t="s">
        <v>44</v>
      </c>
      <c r="C50" s="50">
        <v>-1.5302369999999999E-2</v>
      </c>
      <c r="D50" s="50">
        <v>0.32406669999999999</v>
      </c>
      <c r="E50">
        <v>-0.25081302080000001</v>
      </c>
      <c r="F50" s="50">
        <v>1.2920550000000001E-7</v>
      </c>
      <c r="G50" s="50">
        <v>-0.2661154</v>
      </c>
      <c r="H50" s="50">
        <v>5.1258330000000004E-9</v>
      </c>
      <c r="J50" t="str">
        <f t="shared" si="0"/>
        <v/>
      </c>
      <c r="L50" t="str">
        <f t="shared" si="1"/>
        <v>***</v>
      </c>
      <c r="N50" t="str">
        <f t="shared" si="2"/>
        <v>***</v>
      </c>
      <c r="P50">
        <v>49</v>
      </c>
      <c r="Q50" t="s">
        <v>43</v>
      </c>
      <c r="R50" s="50">
        <v>9.1518000000000002E-2</v>
      </c>
      <c r="S50" s="50">
        <v>5.3457999999999999E-2</v>
      </c>
      <c r="T50">
        <v>1.712</v>
      </c>
      <c r="U50">
        <v>8.6904400000000007E-2</v>
      </c>
      <c r="W50" t="str">
        <f t="shared" si="3"/>
        <v>*</v>
      </c>
    </row>
    <row r="51" spans="1:23" x14ac:dyDescent="0.25">
      <c r="A51">
        <v>50</v>
      </c>
      <c r="B51" t="s">
        <v>45</v>
      </c>
      <c r="C51" s="50">
        <v>-7.3082250000000001E-2</v>
      </c>
      <c r="D51" s="50">
        <v>1.141607E-3</v>
      </c>
      <c r="E51">
        <v>-0.94164341129999996</v>
      </c>
      <c r="F51" s="50">
        <v>0</v>
      </c>
      <c r="G51" s="50">
        <v>-1.014726</v>
      </c>
      <c r="H51" s="50">
        <v>0</v>
      </c>
      <c r="J51" t="str">
        <f t="shared" si="0"/>
        <v>***</v>
      </c>
      <c r="L51" t="str">
        <f t="shared" si="1"/>
        <v>***</v>
      </c>
      <c r="N51" t="str">
        <f t="shared" si="2"/>
        <v>***</v>
      </c>
      <c r="P51">
        <v>50</v>
      </c>
      <c r="Q51" t="s">
        <v>44</v>
      </c>
      <c r="R51" s="50">
        <v>-1.0215999999999999E-2</v>
      </c>
      <c r="S51" s="50">
        <v>1.5771E-2</v>
      </c>
      <c r="T51">
        <v>-0.64780000000000004</v>
      </c>
      <c r="U51">
        <v>0.51713710000000002</v>
      </c>
      <c r="W51" t="str">
        <f t="shared" si="3"/>
        <v/>
      </c>
    </row>
    <row r="52" spans="1:23" x14ac:dyDescent="0.25">
      <c r="A52">
        <v>51</v>
      </c>
      <c r="B52" t="s">
        <v>48</v>
      </c>
      <c r="C52" s="50">
        <v>-2.512468E-2</v>
      </c>
      <c r="D52" s="50">
        <v>4.3415170000000003E-2</v>
      </c>
      <c r="E52">
        <v>6.1503980100000001E-2</v>
      </c>
      <c r="F52" s="50">
        <v>0.2440804</v>
      </c>
      <c r="G52" s="50">
        <v>3.6379300000000003E-2</v>
      </c>
      <c r="H52" s="50">
        <v>0.48391000000000001</v>
      </c>
      <c r="J52" t="str">
        <f t="shared" si="0"/>
        <v>**</v>
      </c>
      <c r="L52" t="str">
        <f t="shared" si="1"/>
        <v/>
      </c>
      <c r="N52" t="str">
        <f t="shared" si="2"/>
        <v/>
      </c>
      <c r="P52">
        <v>51</v>
      </c>
      <c r="Q52" t="s">
        <v>45</v>
      </c>
      <c r="R52" s="50">
        <v>-5.3984999999999998E-2</v>
      </c>
      <c r="S52" s="50">
        <v>2.3047000000000002E-2</v>
      </c>
      <c r="T52">
        <v>-2.3424</v>
      </c>
      <c r="U52">
        <v>1.9158000000000001E-2</v>
      </c>
      <c r="W52" t="str">
        <f t="shared" si="3"/>
        <v>**</v>
      </c>
    </row>
    <row r="53" spans="1:23" x14ac:dyDescent="0.25">
      <c r="A53">
        <v>52</v>
      </c>
      <c r="B53" t="s">
        <v>46</v>
      </c>
      <c r="C53" s="50">
        <v>-0.1475794</v>
      </c>
      <c r="D53" s="50">
        <v>6.0749180000000002E-12</v>
      </c>
      <c r="E53">
        <v>-0.21109630900000001</v>
      </c>
      <c r="F53" s="50">
        <v>7.629321E-2</v>
      </c>
      <c r="G53" s="50">
        <v>-0.35867569999999999</v>
      </c>
      <c r="H53" s="50">
        <v>2.2554150000000002E-3</v>
      </c>
      <c r="J53" t="str">
        <f t="shared" si="0"/>
        <v>***</v>
      </c>
      <c r="L53" t="str">
        <f t="shared" si="1"/>
        <v>*</v>
      </c>
      <c r="N53" t="str">
        <f t="shared" si="2"/>
        <v>***</v>
      </c>
      <c r="P53">
        <v>52</v>
      </c>
      <c r="Q53" t="s">
        <v>48</v>
      </c>
      <c r="R53" s="50">
        <v>-2.6372E-2</v>
      </c>
      <c r="S53" s="50">
        <v>1.2753E-2</v>
      </c>
      <c r="T53">
        <v>-2.0680000000000001</v>
      </c>
      <c r="U53">
        <v>3.8643299999999998E-2</v>
      </c>
      <c r="W53" t="str">
        <f t="shared" si="3"/>
        <v>**</v>
      </c>
    </row>
    <row r="54" spans="1:23" x14ac:dyDescent="0.25">
      <c r="C54" s="50"/>
      <c r="D54" s="50"/>
      <c r="F54" s="50"/>
      <c r="G54" s="50"/>
      <c r="H54" s="50"/>
      <c r="P54">
        <v>53</v>
      </c>
      <c r="Q54" t="s">
        <v>46</v>
      </c>
      <c r="R54" s="50">
        <v>-0.14330000000000001</v>
      </c>
      <c r="S54" s="50">
        <v>2.2144E-2</v>
      </c>
      <c r="T54">
        <v>-6.4710999999999999</v>
      </c>
      <c r="U54" s="50">
        <v>9.7279999999999999E-11</v>
      </c>
      <c r="W54" t="str">
        <f t="shared" si="3"/>
        <v>***</v>
      </c>
    </row>
    <row r="55" spans="1:23" x14ac:dyDescent="0.25">
      <c r="C55" s="50"/>
      <c r="D55" s="50"/>
      <c r="F55" s="50"/>
      <c r="G55" s="50"/>
      <c r="H55" s="50"/>
      <c r="P55">
        <v>54</v>
      </c>
      <c r="Q55" t="s">
        <v>731</v>
      </c>
      <c r="R55" s="50">
        <v>-1.3450999999999999E-2</v>
      </c>
      <c r="S55" s="50">
        <v>3.8198999999999997E-2</v>
      </c>
      <c r="T55">
        <v>-0.35210000000000002</v>
      </c>
      <c r="U55">
        <v>0.72473799999999999</v>
      </c>
      <c r="W55" t="str">
        <f t="shared" si="3"/>
        <v/>
      </c>
    </row>
    <row r="56" spans="1:23" x14ac:dyDescent="0.25">
      <c r="C56" s="50"/>
      <c r="D56" s="50"/>
      <c r="F56" s="50"/>
      <c r="G56" s="50"/>
      <c r="H56" s="50"/>
      <c r="P56">
        <v>55</v>
      </c>
      <c r="Q56" t="s">
        <v>732</v>
      </c>
      <c r="R56" s="50">
        <v>3.2823999999999999E-4</v>
      </c>
      <c r="S56" s="50">
        <v>8.6147E-5</v>
      </c>
      <c r="T56">
        <v>3.8102</v>
      </c>
      <c r="U56">
        <v>1.3889999999999999E-4</v>
      </c>
      <c r="W56" t="str">
        <f t="shared" si="3"/>
        <v>***</v>
      </c>
    </row>
    <row r="57" spans="1:23" x14ac:dyDescent="0.25">
      <c r="C57" s="50"/>
      <c r="D57" s="50"/>
      <c r="F57" s="50"/>
      <c r="G57" s="50"/>
      <c r="H57" s="50"/>
      <c r="P57">
        <v>56</v>
      </c>
      <c r="Q57" t="s">
        <v>733</v>
      </c>
      <c r="R57" s="50">
        <v>2.5989999999999999E-2</v>
      </c>
      <c r="S57" s="50">
        <v>1.9286000000000001E-2</v>
      </c>
      <c r="T57">
        <v>1.3475999999999999</v>
      </c>
      <c r="U57">
        <v>0.17778189999999999</v>
      </c>
      <c r="W57" t="str">
        <f t="shared" si="3"/>
        <v/>
      </c>
    </row>
    <row r="58" spans="1:23" x14ac:dyDescent="0.25">
      <c r="C58" s="50"/>
      <c r="D58" s="50"/>
      <c r="F58" s="50"/>
      <c r="G58" s="50"/>
      <c r="H58" s="50"/>
      <c r="P58">
        <v>57</v>
      </c>
      <c r="Q58" t="s">
        <v>734</v>
      </c>
      <c r="R58" s="50">
        <v>-8.6275999999999992E-3</v>
      </c>
      <c r="S58" s="50">
        <v>2.0022000000000002E-2</v>
      </c>
      <c r="T58">
        <v>-0.43090000000000001</v>
      </c>
      <c r="U58">
        <v>0.66653989999999996</v>
      </c>
      <c r="W58" t="str">
        <f t="shared" si="3"/>
        <v/>
      </c>
    </row>
    <row r="59" spans="1:23" x14ac:dyDescent="0.25">
      <c r="B59" t="s">
        <v>716</v>
      </c>
      <c r="C59" s="26">
        <v>19900</v>
      </c>
      <c r="D59" s="50"/>
      <c r="F59" s="50"/>
      <c r="H59" s="50"/>
      <c r="P59">
        <v>58</v>
      </c>
      <c r="Q59" t="s">
        <v>735</v>
      </c>
      <c r="R59" s="50">
        <v>3.1616000000000001E-3</v>
      </c>
      <c r="S59" s="50">
        <v>1.9428999999999998E-2</v>
      </c>
      <c r="T59">
        <v>0.16270000000000001</v>
      </c>
      <c r="U59">
        <v>0.87073290000000003</v>
      </c>
      <c r="W59" t="str">
        <f t="shared" si="3"/>
        <v/>
      </c>
    </row>
    <row r="60" spans="1:23" x14ac:dyDescent="0.25">
      <c r="P60">
        <v>59</v>
      </c>
      <c r="Q60" t="s">
        <v>736</v>
      </c>
      <c r="R60" s="50">
        <v>-8.8462000000000002E-3</v>
      </c>
      <c r="S60" s="50">
        <v>3.8927000000000003E-2</v>
      </c>
      <c r="T60">
        <v>-0.22720000000000001</v>
      </c>
      <c r="U60">
        <v>0.82022949999999994</v>
      </c>
      <c r="W60" t="str">
        <f t="shared" si="3"/>
        <v/>
      </c>
    </row>
    <row r="61" spans="1:23" x14ac:dyDescent="0.25">
      <c r="B61" t="s">
        <v>718</v>
      </c>
      <c r="C61">
        <v>0.78771000000000002</v>
      </c>
      <c r="D61" t="s">
        <v>719</v>
      </c>
      <c r="E61">
        <v>7086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737</v>
      </c>
      <c r="R61" s="50">
        <v>-9.5518000000000006E-2</v>
      </c>
      <c r="S61" s="50">
        <v>4.2907000000000001E-2</v>
      </c>
      <c r="T61">
        <v>-2.2261000000000002</v>
      </c>
      <c r="U61">
        <v>2.60044E-2</v>
      </c>
      <c r="W61" t="str">
        <f t="shared" si="3"/>
        <v>**</v>
      </c>
    </row>
    <row r="62" spans="1:23" x14ac:dyDescent="0.25">
      <c r="B62" t="s">
        <v>497</v>
      </c>
      <c r="C62">
        <v>-18611</v>
      </c>
      <c r="P62">
        <v>61</v>
      </c>
      <c r="Q62" t="s">
        <v>738</v>
      </c>
      <c r="R62" s="50">
        <v>-0.13478999999999999</v>
      </c>
      <c r="S62" s="50">
        <v>4.3846000000000003E-2</v>
      </c>
      <c r="T62">
        <v>-3.0741999999999998</v>
      </c>
      <c r="U62">
        <v>2.1104000000000001E-3</v>
      </c>
      <c r="W62" t="str">
        <f t="shared" si="3"/>
        <v>***</v>
      </c>
    </row>
    <row r="63" spans="1:23" x14ac:dyDescent="0.25">
      <c r="B63" t="s">
        <v>717</v>
      </c>
      <c r="C63">
        <v>9412.3729999999996</v>
      </c>
      <c r="P63">
        <v>62</v>
      </c>
      <c r="Q63" t="s">
        <v>739</v>
      </c>
      <c r="R63" s="50">
        <v>-0.13367999999999999</v>
      </c>
      <c r="S63" s="50">
        <v>7.5689000000000006E-2</v>
      </c>
      <c r="T63">
        <v>-1.7661</v>
      </c>
      <c r="U63">
        <v>7.7375100000000002E-2</v>
      </c>
      <c r="W63" t="str">
        <f t="shared" si="3"/>
        <v>*</v>
      </c>
    </row>
    <row r="64" spans="1:23" x14ac:dyDescent="0.25">
      <c r="P64">
        <v>63</v>
      </c>
      <c r="Q64" t="s">
        <v>740</v>
      </c>
      <c r="R64" s="50">
        <v>-3.4047000000000001E-2</v>
      </c>
      <c r="S64" s="50">
        <v>3.7467999999999998E-3</v>
      </c>
      <c r="T64">
        <v>-9.0870999999999995</v>
      </c>
      <c r="U64" s="50">
        <v>2.2E-16</v>
      </c>
      <c r="W64" t="str">
        <f t="shared" si="3"/>
        <v>***</v>
      </c>
    </row>
    <row r="65" spans="16:23" x14ac:dyDescent="0.25">
      <c r="P65">
        <v>64</v>
      </c>
      <c r="Q65" t="s">
        <v>741</v>
      </c>
      <c r="R65" s="50">
        <v>-6.6648000000000002E-3</v>
      </c>
      <c r="S65" s="50">
        <v>7.1192E-3</v>
      </c>
      <c r="T65">
        <v>-0.93620000000000003</v>
      </c>
      <c r="U65">
        <v>0.34917959999999998</v>
      </c>
      <c r="W65" t="str">
        <f t="shared" si="3"/>
        <v/>
      </c>
    </row>
    <row r="66" spans="16:23" x14ac:dyDescent="0.25">
      <c r="P66">
        <v>65</v>
      </c>
      <c r="Q66" t="s">
        <v>742</v>
      </c>
      <c r="R66" s="50">
        <v>-8.4878999999999996E-3</v>
      </c>
      <c r="S66" s="50">
        <v>6.9826999999999997E-3</v>
      </c>
      <c r="T66">
        <v>-1.2156</v>
      </c>
      <c r="U66">
        <v>0.22415119999999999</v>
      </c>
      <c r="W66" t="str">
        <f t="shared" si="3"/>
        <v/>
      </c>
    </row>
    <row r="67" spans="16:23" x14ac:dyDescent="0.25">
      <c r="P67">
        <v>66</v>
      </c>
      <c r="Q67" t="s">
        <v>743</v>
      </c>
      <c r="R67" s="50">
        <v>1.7682E-2</v>
      </c>
      <c r="S67" s="50">
        <v>7.9375999999999995E-3</v>
      </c>
      <c r="T67">
        <v>2.2275999999999998</v>
      </c>
      <c r="U67">
        <v>2.5905399999999999E-2</v>
      </c>
      <c r="W67" t="str">
        <f t="shared" ref="W67:W116" si="4">IF(U67&lt;0.01,"***",IF(U67&lt;0.05,"**",IF(U67&lt;0.1,"*","")))</f>
        <v>**</v>
      </c>
    </row>
    <row r="68" spans="16:23" x14ac:dyDescent="0.25">
      <c r="P68">
        <v>67</v>
      </c>
      <c r="Q68" t="s">
        <v>744</v>
      </c>
      <c r="R68" s="50">
        <v>2.172E-2</v>
      </c>
      <c r="S68" s="50">
        <v>1.8983E-2</v>
      </c>
      <c r="T68">
        <v>1.1442000000000001</v>
      </c>
      <c r="U68">
        <v>0.25254910000000003</v>
      </c>
      <c r="W68" t="str">
        <f t="shared" si="4"/>
        <v/>
      </c>
    </row>
    <row r="69" spans="16:23" x14ac:dyDescent="0.25">
      <c r="P69">
        <v>68</v>
      </c>
      <c r="Q69" t="s">
        <v>745</v>
      </c>
      <c r="R69" s="50">
        <v>-3.7719000000000003E-5</v>
      </c>
      <c r="S69" s="50">
        <v>5.4747999999999997E-6</v>
      </c>
      <c r="T69">
        <v>-6.8895</v>
      </c>
      <c r="U69" s="50">
        <v>5.5989999999999999E-12</v>
      </c>
      <c r="W69" t="str">
        <f t="shared" si="4"/>
        <v>***</v>
      </c>
    </row>
    <row r="70" spans="16:23" x14ac:dyDescent="0.25">
      <c r="P70">
        <v>69</v>
      </c>
      <c r="Q70" t="s">
        <v>746</v>
      </c>
      <c r="R70" s="50">
        <v>2.6549999999999998E-3</v>
      </c>
      <c r="S70" s="50">
        <v>5.1234999999999996E-4</v>
      </c>
      <c r="T70">
        <v>5.1821000000000002</v>
      </c>
      <c r="U70" s="50">
        <v>2.195E-7</v>
      </c>
      <c r="W70" t="str">
        <f t="shared" si="4"/>
        <v>***</v>
      </c>
    </row>
    <row r="71" spans="16:23" x14ac:dyDescent="0.25">
      <c r="P71">
        <v>70</v>
      </c>
      <c r="Q71" t="s">
        <v>747</v>
      </c>
      <c r="R71" s="50">
        <v>-8.2365000000000008E-3</v>
      </c>
      <c r="S71" s="50">
        <v>5.0276000000000001E-3</v>
      </c>
      <c r="T71">
        <v>-1.6383000000000001</v>
      </c>
      <c r="U71">
        <v>0.10136920000000001</v>
      </c>
      <c r="W71" t="str">
        <f t="shared" si="4"/>
        <v/>
      </c>
    </row>
    <row r="72" spans="16:23" x14ac:dyDescent="0.25">
      <c r="P72">
        <v>71</v>
      </c>
      <c r="Q72" t="s">
        <v>748</v>
      </c>
      <c r="R72" s="50">
        <v>-2.103E-2</v>
      </c>
      <c r="S72" s="50">
        <v>2.6353000000000001E-2</v>
      </c>
      <c r="T72">
        <v>-0.79800000000000004</v>
      </c>
      <c r="U72">
        <v>0.42485260000000002</v>
      </c>
      <c r="W72" t="str">
        <f t="shared" si="4"/>
        <v/>
      </c>
    </row>
    <row r="73" spans="16:23" x14ac:dyDescent="0.25">
      <c r="P73">
        <v>72</v>
      </c>
      <c r="Q73" t="s">
        <v>749</v>
      </c>
      <c r="R73" s="50">
        <v>-4.7357000000000003E-2</v>
      </c>
      <c r="S73" s="50">
        <v>1.3462E-2</v>
      </c>
      <c r="T73">
        <v>-3.5179</v>
      </c>
      <c r="U73">
        <v>4.35E-4</v>
      </c>
      <c r="W73" t="str">
        <f t="shared" si="4"/>
        <v>***</v>
      </c>
    </row>
    <row r="74" spans="16:23" x14ac:dyDescent="0.25">
      <c r="P74">
        <v>73</v>
      </c>
      <c r="Q74" t="s">
        <v>750</v>
      </c>
      <c r="R74" s="50">
        <v>-3.9898000000000003E-2</v>
      </c>
      <c r="S74" s="50">
        <v>1.2956000000000001E-2</v>
      </c>
      <c r="T74">
        <v>-3.0794999999999999</v>
      </c>
      <c r="U74">
        <v>2.0736000000000001E-3</v>
      </c>
      <c r="W74" t="str">
        <f t="shared" si="4"/>
        <v>***</v>
      </c>
    </row>
    <row r="75" spans="16:23" x14ac:dyDescent="0.25">
      <c r="P75">
        <v>74</v>
      </c>
      <c r="Q75" t="s">
        <v>751</v>
      </c>
      <c r="R75" s="50">
        <v>7.7310000000000004E-2</v>
      </c>
      <c r="S75" s="50">
        <v>1.9972E-2</v>
      </c>
      <c r="T75">
        <v>3.871</v>
      </c>
      <c r="U75">
        <v>1.0840000000000001E-4</v>
      </c>
      <c r="W75" t="str">
        <f t="shared" si="4"/>
        <v>***</v>
      </c>
    </row>
    <row r="76" spans="16:23" x14ac:dyDescent="0.25">
      <c r="P76">
        <v>75</v>
      </c>
      <c r="Q76" t="s">
        <v>752</v>
      </c>
      <c r="R76" s="50">
        <v>8.9920999999999994E-3</v>
      </c>
      <c r="S76" s="50">
        <v>2.1176E-2</v>
      </c>
      <c r="T76">
        <v>0.42459999999999998</v>
      </c>
      <c r="U76">
        <v>0.67110950000000003</v>
      </c>
      <c r="W76" t="str">
        <f t="shared" si="4"/>
        <v/>
      </c>
    </row>
    <row r="77" spans="16:23" x14ac:dyDescent="0.25">
      <c r="P77">
        <v>76</v>
      </c>
      <c r="Q77" t="s">
        <v>753</v>
      </c>
      <c r="R77" s="50">
        <v>1.583E-2</v>
      </c>
      <c r="S77" s="50">
        <v>4.5116999999999997E-2</v>
      </c>
      <c r="T77">
        <v>0.35089999999999999</v>
      </c>
      <c r="U77">
        <v>0.72567959999999998</v>
      </c>
      <c r="W77" t="str">
        <f t="shared" si="4"/>
        <v/>
      </c>
    </row>
    <row r="78" spans="16:23" x14ac:dyDescent="0.25">
      <c r="P78">
        <v>77</v>
      </c>
      <c r="Q78" t="s">
        <v>758</v>
      </c>
      <c r="R78" s="50">
        <v>5.9046000000000001E-2</v>
      </c>
      <c r="S78" s="50">
        <v>3.0391999999999999E-2</v>
      </c>
      <c r="T78">
        <v>1.9428000000000001</v>
      </c>
      <c r="U78">
        <v>5.2035999999999999E-2</v>
      </c>
      <c r="W78" t="str">
        <f t="shared" si="4"/>
        <v>*</v>
      </c>
    </row>
    <row r="79" spans="16:23" x14ac:dyDescent="0.25">
      <c r="P79">
        <v>78</v>
      </c>
      <c r="Q79" t="s">
        <v>760</v>
      </c>
      <c r="R79" s="50">
        <v>-6.0569999999999999E-2</v>
      </c>
      <c r="S79" s="50">
        <v>1.2399E-2</v>
      </c>
      <c r="T79">
        <v>-4.8851000000000004</v>
      </c>
      <c r="U79" s="50">
        <v>1.034E-6</v>
      </c>
      <c r="W79" t="str">
        <f t="shared" si="4"/>
        <v>***</v>
      </c>
    </row>
    <row r="80" spans="16:23" x14ac:dyDescent="0.25">
      <c r="P80">
        <v>79</v>
      </c>
      <c r="Q80" t="s">
        <v>761</v>
      </c>
      <c r="R80" s="50">
        <v>-0.17039000000000001</v>
      </c>
      <c r="S80" s="50">
        <v>1.9602000000000001E-2</v>
      </c>
      <c r="T80">
        <v>-8.6923999999999992</v>
      </c>
      <c r="U80" s="50">
        <v>2.2E-16</v>
      </c>
      <c r="W80" t="str">
        <f t="shared" si="4"/>
        <v>***</v>
      </c>
    </row>
    <row r="81" spans="16:23" x14ac:dyDescent="0.25">
      <c r="P81">
        <v>80</v>
      </c>
      <c r="Q81" t="s">
        <v>762</v>
      </c>
      <c r="R81" s="50">
        <v>-0.12074</v>
      </c>
      <c r="S81" s="50">
        <v>0.49901000000000001</v>
      </c>
      <c r="T81">
        <v>-0.2419</v>
      </c>
      <c r="U81">
        <v>0.80881970000000003</v>
      </c>
      <c r="W81" t="str">
        <f t="shared" si="4"/>
        <v/>
      </c>
    </row>
    <row r="82" spans="16:23" x14ac:dyDescent="0.25">
      <c r="P82">
        <v>81</v>
      </c>
      <c r="Q82" t="s">
        <v>763</v>
      </c>
      <c r="R82" s="50">
        <v>4.2812999999999997E-2</v>
      </c>
      <c r="S82" s="50">
        <v>1.1008E-2</v>
      </c>
      <c r="T82">
        <v>3.8894000000000002</v>
      </c>
      <c r="U82">
        <v>1.005E-4</v>
      </c>
      <c r="W82" t="str">
        <f t="shared" si="4"/>
        <v>***</v>
      </c>
    </row>
    <row r="83" spans="16:23" x14ac:dyDescent="0.25">
      <c r="P83">
        <v>82</v>
      </c>
      <c r="Q83" t="s">
        <v>764</v>
      </c>
      <c r="R83" s="50">
        <v>1.1735000000000001E-2</v>
      </c>
      <c r="S83" s="50">
        <v>1.8454000000000002E-2</v>
      </c>
      <c r="T83">
        <v>0.63590000000000002</v>
      </c>
      <c r="U83">
        <v>0.52485939999999998</v>
      </c>
      <c r="W83" t="str">
        <f t="shared" si="4"/>
        <v/>
      </c>
    </row>
    <row r="84" spans="16:23" x14ac:dyDescent="0.25">
      <c r="P84">
        <v>83</v>
      </c>
      <c r="Q84" t="s">
        <v>765</v>
      </c>
      <c r="R84" s="50">
        <v>-0.47065000000000001</v>
      </c>
      <c r="S84" s="50">
        <v>0.26349</v>
      </c>
      <c r="T84">
        <v>-1.7862</v>
      </c>
      <c r="U84">
        <v>7.4062000000000003E-2</v>
      </c>
      <c r="W84" t="str">
        <f t="shared" si="4"/>
        <v>*</v>
      </c>
    </row>
    <row r="85" spans="16:23" x14ac:dyDescent="0.25">
      <c r="P85">
        <v>84</v>
      </c>
      <c r="Q85" t="s">
        <v>766</v>
      </c>
      <c r="R85" s="50">
        <v>-0.11416999999999999</v>
      </c>
      <c r="S85" s="50">
        <v>2.1155E-2</v>
      </c>
      <c r="T85">
        <v>-5.3970000000000002</v>
      </c>
      <c r="U85" s="50">
        <v>6.7749999999999995E-8</v>
      </c>
      <c r="W85" t="str">
        <f t="shared" si="4"/>
        <v>***</v>
      </c>
    </row>
    <row r="86" spans="16:23" x14ac:dyDescent="0.25">
      <c r="P86">
        <v>85</v>
      </c>
      <c r="Q86" t="s">
        <v>767</v>
      </c>
      <c r="R86" s="50">
        <v>9.8648E-2</v>
      </c>
      <c r="S86" s="50">
        <v>0.37475000000000003</v>
      </c>
      <c r="T86">
        <v>0.26319999999999999</v>
      </c>
      <c r="U86">
        <v>0.79236779999999996</v>
      </c>
      <c r="W86" t="str">
        <f t="shared" si="4"/>
        <v/>
      </c>
    </row>
    <row r="87" spans="16:23" x14ac:dyDescent="0.25">
      <c r="P87">
        <v>86</v>
      </c>
      <c r="Q87" t="s">
        <v>768</v>
      </c>
      <c r="R87" s="50">
        <v>2.3573E-2</v>
      </c>
      <c r="S87" s="50">
        <v>7.2541999999999995E-2</v>
      </c>
      <c r="T87">
        <v>0.32500000000000001</v>
      </c>
      <c r="U87">
        <v>0.74521219999999999</v>
      </c>
      <c r="W87" t="str">
        <f t="shared" si="4"/>
        <v/>
      </c>
    </row>
    <row r="88" spans="16:23" x14ac:dyDescent="0.25">
      <c r="P88">
        <v>87</v>
      </c>
      <c r="Q88" t="s">
        <v>769</v>
      </c>
      <c r="R88" s="50">
        <v>4.3055999999999997E-2</v>
      </c>
      <c r="S88" s="50">
        <v>7.0199999999999999E-2</v>
      </c>
      <c r="T88">
        <v>0.61329999999999996</v>
      </c>
      <c r="U88">
        <v>0.53965359999999996</v>
      </c>
      <c r="W88" t="str">
        <f t="shared" si="4"/>
        <v/>
      </c>
    </row>
    <row r="89" spans="16:23" x14ac:dyDescent="0.25">
      <c r="P89">
        <v>88</v>
      </c>
      <c r="Q89" t="s">
        <v>770</v>
      </c>
      <c r="R89" s="50">
        <v>-8.8246000000000002E-3</v>
      </c>
      <c r="S89" s="50">
        <v>7.0085999999999996E-2</v>
      </c>
      <c r="T89">
        <v>-0.12590000000000001</v>
      </c>
      <c r="U89">
        <v>0.89980269999999996</v>
      </c>
      <c r="W89" t="str">
        <f t="shared" si="4"/>
        <v/>
      </c>
    </row>
    <row r="90" spans="16:23" x14ac:dyDescent="0.25">
      <c r="P90">
        <v>89</v>
      </c>
      <c r="Q90" t="s">
        <v>771</v>
      </c>
      <c r="R90" s="50">
        <v>1.6437E-2</v>
      </c>
      <c r="S90" s="50">
        <v>7.0049E-2</v>
      </c>
      <c r="T90">
        <v>0.23469999999999999</v>
      </c>
      <c r="U90">
        <v>0.81447700000000001</v>
      </c>
      <c r="W90" t="str">
        <f t="shared" si="4"/>
        <v/>
      </c>
    </row>
    <row r="91" spans="16:23" x14ac:dyDescent="0.25">
      <c r="P91">
        <v>90</v>
      </c>
      <c r="Q91" t="s">
        <v>772</v>
      </c>
      <c r="R91" s="50">
        <v>1.8103000000000001E-2</v>
      </c>
      <c r="S91" s="50">
        <v>7.1315000000000003E-2</v>
      </c>
      <c r="T91">
        <v>0.25390000000000001</v>
      </c>
      <c r="U91">
        <v>0.79960940000000003</v>
      </c>
      <c r="W91" t="str">
        <f t="shared" si="4"/>
        <v/>
      </c>
    </row>
    <row r="92" spans="16:23" x14ac:dyDescent="0.25">
      <c r="P92">
        <v>91</v>
      </c>
      <c r="Q92" t="s">
        <v>773</v>
      </c>
      <c r="R92" s="50">
        <v>-4.6689E-5</v>
      </c>
      <c r="S92" s="50">
        <v>4.9217E-5</v>
      </c>
      <c r="T92">
        <v>-0.9486</v>
      </c>
      <c r="U92">
        <v>0.34280909999999998</v>
      </c>
      <c r="W92" t="str">
        <f t="shared" si="4"/>
        <v/>
      </c>
    </row>
    <row r="93" spans="16:23" x14ac:dyDescent="0.25">
      <c r="P93">
        <v>92</v>
      </c>
      <c r="Q93" t="s">
        <v>774</v>
      </c>
      <c r="R93" s="50">
        <v>-3.0794999999999999E-2</v>
      </c>
      <c r="S93" s="50">
        <v>1.0264000000000001E-2</v>
      </c>
      <c r="T93">
        <v>-3.0001000000000002</v>
      </c>
      <c r="U93">
        <v>2.6987999999999999E-3</v>
      </c>
      <c r="W93" t="str">
        <f t="shared" si="4"/>
        <v>***</v>
      </c>
    </row>
    <row r="94" spans="16:23" x14ac:dyDescent="0.25">
      <c r="P94">
        <v>93</v>
      </c>
      <c r="Q94" t="s">
        <v>775</v>
      </c>
      <c r="R94" s="50">
        <v>3.2496999999999998E-2</v>
      </c>
      <c r="S94" s="50">
        <v>4.8876000000000003E-2</v>
      </c>
      <c r="T94">
        <v>0.66490000000000005</v>
      </c>
      <c r="U94">
        <v>0.50611419999999996</v>
      </c>
      <c r="W94" t="str">
        <f t="shared" si="4"/>
        <v/>
      </c>
    </row>
    <row r="95" spans="16:23" x14ac:dyDescent="0.25">
      <c r="P95">
        <v>94</v>
      </c>
      <c r="Q95" t="s">
        <v>776</v>
      </c>
      <c r="R95" s="50">
        <v>0.12118</v>
      </c>
      <c r="S95" s="50">
        <v>1.4749999999999999E-2</v>
      </c>
      <c r="T95">
        <v>8.2158999999999995</v>
      </c>
      <c r="U95" s="50">
        <v>2.2200000000000001E-16</v>
      </c>
      <c r="W95" t="str">
        <f t="shared" si="4"/>
        <v>***</v>
      </c>
    </row>
    <row r="96" spans="16:23" x14ac:dyDescent="0.25">
      <c r="P96">
        <v>95</v>
      </c>
      <c r="Q96" t="s">
        <v>777</v>
      </c>
      <c r="R96" s="50">
        <v>-8.8110999999999995E-2</v>
      </c>
      <c r="S96" s="50">
        <v>1.5909E-2</v>
      </c>
      <c r="T96">
        <v>-5.5384000000000002</v>
      </c>
      <c r="U96" s="50">
        <v>3.0519999999999998E-8</v>
      </c>
      <c r="W96" t="str">
        <f t="shared" si="4"/>
        <v>***</v>
      </c>
    </row>
    <row r="97" spans="16:23" x14ac:dyDescent="0.25">
      <c r="P97">
        <v>96</v>
      </c>
      <c r="Q97" t="s">
        <v>778</v>
      </c>
      <c r="R97" s="50">
        <v>2.0869E-3</v>
      </c>
      <c r="S97" s="50">
        <v>1.1109000000000001E-2</v>
      </c>
      <c r="T97">
        <v>0.18790000000000001</v>
      </c>
      <c r="U97">
        <v>0.85098189999999996</v>
      </c>
      <c r="W97" t="str">
        <f t="shared" si="4"/>
        <v/>
      </c>
    </row>
    <row r="98" spans="16:23" x14ac:dyDescent="0.25">
      <c r="P98">
        <v>97</v>
      </c>
      <c r="Q98" t="s">
        <v>779</v>
      </c>
      <c r="R98" s="50">
        <v>-1.9861E-2</v>
      </c>
      <c r="S98" s="50">
        <v>1.1332E-2</v>
      </c>
      <c r="T98">
        <v>-1.7526999999999999</v>
      </c>
      <c r="U98">
        <v>7.9659199999999999E-2</v>
      </c>
      <c r="W98" t="str">
        <f t="shared" si="4"/>
        <v>*</v>
      </c>
    </row>
    <row r="99" spans="16:23" x14ac:dyDescent="0.25">
      <c r="P99">
        <v>98</v>
      </c>
      <c r="Q99" t="s">
        <v>780</v>
      </c>
      <c r="R99" s="50">
        <v>-3.5860000000000003E-2</v>
      </c>
      <c r="S99" s="50">
        <v>7.1292999999999999E-3</v>
      </c>
      <c r="T99">
        <v>-5.0298999999999996</v>
      </c>
      <c r="U99" s="50">
        <v>4.9070000000000002E-7</v>
      </c>
      <c r="W99" t="str">
        <f t="shared" si="4"/>
        <v>***</v>
      </c>
    </row>
    <row r="100" spans="16:23" x14ac:dyDescent="0.25">
      <c r="P100">
        <v>99</v>
      </c>
      <c r="Q100" t="s">
        <v>781</v>
      </c>
      <c r="R100" s="50">
        <v>-2.0587000000000001E-2</v>
      </c>
      <c r="S100" s="50">
        <v>8.6292999999999995E-3</v>
      </c>
      <c r="T100">
        <v>-2.3856999999999999</v>
      </c>
      <c r="U100">
        <v>1.7048899999999999E-2</v>
      </c>
      <c r="W100" t="str">
        <f t="shared" si="4"/>
        <v>**</v>
      </c>
    </row>
    <row r="101" spans="16:23" x14ac:dyDescent="0.25">
      <c r="P101">
        <v>100</v>
      </c>
      <c r="Q101" t="s">
        <v>782</v>
      </c>
      <c r="R101" s="50">
        <v>-2.6359E-2</v>
      </c>
      <c r="S101" s="50">
        <v>6.8846000000000003E-3</v>
      </c>
      <c r="T101">
        <v>-3.8287</v>
      </c>
      <c r="U101">
        <v>1.2879999999999999E-4</v>
      </c>
      <c r="W101" t="str">
        <f t="shared" si="4"/>
        <v>***</v>
      </c>
    </row>
    <row r="102" spans="16:23" x14ac:dyDescent="0.25">
      <c r="P102">
        <v>101</v>
      </c>
      <c r="Q102" t="s">
        <v>783</v>
      </c>
      <c r="R102" s="50">
        <v>-0.38740999999999998</v>
      </c>
      <c r="S102" s="50">
        <v>7.6626E-2</v>
      </c>
      <c r="T102">
        <v>-5.0559000000000003</v>
      </c>
      <c r="U102" s="50">
        <v>4.284E-7</v>
      </c>
      <c r="W102" t="str">
        <f t="shared" si="4"/>
        <v>***</v>
      </c>
    </row>
    <row r="103" spans="16:23" x14ac:dyDescent="0.25">
      <c r="P103">
        <v>102</v>
      </c>
      <c r="Q103" t="s">
        <v>784</v>
      </c>
      <c r="R103" s="50">
        <v>-4.6323000000000003E-2</v>
      </c>
      <c r="S103" s="50">
        <v>1.8561000000000001E-2</v>
      </c>
      <c r="T103">
        <v>-2.4956999999999998</v>
      </c>
      <c r="U103">
        <v>1.25699E-2</v>
      </c>
      <c r="W103" t="str">
        <f t="shared" si="4"/>
        <v>**</v>
      </c>
    </row>
    <row r="104" spans="16:23" x14ac:dyDescent="0.25">
      <c r="P104">
        <v>103</v>
      </c>
      <c r="Q104" t="s">
        <v>785</v>
      </c>
      <c r="R104" s="50">
        <v>-0.16159999999999999</v>
      </c>
      <c r="S104" s="50">
        <v>3.1139E-2</v>
      </c>
      <c r="T104">
        <v>-5.1897000000000002</v>
      </c>
      <c r="U104" s="50">
        <v>2.1059999999999999E-7</v>
      </c>
      <c r="W104" t="str">
        <f t="shared" si="4"/>
        <v>***</v>
      </c>
    </row>
    <row r="105" spans="16:23" x14ac:dyDescent="0.25">
      <c r="P105">
        <v>104</v>
      </c>
      <c r="Q105" t="s">
        <v>786</v>
      </c>
      <c r="R105" s="50">
        <v>3.4100999999999999E-2</v>
      </c>
      <c r="S105" s="50">
        <v>1.7100000000000001E-2</v>
      </c>
      <c r="T105">
        <v>1.9943</v>
      </c>
      <c r="U105">
        <v>4.6124199999999997E-2</v>
      </c>
      <c r="W105" t="str">
        <f t="shared" si="4"/>
        <v>**</v>
      </c>
    </row>
    <row r="106" spans="16:23" x14ac:dyDescent="0.25">
      <c r="P106">
        <v>105</v>
      </c>
      <c r="Q106" t="s">
        <v>787</v>
      </c>
      <c r="R106" s="50">
        <v>6.7093E-2</v>
      </c>
      <c r="S106" s="50">
        <v>3.3839000000000001E-2</v>
      </c>
      <c r="T106">
        <v>1.9826999999999999</v>
      </c>
      <c r="U106">
        <v>4.7400400000000002E-2</v>
      </c>
      <c r="W106" t="str">
        <f t="shared" si="4"/>
        <v>**</v>
      </c>
    </row>
    <row r="107" spans="16:23" x14ac:dyDescent="0.25">
      <c r="P107">
        <v>106</v>
      </c>
      <c r="W107" t="str">
        <f t="shared" si="4"/>
        <v>***</v>
      </c>
    </row>
    <row r="108" spans="16:23" x14ac:dyDescent="0.25">
      <c r="P108">
        <v>107</v>
      </c>
      <c r="W108" t="str">
        <f t="shared" si="4"/>
        <v>***</v>
      </c>
    </row>
    <row r="109" spans="16:23" x14ac:dyDescent="0.25">
      <c r="P109">
        <v>108</v>
      </c>
      <c r="W109" t="str">
        <f t="shared" si="4"/>
        <v>***</v>
      </c>
    </row>
    <row r="110" spans="16:23" x14ac:dyDescent="0.25">
      <c r="P110">
        <v>109</v>
      </c>
      <c r="W110" t="str">
        <f t="shared" si="4"/>
        <v>***</v>
      </c>
    </row>
    <row r="111" spans="16:23" x14ac:dyDescent="0.25">
      <c r="P111">
        <v>110</v>
      </c>
      <c r="W111" t="str">
        <f t="shared" si="4"/>
        <v>***</v>
      </c>
    </row>
    <row r="112" spans="16:23" x14ac:dyDescent="0.25">
      <c r="P112">
        <v>111</v>
      </c>
      <c r="W112" t="str">
        <f t="shared" si="4"/>
        <v>***</v>
      </c>
    </row>
    <row r="113" spans="16:23" x14ac:dyDescent="0.25">
      <c r="P113">
        <v>112</v>
      </c>
      <c r="W113" t="str">
        <f t="shared" si="4"/>
        <v>***</v>
      </c>
    </row>
    <row r="114" spans="16:23" x14ac:dyDescent="0.25">
      <c r="P114">
        <v>113</v>
      </c>
      <c r="W114" t="str">
        <f t="shared" si="4"/>
        <v>***</v>
      </c>
    </row>
    <row r="115" spans="16:23" x14ac:dyDescent="0.25">
      <c r="P115">
        <v>114</v>
      </c>
      <c r="W115" t="str">
        <f t="shared" si="4"/>
        <v>***</v>
      </c>
    </row>
    <row r="116" spans="16:23" x14ac:dyDescent="0.25">
      <c r="P116">
        <v>115</v>
      </c>
      <c r="W116" t="str">
        <f t="shared" si="4"/>
        <v>***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CAFD0-3471-46F6-9A3F-D7A987AE9DCD}">
  <dimension ref="A1:W116"/>
  <sheetViews>
    <sheetView workbookViewId="0">
      <selection activeCell="J2" sqref="J2:N58"/>
    </sheetView>
  </sheetViews>
  <sheetFormatPr defaultRowHeight="15" x14ac:dyDescent="0.25"/>
  <cols>
    <col min="1" max="1" width="3" bestFit="1" customWidth="1"/>
    <col min="2" max="2" width="25.85546875" bestFit="1" customWidth="1"/>
    <col min="3" max="3" width="10.5703125" bestFit="1" customWidth="1"/>
    <col min="4" max="4" width="11.42578125" bestFit="1" customWidth="1"/>
    <col min="5" max="5" width="12.7109375" bestFit="1" customWidth="1"/>
    <col min="6" max="6" width="13.140625" bestFit="1" customWidth="1"/>
    <col min="7" max="7" width="12.7109375" bestFit="1" customWidth="1"/>
    <col min="8" max="8" width="10.5703125" bestFit="1" customWidth="1"/>
  </cols>
  <sheetData>
    <row r="1" spans="1:23" x14ac:dyDescent="0.25">
      <c r="B1" t="s">
        <v>709</v>
      </c>
      <c r="C1" t="s">
        <v>710</v>
      </c>
      <c r="D1" t="s">
        <v>711</v>
      </c>
      <c r="E1" t="s">
        <v>712</v>
      </c>
      <c r="F1" t="s">
        <v>713</v>
      </c>
      <c r="G1" t="s">
        <v>714</v>
      </c>
      <c r="H1" t="s">
        <v>715</v>
      </c>
      <c r="R1" t="s">
        <v>727</v>
      </c>
      <c r="S1" t="s">
        <v>728</v>
      </c>
      <c r="T1" t="s">
        <v>729</v>
      </c>
      <c r="U1" t="s">
        <v>730</v>
      </c>
    </row>
    <row r="2" spans="1:23" x14ac:dyDescent="0.25">
      <c r="A2">
        <v>1</v>
      </c>
      <c r="B2" t="s">
        <v>11</v>
      </c>
      <c r="C2" s="50">
        <v>4.0613679999999999E-2</v>
      </c>
      <c r="D2" s="50">
        <v>4.6697009999999998E-5</v>
      </c>
      <c r="E2">
        <v>0.21838619610000001</v>
      </c>
      <c r="F2" s="50">
        <v>0.2267972</v>
      </c>
      <c r="G2">
        <v>0.25899987590000001</v>
      </c>
      <c r="H2" s="50">
        <v>0.16467979999999999</v>
      </c>
      <c r="J2" t="str">
        <f>IF(D2&lt;0.01,"***",IF(D2&lt;0.05,"**",IF(D2&lt;0.1,"*","")))</f>
        <v>***</v>
      </c>
      <c r="L2" t="str">
        <f>IF(F2&lt;0.01,"***",IF(F2&lt;0.05,"**",IF(F2&lt;0.1,"*","")))</f>
        <v/>
      </c>
      <c r="N2" t="str">
        <f>IF(H2&lt;0.01,"***",IF(H2&lt;0.05,"**",IF(H2&lt;0.1,"*","")))</f>
        <v/>
      </c>
      <c r="P2">
        <v>1</v>
      </c>
      <c r="Q2" t="s">
        <v>273</v>
      </c>
      <c r="R2" s="50">
        <v>2.7195</v>
      </c>
      <c r="S2" s="50">
        <v>0.12257</v>
      </c>
      <c r="T2">
        <v>22.187899999999999</v>
      </c>
      <c r="U2" s="50">
        <v>2.2E-16</v>
      </c>
      <c r="W2" t="str">
        <f>IF(U2&lt;0.01,"***",IF(U2&lt;0.05,"**",IF(U2&lt;0.1,"*","")))</f>
        <v>***</v>
      </c>
    </row>
    <row r="3" spans="1:23" x14ac:dyDescent="0.25">
      <c r="A3">
        <v>2</v>
      </c>
      <c r="B3" t="s">
        <v>16</v>
      </c>
      <c r="C3" s="50">
        <v>-1.0859569999999999E-4</v>
      </c>
      <c r="D3" s="50">
        <v>1.5355529999999999E-6</v>
      </c>
      <c r="E3">
        <v>7.1855110000000003E-4</v>
      </c>
      <c r="F3" s="50">
        <v>6.3789830000000006E-2</v>
      </c>
      <c r="G3">
        <v>6.0995540000000005E-4</v>
      </c>
      <c r="H3" s="50">
        <v>0.12712190000000001</v>
      </c>
      <c r="J3" t="str">
        <f t="shared" ref="J3:J58" si="0">IF(D3&lt;0.01,"***",IF(D3&lt;0.05,"**",IF(D3&lt;0.1,"*","")))</f>
        <v>***</v>
      </c>
      <c r="L3" t="str">
        <f t="shared" ref="L3:L58" si="1">IF(F3&lt;0.01,"***",IF(F3&lt;0.05,"**",IF(F3&lt;0.1,"*","")))</f>
        <v>*</v>
      </c>
      <c r="N3" t="str">
        <f t="shared" ref="N3:N58" si="2">IF(H3&lt;0.01,"***",IF(H3&lt;0.05,"**",IF(H3&lt;0.1,"*","")))</f>
        <v/>
      </c>
      <c r="P3">
        <v>2</v>
      </c>
      <c r="Q3" t="s">
        <v>11</v>
      </c>
      <c r="R3" s="50">
        <v>3.6097999999999998E-2</v>
      </c>
      <c r="S3" s="50">
        <v>8.5599000000000005E-3</v>
      </c>
      <c r="T3">
        <v>4.2171000000000003</v>
      </c>
      <c r="U3" s="50">
        <v>2.474E-5</v>
      </c>
      <c r="W3" t="str">
        <f t="shared" ref="W3:W66" si="3">IF(U3&lt;0.01,"***",IF(U3&lt;0.05,"**",IF(U3&lt;0.1,"*","")))</f>
        <v>***</v>
      </c>
    </row>
    <row r="4" spans="1:23" x14ac:dyDescent="0.25">
      <c r="A4">
        <v>3</v>
      </c>
      <c r="B4" t="s">
        <v>197</v>
      </c>
      <c r="C4" s="50">
        <v>1.9851000000000001E-2</v>
      </c>
      <c r="D4" s="50">
        <v>7.0550180000000003E-6</v>
      </c>
      <c r="E4">
        <v>0.1209709077</v>
      </c>
      <c r="F4" s="50">
        <v>0.12666469999999999</v>
      </c>
      <c r="G4">
        <v>0.14082191099999999</v>
      </c>
      <c r="H4" s="50">
        <v>8.4547440000000001E-2</v>
      </c>
      <c r="J4" t="str">
        <f t="shared" si="0"/>
        <v>***</v>
      </c>
      <c r="L4" t="str">
        <f t="shared" si="1"/>
        <v/>
      </c>
      <c r="N4" t="str">
        <f t="shared" si="2"/>
        <v>*</v>
      </c>
      <c r="P4">
        <v>3</v>
      </c>
      <c r="Q4" t="s">
        <v>16</v>
      </c>
      <c r="R4" s="50">
        <v>-1.2344999999999999E-4</v>
      </c>
      <c r="S4" s="50">
        <v>2.0177E-5</v>
      </c>
      <c r="T4">
        <v>-6.1181999999999999</v>
      </c>
      <c r="U4" s="50">
        <v>9.462000000000001E-10</v>
      </c>
      <c r="W4" t="str">
        <f t="shared" si="3"/>
        <v>***</v>
      </c>
    </row>
    <row r="5" spans="1:23" x14ac:dyDescent="0.25">
      <c r="A5">
        <v>4</v>
      </c>
      <c r="B5" t="s">
        <v>200</v>
      </c>
      <c r="C5" s="50">
        <v>2.763879E-2</v>
      </c>
      <c r="D5" s="50">
        <v>9.4523879999999996E-10</v>
      </c>
      <c r="E5">
        <v>2.7747429000000001E-3</v>
      </c>
      <c r="F5" s="50">
        <v>0.97950879999999996</v>
      </c>
      <c r="G5">
        <v>3.0413531099999998E-2</v>
      </c>
      <c r="H5" s="50">
        <v>0.73662309999999998</v>
      </c>
      <c r="J5" t="str">
        <f t="shared" si="0"/>
        <v>***</v>
      </c>
      <c r="L5" t="str">
        <f t="shared" si="1"/>
        <v/>
      </c>
      <c r="N5" t="str">
        <f t="shared" si="2"/>
        <v/>
      </c>
      <c r="P5">
        <v>4</v>
      </c>
      <c r="Q5" t="s">
        <v>197</v>
      </c>
      <c r="R5" s="50">
        <v>1.7350000000000001E-2</v>
      </c>
      <c r="S5" s="50">
        <v>3.7951999999999999E-3</v>
      </c>
      <c r="T5">
        <v>4.5715000000000003</v>
      </c>
      <c r="U5" s="50">
        <v>4.8409999999999999E-6</v>
      </c>
      <c r="W5" t="str">
        <f t="shared" si="3"/>
        <v>***</v>
      </c>
    </row>
    <row r="6" spans="1:23" x14ac:dyDescent="0.25">
      <c r="A6">
        <v>5</v>
      </c>
      <c r="B6" t="s">
        <v>204</v>
      </c>
      <c r="C6" s="50">
        <v>1.034825E-2</v>
      </c>
      <c r="D6" s="50">
        <v>2.433157E-2</v>
      </c>
      <c r="E6">
        <v>4.9575032599999999E-2</v>
      </c>
      <c r="F6" s="50">
        <v>0.5703163</v>
      </c>
      <c r="G6">
        <v>5.9923278500000003E-2</v>
      </c>
      <c r="H6" s="50">
        <v>0.50363139999999995</v>
      </c>
      <c r="J6" t="str">
        <f t="shared" si="0"/>
        <v>**</v>
      </c>
      <c r="L6" t="str">
        <f t="shared" si="1"/>
        <v/>
      </c>
      <c r="N6" t="str">
        <f t="shared" si="2"/>
        <v/>
      </c>
      <c r="P6">
        <v>5</v>
      </c>
      <c r="Q6" t="s">
        <v>200</v>
      </c>
      <c r="R6" s="50">
        <v>2.7581000000000001E-2</v>
      </c>
      <c r="S6" s="50">
        <v>3.9414999999999997E-3</v>
      </c>
      <c r="T6">
        <v>6.9976000000000003</v>
      </c>
      <c r="U6" s="50">
        <v>2.6030000000000001E-12</v>
      </c>
      <c r="W6" t="str">
        <f t="shared" si="3"/>
        <v>***</v>
      </c>
    </row>
    <row r="7" spans="1:23" x14ac:dyDescent="0.25">
      <c r="A7">
        <v>6</v>
      </c>
      <c r="B7" t="s">
        <v>206</v>
      </c>
      <c r="C7" s="50">
        <v>-6.4359439999999999E-3</v>
      </c>
      <c r="D7" s="50">
        <v>0.51557989999999998</v>
      </c>
      <c r="E7">
        <v>-0.17927566850000001</v>
      </c>
      <c r="F7" s="50">
        <v>0.3148956</v>
      </c>
      <c r="G7">
        <v>-0.18571161210000001</v>
      </c>
      <c r="H7" s="50">
        <v>0.3126835</v>
      </c>
      <c r="J7" t="str">
        <f t="shared" si="0"/>
        <v/>
      </c>
      <c r="L7" t="str">
        <f t="shared" si="1"/>
        <v/>
      </c>
      <c r="N7" t="str">
        <f t="shared" si="2"/>
        <v/>
      </c>
      <c r="P7">
        <v>6</v>
      </c>
      <c r="Q7" t="s">
        <v>204</v>
      </c>
      <c r="R7" s="50">
        <v>9.3232000000000002E-3</v>
      </c>
      <c r="S7" s="50">
        <v>3.9658000000000002E-3</v>
      </c>
      <c r="T7">
        <v>2.3509000000000002</v>
      </c>
      <c r="U7">
        <v>1.8728000000000002E-2</v>
      </c>
      <c r="W7" t="str">
        <f t="shared" si="3"/>
        <v>**</v>
      </c>
    </row>
    <row r="8" spans="1:23" x14ac:dyDescent="0.25">
      <c r="A8">
        <v>7</v>
      </c>
      <c r="B8" t="s">
        <v>207</v>
      </c>
      <c r="C8" s="50">
        <v>0.1173874</v>
      </c>
      <c r="D8" s="50">
        <v>0</v>
      </c>
      <c r="E8">
        <v>-6.6381766600000003E-2</v>
      </c>
      <c r="F8" s="50">
        <v>0.73792290000000005</v>
      </c>
      <c r="G8">
        <v>5.10055986E-2</v>
      </c>
      <c r="H8" s="50">
        <v>0.80786820000000004</v>
      </c>
      <c r="J8" t="str">
        <f t="shared" si="0"/>
        <v>***</v>
      </c>
      <c r="L8" t="str">
        <f t="shared" si="1"/>
        <v/>
      </c>
      <c r="N8" t="str">
        <f t="shared" si="2"/>
        <v/>
      </c>
      <c r="P8">
        <v>7</v>
      </c>
      <c r="Q8" t="s">
        <v>206</v>
      </c>
      <c r="R8" s="50">
        <v>-2.7295000000000002E-3</v>
      </c>
      <c r="S8" s="50">
        <v>8.4311999999999998E-3</v>
      </c>
      <c r="T8">
        <v>-0.32369999999999999</v>
      </c>
      <c r="U8">
        <v>0.74613580000000002</v>
      </c>
      <c r="W8" t="str">
        <f t="shared" si="3"/>
        <v/>
      </c>
    </row>
    <row r="9" spans="1:23" x14ac:dyDescent="0.25">
      <c r="A9">
        <v>8</v>
      </c>
      <c r="B9" t="s">
        <v>209</v>
      </c>
      <c r="C9" s="50">
        <v>0.16946420000000001</v>
      </c>
      <c r="D9" s="50">
        <v>0</v>
      </c>
      <c r="E9">
        <v>-8.9845892900000002E-2</v>
      </c>
      <c r="F9" s="50">
        <v>0.666327</v>
      </c>
      <c r="G9">
        <v>7.9618316100000003E-2</v>
      </c>
      <c r="H9" s="50">
        <v>0.71465160000000005</v>
      </c>
      <c r="J9" t="str">
        <f t="shared" si="0"/>
        <v>***</v>
      </c>
      <c r="L9" t="str">
        <f t="shared" si="1"/>
        <v/>
      </c>
      <c r="N9" t="str">
        <f t="shared" si="2"/>
        <v/>
      </c>
      <c r="P9">
        <v>8</v>
      </c>
      <c r="Q9" t="s">
        <v>207</v>
      </c>
      <c r="R9" s="50">
        <v>0.11876</v>
      </c>
      <c r="S9" s="50">
        <v>9.4251999999999999E-3</v>
      </c>
      <c r="T9">
        <v>12.600099999999999</v>
      </c>
      <c r="U9" s="50">
        <v>2.2E-16</v>
      </c>
      <c r="W9" t="str">
        <f t="shared" si="3"/>
        <v>***</v>
      </c>
    </row>
    <row r="10" spans="1:23" x14ac:dyDescent="0.25">
      <c r="A10">
        <v>9</v>
      </c>
      <c r="B10" t="s">
        <v>212</v>
      </c>
      <c r="C10" s="50">
        <v>0.17073389999999999</v>
      </c>
      <c r="D10" s="50">
        <v>1.7763570000000001E-15</v>
      </c>
      <c r="E10">
        <v>-0.1201818739</v>
      </c>
      <c r="F10" s="50">
        <v>0.77038799999999996</v>
      </c>
      <c r="G10">
        <v>5.0551976300000002E-2</v>
      </c>
      <c r="H10" s="50">
        <v>0.89581049999999995</v>
      </c>
      <c r="J10" t="str">
        <f t="shared" si="0"/>
        <v>***</v>
      </c>
      <c r="L10" t="str">
        <f t="shared" si="1"/>
        <v/>
      </c>
      <c r="N10" t="str">
        <f t="shared" si="2"/>
        <v/>
      </c>
      <c r="P10">
        <v>9</v>
      </c>
      <c r="Q10" t="s">
        <v>209</v>
      </c>
      <c r="R10" s="50">
        <v>0.17132</v>
      </c>
      <c r="S10" s="50">
        <v>9.6728999999999999E-3</v>
      </c>
      <c r="T10">
        <v>17.711400000000001</v>
      </c>
      <c r="U10" s="50">
        <v>2.2E-16</v>
      </c>
      <c r="W10" t="str">
        <f t="shared" si="3"/>
        <v>***</v>
      </c>
    </row>
    <row r="11" spans="1:23" x14ac:dyDescent="0.25">
      <c r="A11">
        <v>10</v>
      </c>
      <c r="B11" t="s">
        <v>15</v>
      </c>
      <c r="C11" s="50">
        <v>-2.2314169999999999E-3</v>
      </c>
      <c r="D11" s="50">
        <v>0.10409939999999999</v>
      </c>
      <c r="E11">
        <v>-0.15797537780000001</v>
      </c>
      <c r="F11" s="50">
        <v>0</v>
      </c>
      <c r="G11">
        <v>-0.16020679439999999</v>
      </c>
      <c r="H11" s="50">
        <v>0</v>
      </c>
      <c r="J11" t="str">
        <f t="shared" si="0"/>
        <v/>
      </c>
      <c r="L11" t="str">
        <f t="shared" si="1"/>
        <v>***</v>
      </c>
      <c r="N11" t="str">
        <f t="shared" si="2"/>
        <v>***</v>
      </c>
      <c r="P11">
        <v>10</v>
      </c>
      <c r="Q11" t="s">
        <v>212</v>
      </c>
      <c r="R11" s="50">
        <v>0.17322000000000001</v>
      </c>
      <c r="S11" s="50">
        <v>1.8327E-2</v>
      </c>
      <c r="T11">
        <v>9.4515999999999991</v>
      </c>
      <c r="U11" s="50">
        <v>2.2E-16</v>
      </c>
      <c r="W11" t="str">
        <f t="shared" si="3"/>
        <v>***</v>
      </c>
    </row>
    <row r="12" spans="1:23" x14ac:dyDescent="0.25">
      <c r="A12">
        <v>11</v>
      </c>
      <c r="B12" t="s">
        <v>13</v>
      </c>
      <c r="C12" s="50">
        <v>4.5898639999999997E-2</v>
      </c>
      <c r="D12" s="50">
        <v>0</v>
      </c>
      <c r="E12">
        <v>0.1186378418</v>
      </c>
      <c r="F12" s="50">
        <v>3.6859049999999997E-4</v>
      </c>
      <c r="G12">
        <v>0.16453648309999999</v>
      </c>
      <c r="H12" s="50">
        <v>1.5267660000000001E-6</v>
      </c>
      <c r="J12" t="str">
        <f t="shared" si="0"/>
        <v>***</v>
      </c>
      <c r="L12" t="str">
        <f t="shared" si="1"/>
        <v>***</v>
      </c>
      <c r="N12" t="str">
        <f t="shared" si="2"/>
        <v>***</v>
      </c>
      <c r="P12">
        <v>11</v>
      </c>
      <c r="Q12" t="s">
        <v>15</v>
      </c>
      <c r="R12" s="50">
        <v>1.0346000000000001E-3</v>
      </c>
      <c r="S12" s="50">
        <v>1.3039E-3</v>
      </c>
      <c r="T12">
        <v>0.79349999999999998</v>
      </c>
      <c r="U12">
        <v>0.4274847</v>
      </c>
      <c r="W12" t="str">
        <f t="shared" si="3"/>
        <v/>
      </c>
    </row>
    <row r="13" spans="1:23" x14ac:dyDescent="0.25">
      <c r="A13">
        <v>12</v>
      </c>
      <c r="B13" t="s">
        <v>14</v>
      </c>
      <c r="C13" s="50">
        <v>2.793491E-2</v>
      </c>
      <c r="D13" s="50">
        <v>0</v>
      </c>
      <c r="E13">
        <v>4.5622458300000002E-2</v>
      </c>
      <c r="F13" s="50">
        <v>0.15076149999999999</v>
      </c>
      <c r="G13">
        <v>7.3557363400000006E-2</v>
      </c>
      <c r="H13" s="50">
        <v>2.399012E-2</v>
      </c>
      <c r="J13" t="str">
        <f t="shared" si="0"/>
        <v>***</v>
      </c>
      <c r="L13" t="str">
        <f t="shared" si="1"/>
        <v/>
      </c>
      <c r="N13" t="str">
        <f t="shared" si="2"/>
        <v>**</v>
      </c>
      <c r="P13">
        <v>12</v>
      </c>
      <c r="Q13" t="s">
        <v>13</v>
      </c>
      <c r="R13" s="50">
        <v>4.3444999999999998E-2</v>
      </c>
      <c r="S13" s="50">
        <v>2.0653999999999998E-3</v>
      </c>
      <c r="T13">
        <v>21.0349</v>
      </c>
      <c r="U13" s="50">
        <v>2.2E-16</v>
      </c>
      <c r="W13" t="str">
        <f t="shared" si="3"/>
        <v>***</v>
      </c>
    </row>
    <row r="14" spans="1:23" x14ac:dyDescent="0.25">
      <c r="A14">
        <v>13</v>
      </c>
      <c r="B14" t="s">
        <v>59</v>
      </c>
      <c r="C14" s="50">
        <v>-1.8422350000000001E-2</v>
      </c>
      <c r="D14" s="50">
        <v>6.0959019999999998E-9</v>
      </c>
      <c r="E14">
        <v>2.3287734599999999E-2</v>
      </c>
      <c r="F14" s="50">
        <v>0.50843329999999998</v>
      </c>
      <c r="G14">
        <v>4.8653847000000002E-3</v>
      </c>
      <c r="H14" s="50">
        <v>0.88462499999999999</v>
      </c>
      <c r="J14" t="str">
        <f t="shared" si="0"/>
        <v>***</v>
      </c>
      <c r="L14" t="str">
        <f t="shared" si="1"/>
        <v/>
      </c>
      <c r="N14" t="str">
        <f t="shared" si="2"/>
        <v/>
      </c>
      <c r="P14">
        <v>13</v>
      </c>
      <c r="Q14" t="s">
        <v>14</v>
      </c>
      <c r="R14" s="50">
        <v>2.6991000000000001E-2</v>
      </c>
      <c r="S14" s="50">
        <v>2.3911000000000002E-3</v>
      </c>
      <c r="T14">
        <v>11.2882</v>
      </c>
      <c r="U14" s="50">
        <v>2.2E-16</v>
      </c>
      <c r="W14" t="str">
        <f t="shared" si="3"/>
        <v>***</v>
      </c>
    </row>
    <row r="15" spans="1:23" x14ac:dyDescent="0.25">
      <c r="A15">
        <v>14</v>
      </c>
      <c r="B15" t="s">
        <v>60</v>
      </c>
      <c r="C15" s="50">
        <v>-5.197512E-2</v>
      </c>
      <c r="D15" s="50">
        <v>3.1086240000000001E-15</v>
      </c>
      <c r="E15">
        <v>-7.7177653099999993E-2</v>
      </c>
      <c r="F15" s="50">
        <v>0.3905478</v>
      </c>
      <c r="G15">
        <v>-0.12915277359999999</v>
      </c>
      <c r="H15" s="50">
        <v>0.1618405</v>
      </c>
      <c r="J15" t="str">
        <f t="shared" si="0"/>
        <v>***</v>
      </c>
      <c r="L15" t="str">
        <f t="shared" si="1"/>
        <v/>
      </c>
      <c r="N15" t="str">
        <f t="shared" si="2"/>
        <v/>
      </c>
      <c r="P15">
        <v>14</v>
      </c>
      <c r="Q15" t="s">
        <v>59</v>
      </c>
      <c r="R15" s="50">
        <v>-1.8904000000000001E-2</v>
      </c>
      <c r="S15" s="50">
        <v>3.0423999999999998E-3</v>
      </c>
      <c r="T15">
        <v>-6.2134999999999998</v>
      </c>
      <c r="U15" s="50">
        <v>5.1829999999999996E-10</v>
      </c>
      <c r="W15" t="str">
        <f t="shared" si="3"/>
        <v>***</v>
      </c>
    </row>
    <row r="16" spans="1:23" x14ac:dyDescent="0.25">
      <c r="A16">
        <v>15</v>
      </c>
      <c r="B16" t="s">
        <v>18</v>
      </c>
      <c r="C16" s="50">
        <v>1.191382E-4</v>
      </c>
      <c r="D16" s="50">
        <v>0</v>
      </c>
      <c r="E16">
        <v>2.5258790000000001E-4</v>
      </c>
      <c r="F16" s="50">
        <v>0</v>
      </c>
      <c r="G16">
        <v>3.7172609999999999E-4</v>
      </c>
      <c r="H16" s="50">
        <v>0</v>
      </c>
      <c r="J16" t="str">
        <f t="shared" si="0"/>
        <v>***</v>
      </c>
      <c r="L16" t="str">
        <f t="shared" si="1"/>
        <v>***</v>
      </c>
      <c r="N16" t="str">
        <f t="shared" si="2"/>
        <v>***</v>
      </c>
      <c r="P16">
        <v>15</v>
      </c>
      <c r="Q16" t="s">
        <v>60</v>
      </c>
      <c r="R16" s="50">
        <v>-5.0379E-2</v>
      </c>
      <c r="S16" s="50">
        <v>6.1574000000000004E-3</v>
      </c>
      <c r="T16">
        <v>-8.1819000000000006</v>
      </c>
      <c r="U16" s="50">
        <v>2.2200000000000001E-16</v>
      </c>
      <c r="W16" t="str">
        <f t="shared" si="3"/>
        <v>***</v>
      </c>
    </row>
    <row r="17" spans="1:23" x14ac:dyDescent="0.25">
      <c r="A17">
        <v>16</v>
      </c>
      <c r="B17" t="s">
        <v>33</v>
      </c>
      <c r="C17" s="50">
        <v>-2.4340809999999998E-3</v>
      </c>
      <c r="D17" s="50">
        <v>0</v>
      </c>
      <c r="E17">
        <v>3.7409155000000002E-3</v>
      </c>
      <c r="F17" s="50">
        <v>9.0519870000000002E-2</v>
      </c>
      <c r="G17">
        <v>1.3068344999999999E-3</v>
      </c>
      <c r="H17" s="50">
        <v>0.56057469999999998</v>
      </c>
      <c r="J17" t="str">
        <f t="shared" si="0"/>
        <v>***</v>
      </c>
      <c r="L17" t="str">
        <f t="shared" si="1"/>
        <v>*</v>
      </c>
      <c r="N17" t="str">
        <f t="shared" si="2"/>
        <v/>
      </c>
      <c r="P17">
        <v>16</v>
      </c>
      <c r="Q17" t="s">
        <v>18</v>
      </c>
      <c r="R17" s="50">
        <v>1.1391999999999999E-4</v>
      </c>
      <c r="S17" s="50">
        <v>1.7395E-6</v>
      </c>
      <c r="T17">
        <v>65.489000000000004</v>
      </c>
      <c r="U17" s="50">
        <v>2.2E-16</v>
      </c>
      <c r="W17" t="str">
        <f t="shared" si="3"/>
        <v>***</v>
      </c>
    </row>
    <row r="18" spans="1:23" x14ac:dyDescent="0.25">
      <c r="A18">
        <v>17</v>
      </c>
      <c r="B18" t="s">
        <v>34</v>
      </c>
      <c r="C18" s="50">
        <v>2.412152E-2</v>
      </c>
      <c r="D18" s="50">
        <v>0</v>
      </c>
      <c r="E18">
        <v>4.0376801400000002E-2</v>
      </c>
      <c r="F18" s="50">
        <v>5.5555840000000002E-2</v>
      </c>
      <c r="G18">
        <v>6.4498326100000003E-2</v>
      </c>
      <c r="H18" s="50">
        <v>2.8557999999999999E-3</v>
      </c>
      <c r="J18" t="str">
        <f t="shared" si="0"/>
        <v>***</v>
      </c>
      <c r="L18" t="str">
        <f t="shared" si="1"/>
        <v>*</v>
      </c>
      <c r="N18" t="str">
        <f t="shared" si="2"/>
        <v>***</v>
      </c>
      <c r="P18">
        <v>17</v>
      </c>
      <c r="Q18" t="s">
        <v>33</v>
      </c>
      <c r="R18" s="50">
        <v>-2.5114E-3</v>
      </c>
      <c r="S18" s="50">
        <v>2.5124000000000001E-4</v>
      </c>
      <c r="T18">
        <v>-9.9959000000000007</v>
      </c>
      <c r="U18" s="50">
        <v>2.2E-16</v>
      </c>
      <c r="W18" t="str">
        <f t="shared" si="3"/>
        <v>***</v>
      </c>
    </row>
    <row r="19" spans="1:23" x14ac:dyDescent="0.25">
      <c r="A19">
        <v>18</v>
      </c>
      <c r="B19" t="s">
        <v>21</v>
      </c>
      <c r="C19" s="50">
        <v>-2.5725830000000002E-2</v>
      </c>
      <c r="D19" s="50">
        <v>4.4863729999999999E-4</v>
      </c>
      <c r="E19">
        <v>-0.18182831660000001</v>
      </c>
      <c r="F19" s="50">
        <v>0.14050499999999999</v>
      </c>
      <c r="G19">
        <v>-0.2075541508</v>
      </c>
      <c r="H19" s="50">
        <v>0.10241649999999999</v>
      </c>
      <c r="J19" t="str">
        <f t="shared" si="0"/>
        <v>***</v>
      </c>
      <c r="L19" t="str">
        <f t="shared" si="1"/>
        <v/>
      </c>
      <c r="N19" t="str">
        <f t="shared" si="2"/>
        <v/>
      </c>
      <c r="P19">
        <v>18</v>
      </c>
      <c r="Q19" t="s">
        <v>34</v>
      </c>
      <c r="R19" s="50">
        <v>2.3286999999999999E-2</v>
      </c>
      <c r="S19" s="50">
        <v>2.5910999999999998E-3</v>
      </c>
      <c r="T19">
        <v>8.9870000000000001</v>
      </c>
      <c r="U19" s="50">
        <v>2.2E-16</v>
      </c>
      <c r="W19" t="str">
        <f t="shared" si="3"/>
        <v>***</v>
      </c>
    </row>
    <row r="20" spans="1:23" x14ac:dyDescent="0.25">
      <c r="A20">
        <v>19</v>
      </c>
      <c r="B20" t="s">
        <v>224</v>
      </c>
      <c r="C20" s="50">
        <v>0.1045809</v>
      </c>
      <c r="D20" s="50">
        <v>0</v>
      </c>
      <c r="E20">
        <v>0.13613847909999999</v>
      </c>
      <c r="F20" s="50">
        <v>3.3029530000000001E-2</v>
      </c>
      <c r="G20">
        <v>0.2407193591</v>
      </c>
      <c r="H20" s="50">
        <v>2.4704890000000002E-4</v>
      </c>
      <c r="J20" t="str">
        <f t="shared" si="0"/>
        <v>***</v>
      </c>
      <c r="L20" t="str">
        <f t="shared" si="1"/>
        <v>**</v>
      </c>
      <c r="N20" t="str">
        <f t="shared" si="2"/>
        <v>***</v>
      </c>
      <c r="P20">
        <v>19</v>
      </c>
      <c r="Q20" t="s">
        <v>21</v>
      </c>
      <c r="R20" s="50">
        <v>-2.1965999999999999E-2</v>
      </c>
      <c r="S20" s="50">
        <v>6.6632000000000002E-3</v>
      </c>
      <c r="T20">
        <v>-3.2967</v>
      </c>
      <c r="U20">
        <v>9.7839999999999993E-4</v>
      </c>
      <c r="W20" t="str">
        <f t="shared" si="3"/>
        <v>***</v>
      </c>
    </row>
    <row r="21" spans="1:23" x14ac:dyDescent="0.25">
      <c r="A21">
        <v>20</v>
      </c>
      <c r="B21" t="s">
        <v>226</v>
      </c>
      <c r="C21" s="50">
        <v>6.1201709999999999E-2</v>
      </c>
      <c r="D21" s="50">
        <v>0</v>
      </c>
      <c r="E21">
        <v>5.82126554E-2</v>
      </c>
      <c r="F21" s="50">
        <v>0.34023890000000001</v>
      </c>
      <c r="G21">
        <v>0.11941437019999999</v>
      </c>
      <c r="H21" s="50">
        <v>5.71324E-2</v>
      </c>
      <c r="J21" t="str">
        <f t="shared" si="0"/>
        <v>***</v>
      </c>
      <c r="L21" t="str">
        <f t="shared" si="1"/>
        <v/>
      </c>
      <c r="N21" t="str">
        <f t="shared" si="2"/>
        <v>*</v>
      </c>
      <c r="P21">
        <v>20</v>
      </c>
      <c r="Q21" t="s">
        <v>224</v>
      </c>
      <c r="R21" s="50">
        <v>0.10177</v>
      </c>
      <c r="S21" s="50">
        <v>3.3303E-3</v>
      </c>
      <c r="T21">
        <v>30.557500000000001</v>
      </c>
      <c r="U21" s="50">
        <v>2.2E-16</v>
      </c>
      <c r="W21" t="str">
        <f t="shared" si="3"/>
        <v>***</v>
      </c>
    </row>
    <row r="22" spans="1:23" x14ac:dyDescent="0.25">
      <c r="A22">
        <v>21</v>
      </c>
      <c r="B22" t="s">
        <v>230</v>
      </c>
      <c r="C22" s="50">
        <v>-6.8196129999999994E-2</v>
      </c>
      <c r="D22" s="50">
        <v>0</v>
      </c>
      <c r="E22">
        <v>8.2466444799999997E-2</v>
      </c>
      <c r="F22" s="50">
        <v>0.36330119999999999</v>
      </c>
      <c r="G22">
        <v>1.42703113E-2</v>
      </c>
      <c r="H22" s="50">
        <v>0.87045050000000002</v>
      </c>
      <c r="J22" t="str">
        <f t="shared" si="0"/>
        <v>***</v>
      </c>
      <c r="L22" t="str">
        <f t="shared" si="1"/>
        <v/>
      </c>
      <c r="N22" t="str">
        <f t="shared" si="2"/>
        <v/>
      </c>
      <c r="P22">
        <v>21</v>
      </c>
      <c r="Q22" t="s">
        <v>226</v>
      </c>
      <c r="R22" s="50">
        <v>5.9998000000000003E-2</v>
      </c>
      <c r="S22" s="50">
        <v>2.8955000000000001E-3</v>
      </c>
      <c r="T22">
        <v>20.7209</v>
      </c>
      <c r="U22" s="50">
        <v>2.2E-16</v>
      </c>
      <c r="W22" t="str">
        <f t="shared" si="3"/>
        <v>***</v>
      </c>
    </row>
    <row r="23" spans="1:23" x14ac:dyDescent="0.25">
      <c r="A23">
        <v>22</v>
      </c>
      <c r="B23" t="s">
        <v>22</v>
      </c>
      <c r="C23" s="50">
        <v>1.4937789999999999E-2</v>
      </c>
      <c r="D23" s="50">
        <v>2.117289E-2</v>
      </c>
      <c r="E23">
        <v>7.3534226300000005E-2</v>
      </c>
      <c r="F23" s="50">
        <v>0.46132319999999999</v>
      </c>
      <c r="G23">
        <v>8.8472018400000005E-2</v>
      </c>
      <c r="H23" s="50">
        <v>0.39007819999999999</v>
      </c>
      <c r="J23" t="str">
        <f t="shared" si="0"/>
        <v>**</v>
      </c>
      <c r="L23" t="str">
        <f t="shared" si="1"/>
        <v/>
      </c>
      <c r="N23" t="str">
        <f t="shared" si="2"/>
        <v/>
      </c>
      <c r="P23">
        <v>22</v>
      </c>
      <c r="Q23" t="s">
        <v>230</v>
      </c>
      <c r="R23" s="50">
        <v>-6.9900000000000004E-2</v>
      </c>
      <c r="S23" s="50">
        <v>4.2881000000000004E-3</v>
      </c>
      <c r="T23">
        <v>-16.301100000000002</v>
      </c>
      <c r="U23" s="50">
        <v>2.2E-16</v>
      </c>
      <c r="W23" t="str">
        <f t="shared" si="3"/>
        <v>***</v>
      </c>
    </row>
    <row r="24" spans="1:23" x14ac:dyDescent="0.25">
      <c r="A24">
        <v>23</v>
      </c>
      <c r="B24" t="s">
        <v>23</v>
      </c>
      <c r="C24" s="50">
        <v>-3.4408019999999997E-2</v>
      </c>
      <c r="D24" s="50">
        <v>7.9384569999999995E-3</v>
      </c>
      <c r="E24">
        <v>-6.7457198400000001E-2</v>
      </c>
      <c r="F24" s="50">
        <v>0.76777079999999998</v>
      </c>
      <c r="G24">
        <v>-0.1018652145</v>
      </c>
      <c r="H24" s="50">
        <v>0.65853450000000002</v>
      </c>
      <c r="J24" t="str">
        <f t="shared" si="0"/>
        <v>***</v>
      </c>
      <c r="L24" t="str">
        <f t="shared" si="1"/>
        <v/>
      </c>
      <c r="N24" t="str">
        <f t="shared" si="2"/>
        <v/>
      </c>
      <c r="P24">
        <v>23</v>
      </c>
      <c r="Q24" t="s">
        <v>22</v>
      </c>
      <c r="R24" s="50">
        <v>1.3417E-2</v>
      </c>
      <c r="S24" s="50">
        <v>5.9040999999999998E-3</v>
      </c>
      <c r="T24">
        <v>2.2726000000000002</v>
      </c>
      <c r="U24">
        <v>2.30531E-2</v>
      </c>
      <c r="W24" t="str">
        <f t="shared" si="3"/>
        <v>**</v>
      </c>
    </row>
    <row r="25" spans="1:23" x14ac:dyDescent="0.25">
      <c r="A25">
        <v>24</v>
      </c>
      <c r="B25" t="s">
        <v>29</v>
      </c>
      <c r="C25" s="50">
        <v>-1.662195E-2</v>
      </c>
      <c r="D25" s="50">
        <v>7.310962E-2</v>
      </c>
      <c r="E25">
        <v>0.19889633800000001</v>
      </c>
      <c r="F25" s="50">
        <v>0.15424550000000001</v>
      </c>
      <c r="G25">
        <v>0.18227438809999999</v>
      </c>
      <c r="H25" s="50">
        <v>0.2046695</v>
      </c>
      <c r="J25" t="str">
        <f t="shared" si="0"/>
        <v>*</v>
      </c>
      <c r="L25" t="str">
        <f t="shared" si="1"/>
        <v/>
      </c>
      <c r="N25" t="str">
        <f t="shared" si="2"/>
        <v/>
      </c>
      <c r="P25">
        <v>24</v>
      </c>
      <c r="Q25" t="s">
        <v>23</v>
      </c>
      <c r="R25" s="50">
        <v>-3.3013000000000001E-2</v>
      </c>
      <c r="S25" s="50">
        <v>1.1516E-2</v>
      </c>
      <c r="T25">
        <v>-2.8666999999999998</v>
      </c>
      <c r="U25">
        <v>4.1475000000000001E-3</v>
      </c>
      <c r="W25" t="str">
        <f t="shared" si="3"/>
        <v>***</v>
      </c>
    </row>
    <row r="26" spans="1:23" x14ac:dyDescent="0.25">
      <c r="A26">
        <v>25</v>
      </c>
      <c r="B26" t="s">
        <v>28</v>
      </c>
      <c r="C26" s="50">
        <v>6.4436110000000005E-2</v>
      </c>
      <c r="D26" s="50">
        <v>0</v>
      </c>
      <c r="E26">
        <v>-2.1474453399999999E-2</v>
      </c>
      <c r="F26" s="50">
        <v>0.72292990000000001</v>
      </c>
      <c r="G26">
        <v>4.2961659399999998E-2</v>
      </c>
      <c r="H26" s="50">
        <v>0.47459899999999999</v>
      </c>
      <c r="J26" t="str">
        <f t="shared" si="0"/>
        <v>***</v>
      </c>
      <c r="L26" t="str">
        <f t="shared" si="1"/>
        <v/>
      </c>
      <c r="N26" t="str">
        <f t="shared" si="2"/>
        <v/>
      </c>
      <c r="P26">
        <v>25</v>
      </c>
      <c r="Q26" t="s">
        <v>29</v>
      </c>
      <c r="R26" s="50">
        <v>-2.0733999999999999E-2</v>
      </c>
      <c r="S26" s="50">
        <v>8.4688999999999997E-3</v>
      </c>
      <c r="T26">
        <v>-2.4481999999999999</v>
      </c>
      <c r="U26">
        <v>1.43555E-2</v>
      </c>
      <c r="W26" t="str">
        <f t="shared" si="3"/>
        <v>**</v>
      </c>
    </row>
    <row r="27" spans="1:23" x14ac:dyDescent="0.25">
      <c r="A27">
        <v>26</v>
      </c>
      <c r="B27" t="s">
        <v>235</v>
      </c>
      <c r="C27" s="50">
        <v>0.1680497</v>
      </c>
      <c r="D27" s="50">
        <v>0</v>
      </c>
      <c r="E27">
        <v>-0.20304153559999999</v>
      </c>
      <c r="F27" s="50">
        <v>1.797313E-4</v>
      </c>
      <c r="G27">
        <v>-3.4991799800000001E-2</v>
      </c>
      <c r="H27" s="50">
        <v>0.50657759999999996</v>
      </c>
      <c r="J27" t="str">
        <f t="shared" si="0"/>
        <v>***</v>
      </c>
      <c r="L27" t="str">
        <f t="shared" si="1"/>
        <v>***</v>
      </c>
      <c r="N27" t="str">
        <f t="shared" si="2"/>
        <v/>
      </c>
      <c r="P27">
        <v>26</v>
      </c>
      <c r="Q27" t="s">
        <v>28</v>
      </c>
      <c r="R27" s="50">
        <v>6.4879000000000006E-2</v>
      </c>
      <c r="S27" s="50">
        <v>4.5272000000000003E-3</v>
      </c>
      <c r="T27">
        <v>14.331200000000001</v>
      </c>
      <c r="U27" s="50">
        <v>2.2E-16</v>
      </c>
      <c r="W27" t="str">
        <f t="shared" si="3"/>
        <v>***</v>
      </c>
    </row>
    <row r="28" spans="1:23" x14ac:dyDescent="0.25">
      <c r="A28">
        <v>27</v>
      </c>
      <c r="B28" t="s">
        <v>236</v>
      </c>
      <c r="C28" s="50">
        <v>0.21477660000000001</v>
      </c>
      <c r="D28" s="50">
        <v>4.4245260000000002E-2</v>
      </c>
      <c r="E28">
        <v>0.1307749369</v>
      </c>
      <c r="F28" s="50">
        <v>0.94774349999999996</v>
      </c>
      <c r="G28">
        <v>0.34555151299999998</v>
      </c>
      <c r="H28" s="50">
        <v>0.87896529999999995</v>
      </c>
      <c r="J28" t="str">
        <f t="shared" si="0"/>
        <v>**</v>
      </c>
      <c r="L28" t="str">
        <f t="shared" si="1"/>
        <v/>
      </c>
      <c r="N28" t="str">
        <f t="shared" si="2"/>
        <v/>
      </c>
      <c r="P28">
        <v>27</v>
      </c>
      <c r="Q28" t="s">
        <v>235</v>
      </c>
      <c r="R28" s="50">
        <v>0.17224999999999999</v>
      </c>
      <c r="S28" s="50">
        <v>1.6081999999999999E-2</v>
      </c>
      <c r="T28">
        <v>10.710599999999999</v>
      </c>
      <c r="U28" s="50">
        <v>2.2E-16</v>
      </c>
      <c r="W28" t="str">
        <f t="shared" si="3"/>
        <v>***</v>
      </c>
    </row>
    <row r="29" spans="1:23" x14ac:dyDescent="0.25">
      <c r="A29">
        <v>28</v>
      </c>
      <c r="B29" t="s">
        <v>238</v>
      </c>
      <c r="C29" s="50">
        <v>-4.7045169999999997E-2</v>
      </c>
      <c r="D29" s="50">
        <v>1.112239E-7</v>
      </c>
      <c r="E29">
        <v>2.2716328000000001E-2</v>
      </c>
      <c r="F29" s="50">
        <v>0.4587833</v>
      </c>
      <c r="G29">
        <v>-2.43288436E-2</v>
      </c>
      <c r="H29" s="50">
        <v>0.37882959999999999</v>
      </c>
      <c r="J29" t="str">
        <f t="shared" si="0"/>
        <v>***</v>
      </c>
      <c r="L29" t="str">
        <f t="shared" si="1"/>
        <v/>
      </c>
      <c r="N29" t="str">
        <f t="shared" si="2"/>
        <v/>
      </c>
      <c r="P29">
        <v>28</v>
      </c>
      <c r="Q29" t="s">
        <v>236</v>
      </c>
      <c r="R29" s="50">
        <v>0.21207000000000001</v>
      </c>
      <c r="S29" s="50">
        <v>8.7429999999999994E-2</v>
      </c>
      <c r="T29">
        <v>2.4256000000000002</v>
      </c>
      <c r="U29">
        <v>1.5283E-2</v>
      </c>
      <c r="W29" t="str">
        <f t="shared" si="3"/>
        <v>**</v>
      </c>
    </row>
    <row r="30" spans="1:23" x14ac:dyDescent="0.25">
      <c r="A30">
        <v>29</v>
      </c>
      <c r="B30" t="s">
        <v>240</v>
      </c>
      <c r="C30" s="50">
        <v>-2.2929660000000001E-2</v>
      </c>
      <c r="D30" s="50">
        <v>0.12326520000000001</v>
      </c>
      <c r="E30">
        <v>1.0804035300000001E-2</v>
      </c>
      <c r="F30" s="50">
        <v>0.83716330000000005</v>
      </c>
      <c r="G30">
        <v>-1.21256208E-2</v>
      </c>
      <c r="H30" s="50">
        <v>0.82081190000000004</v>
      </c>
      <c r="J30" t="str">
        <f t="shared" si="0"/>
        <v/>
      </c>
      <c r="L30" t="str">
        <f t="shared" si="1"/>
        <v/>
      </c>
      <c r="N30" t="str">
        <f t="shared" si="2"/>
        <v/>
      </c>
      <c r="P30">
        <v>29</v>
      </c>
      <c r="Q30" t="s">
        <v>238</v>
      </c>
      <c r="R30" s="50">
        <v>-4.7514000000000001E-2</v>
      </c>
      <c r="S30" s="50">
        <v>9.1074999999999993E-3</v>
      </c>
      <c r="T30">
        <v>-5.2171000000000003</v>
      </c>
      <c r="U30" s="50">
        <v>1.818E-7</v>
      </c>
      <c r="W30" t="str">
        <f t="shared" si="3"/>
        <v>***</v>
      </c>
    </row>
    <row r="31" spans="1:23" x14ac:dyDescent="0.25">
      <c r="A31">
        <v>30</v>
      </c>
      <c r="B31" t="s">
        <v>241</v>
      </c>
      <c r="C31" s="50">
        <v>1.0771849999999999E-2</v>
      </c>
      <c r="D31" s="50">
        <v>0.8479525</v>
      </c>
      <c r="E31">
        <v>-1.8077871579</v>
      </c>
      <c r="F31" s="50">
        <v>0.1498816</v>
      </c>
      <c r="G31">
        <v>-1.797015311</v>
      </c>
      <c r="H31" s="50">
        <v>0.16235930000000001</v>
      </c>
      <c r="J31" t="str">
        <f t="shared" si="0"/>
        <v/>
      </c>
      <c r="L31" t="str">
        <f t="shared" si="1"/>
        <v/>
      </c>
      <c r="N31" t="str">
        <f t="shared" si="2"/>
        <v/>
      </c>
      <c r="P31">
        <v>30</v>
      </c>
      <c r="Q31" t="s">
        <v>240</v>
      </c>
      <c r="R31" s="50">
        <v>-2.3153E-2</v>
      </c>
      <c r="S31" s="50">
        <v>1.5213000000000001E-2</v>
      </c>
      <c r="T31">
        <v>-1.5219</v>
      </c>
      <c r="U31">
        <v>0.12803310000000001</v>
      </c>
      <c r="W31" t="str">
        <f t="shared" si="3"/>
        <v/>
      </c>
    </row>
    <row r="32" spans="1:23" x14ac:dyDescent="0.25">
      <c r="A32">
        <v>31</v>
      </c>
      <c r="B32" t="s">
        <v>243</v>
      </c>
      <c r="C32" s="50">
        <v>4.2507950000000003E-2</v>
      </c>
      <c r="D32" s="50">
        <v>3.731308E-3</v>
      </c>
      <c r="E32">
        <v>-0.30770634009999998</v>
      </c>
      <c r="F32" s="50">
        <v>8.9267129999999993E-6</v>
      </c>
      <c r="G32">
        <v>-0.26519838699999998</v>
      </c>
      <c r="H32" s="50">
        <v>1.177723E-4</v>
      </c>
      <c r="J32" t="str">
        <f t="shared" si="0"/>
        <v>***</v>
      </c>
      <c r="L32" t="str">
        <f t="shared" si="1"/>
        <v>***</v>
      </c>
      <c r="N32" t="str">
        <f t="shared" si="2"/>
        <v>***</v>
      </c>
      <c r="P32">
        <v>31</v>
      </c>
      <c r="Q32" t="s">
        <v>241</v>
      </c>
      <c r="R32" s="50">
        <v>4.8146000000000001E-2</v>
      </c>
      <c r="S32" s="50">
        <v>4.7441999999999998E-2</v>
      </c>
      <c r="T32">
        <v>1.0147999999999999</v>
      </c>
      <c r="U32">
        <v>0.31018079999999998</v>
      </c>
      <c r="W32" t="str">
        <f t="shared" si="3"/>
        <v/>
      </c>
    </row>
    <row r="33" spans="1:23" x14ac:dyDescent="0.25">
      <c r="A33">
        <v>32</v>
      </c>
      <c r="B33" t="s">
        <v>245</v>
      </c>
      <c r="C33" s="50">
        <v>0.23560030000000001</v>
      </c>
      <c r="D33" s="50">
        <v>1.278441E-2</v>
      </c>
      <c r="E33">
        <v>1.326423613</v>
      </c>
      <c r="F33" s="50">
        <v>0.45801330000000001</v>
      </c>
      <c r="G33">
        <v>1.5620239377</v>
      </c>
      <c r="H33" s="50">
        <v>0.39279259999999999</v>
      </c>
      <c r="J33" t="str">
        <f t="shared" si="0"/>
        <v>**</v>
      </c>
      <c r="L33" t="str">
        <f t="shared" si="1"/>
        <v/>
      </c>
      <c r="N33" t="str">
        <f t="shared" si="2"/>
        <v/>
      </c>
      <c r="P33">
        <v>32</v>
      </c>
      <c r="Q33" t="s">
        <v>243</v>
      </c>
      <c r="R33" s="50">
        <v>4.8869000000000003E-2</v>
      </c>
      <c r="S33" s="50">
        <v>1.4973999999999999E-2</v>
      </c>
      <c r="T33">
        <v>3.2635000000000001</v>
      </c>
      <c r="U33">
        <v>1.1003E-3</v>
      </c>
      <c r="W33" t="str">
        <f t="shared" si="3"/>
        <v>***</v>
      </c>
    </row>
    <row r="34" spans="1:23" x14ac:dyDescent="0.25">
      <c r="A34">
        <v>33</v>
      </c>
      <c r="B34" t="s">
        <v>166</v>
      </c>
      <c r="C34" s="50">
        <v>3.3798040000000001E-2</v>
      </c>
      <c r="D34" s="50">
        <v>7.8863970000000005E-2</v>
      </c>
      <c r="E34">
        <v>0.1020359188</v>
      </c>
      <c r="F34" s="50">
        <v>0.78006759999999997</v>
      </c>
      <c r="G34">
        <v>0.13583395700000001</v>
      </c>
      <c r="H34" s="50">
        <v>0.71416469999999999</v>
      </c>
      <c r="J34" t="str">
        <f t="shared" si="0"/>
        <v>*</v>
      </c>
      <c r="L34" t="str">
        <f t="shared" si="1"/>
        <v/>
      </c>
      <c r="N34" t="str">
        <f t="shared" si="2"/>
        <v/>
      </c>
      <c r="P34">
        <v>33</v>
      </c>
      <c r="Q34" t="s">
        <v>245</v>
      </c>
      <c r="R34" s="50">
        <v>0.20818</v>
      </c>
      <c r="S34" s="50">
        <v>8.6690000000000003E-2</v>
      </c>
      <c r="T34">
        <v>2.4014000000000002</v>
      </c>
      <c r="U34">
        <v>1.6333E-2</v>
      </c>
      <c r="W34" t="str">
        <f t="shared" si="3"/>
        <v>**</v>
      </c>
    </row>
    <row r="35" spans="1:23" x14ac:dyDescent="0.25">
      <c r="A35">
        <v>34</v>
      </c>
      <c r="B35" t="s">
        <v>167</v>
      </c>
      <c r="C35" s="50">
        <v>8.7995370000000003E-2</v>
      </c>
      <c r="D35" s="50">
        <v>1.5940220000000001E-6</v>
      </c>
      <c r="E35">
        <v>0.39687500269999998</v>
      </c>
      <c r="F35" s="50">
        <v>0.2425746</v>
      </c>
      <c r="G35">
        <v>0.48487036839999997</v>
      </c>
      <c r="H35" s="50">
        <v>0.16420109999999999</v>
      </c>
      <c r="J35" t="str">
        <f t="shared" si="0"/>
        <v>***</v>
      </c>
      <c r="L35" t="str">
        <f t="shared" si="1"/>
        <v/>
      </c>
      <c r="N35" t="str">
        <f t="shared" si="2"/>
        <v/>
      </c>
      <c r="P35">
        <v>34</v>
      </c>
      <c r="Q35" t="s">
        <v>166</v>
      </c>
      <c r="R35" s="50">
        <v>3.1688000000000001E-2</v>
      </c>
      <c r="S35" s="50">
        <v>1.7021999999999999E-2</v>
      </c>
      <c r="T35">
        <v>1.8615999999999999</v>
      </c>
      <c r="U35">
        <v>6.2664600000000001E-2</v>
      </c>
      <c r="W35" t="str">
        <f t="shared" si="3"/>
        <v>*</v>
      </c>
    </row>
    <row r="36" spans="1:23" x14ac:dyDescent="0.25">
      <c r="A36">
        <v>35</v>
      </c>
      <c r="B36" t="s">
        <v>168</v>
      </c>
      <c r="C36" s="50">
        <v>9.9989460000000002E-2</v>
      </c>
      <c r="D36" s="50">
        <v>6.821575E-8</v>
      </c>
      <c r="E36">
        <v>0.2156289237</v>
      </c>
      <c r="F36" s="50">
        <v>0.52823050000000005</v>
      </c>
      <c r="G36">
        <v>0.31561838450000002</v>
      </c>
      <c r="H36" s="50">
        <v>0.36672159999999998</v>
      </c>
      <c r="J36" t="str">
        <f t="shared" si="0"/>
        <v>***</v>
      </c>
      <c r="L36" t="str">
        <f t="shared" si="1"/>
        <v/>
      </c>
      <c r="N36" t="str">
        <f t="shared" si="2"/>
        <v/>
      </c>
      <c r="P36">
        <v>35</v>
      </c>
      <c r="Q36" t="s">
        <v>167</v>
      </c>
      <c r="R36" s="50">
        <v>7.9788999999999999E-2</v>
      </c>
      <c r="S36" s="50">
        <v>1.6142E-2</v>
      </c>
      <c r="T36">
        <v>4.9428999999999998</v>
      </c>
      <c r="U36" s="50">
        <v>7.6970000000000002E-7</v>
      </c>
      <c r="W36" t="str">
        <f t="shared" si="3"/>
        <v>***</v>
      </c>
    </row>
    <row r="37" spans="1:23" x14ac:dyDescent="0.25">
      <c r="A37">
        <v>36</v>
      </c>
      <c r="B37" t="s">
        <v>169</v>
      </c>
      <c r="C37" s="50">
        <v>0.1126171</v>
      </c>
      <c r="D37" s="50">
        <v>9.694312E-10</v>
      </c>
      <c r="E37">
        <v>0.38015286720000002</v>
      </c>
      <c r="F37" s="50">
        <v>0.26242579999999999</v>
      </c>
      <c r="G37">
        <v>0.49276993920000001</v>
      </c>
      <c r="H37" s="50">
        <v>0.15658130000000001</v>
      </c>
      <c r="J37" t="str">
        <f t="shared" si="0"/>
        <v>***</v>
      </c>
      <c r="L37" t="str">
        <f t="shared" si="1"/>
        <v/>
      </c>
      <c r="N37" t="str">
        <f t="shared" si="2"/>
        <v/>
      </c>
      <c r="P37">
        <v>36</v>
      </c>
      <c r="Q37" t="s">
        <v>168</v>
      </c>
      <c r="R37" s="50">
        <v>9.5531000000000005E-2</v>
      </c>
      <c r="S37" s="50">
        <v>1.6358999999999999E-2</v>
      </c>
      <c r="T37">
        <v>5.8395000000000001</v>
      </c>
      <c r="U37" s="50">
        <v>5.2350000000000002E-9</v>
      </c>
      <c r="W37" t="str">
        <f t="shared" si="3"/>
        <v>***</v>
      </c>
    </row>
    <row r="38" spans="1:23" x14ac:dyDescent="0.25">
      <c r="A38">
        <v>37</v>
      </c>
      <c r="B38" t="s">
        <v>170</v>
      </c>
      <c r="C38" s="50">
        <v>0.1412979</v>
      </c>
      <c r="D38" s="50">
        <v>5.5955240000000001E-14</v>
      </c>
      <c r="E38">
        <v>0.49270185</v>
      </c>
      <c r="F38" s="50">
        <v>0.15334400000000001</v>
      </c>
      <c r="G38">
        <v>0.63399974820000005</v>
      </c>
      <c r="H38" s="50">
        <v>7.3387240000000006E-2</v>
      </c>
      <c r="J38" t="str">
        <f t="shared" si="0"/>
        <v>***</v>
      </c>
      <c r="L38" t="str">
        <f t="shared" si="1"/>
        <v/>
      </c>
      <c r="N38" t="str">
        <f t="shared" si="2"/>
        <v>*</v>
      </c>
      <c r="P38">
        <v>37</v>
      </c>
      <c r="Q38" t="s">
        <v>169</v>
      </c>
      <c r="R38" s="50">
        <v>0.10476000000000001</v>
      </c>
      <c r="S38" s="50">
        <v>1.6244999999999999E-2</v>
      </c>
      <c r="T38">
        <v>6.4485000000000001</v>
      </c>
      <c r="U38" s="50">
        <v>1.1290000000000001E-10</v>
      </c>
      <c r="W38" t="str">
        <f t="shared" si="3"/>
        <v>***</v>
      </c>
    </row>
    <row r="39" spans="1:23" x14ac:dyDescent="0.25">
      <c r="A39">
        <v>38</v>
      </c>
      <c r="B39" t="s">
        <v>50</v>
      </c>
      <c r="C39" s="50">
        <v>2.0031860000000001E-5</v>
      </c>
      <c r="D39" s="50">
        <v>0.5112466</v>
      </c>
      <c r="E39">
        <v>-1.3887179999999999E-4</v>
      </c>
      <c r="F39" s="50">
        <v>0.47447400000000001</v>
      </c>
      <c r="G39">
        <v>-1.188399E-4</v>
      </c>
      <c r="H39" s="50">
        <v>0.54682019999999998</v>
      </c>
      <c r="J39" t="str">
        <f t="shared" si="0"/>
        <v/>
      </c>
      <c r="L39" t="str">
        <f t="shared" si="1"/>
        <v/>
      </c>
      <c r="N39" t="str">
        <f t="shared" si="2"/>
        <v/>
      </c>
      <c r="P39">
        <v>38</v>
      </c>
      <c r="Q39" t="s">
        <v>170</v>
      </c>
      <c r="R39" s="50">
        <v>0.13111</v>
      </c>
      <c r="S39" s="50">
        <v>1.6552000000000001E-2</v>
      </c>
      <c r="T39">
        <v>7.9211</v>
      </c>
      <c r="U39" s="50">
        <v>2.4419999999999998E-15</v>
      </c>
      <c r="W39" t="str">
        <f t="shared" si="3"/>
        <v>***</v>
      </c>
    </row>
    <row r="40" spans="1:23" x14ac:dyDescent="0.25">
      <c r="A40">
        <v>39</v>
      </c>
      <c r="B40" t="s">
        <v>52</v>
      </c>
      <c r="C40" s="50">
        <v>5.0231389999999998E-4</v>
      </c>
      <c r="D40" s="50">
        <v>0.86000489999999996</v>
      </c>
      <c r="E40">
        <v>-9.6127980700000004E-2</v>
      </c>
      <c r="F40" s="50">
        <v>5.3103530000000003E-2</v>
      </c>
      <c r="G40">
        <v>-9.5625666799999995E-2</v>
      </c>
      <c r="H40" s="50">
        <v>6.1757479999999997E-2</v>
      </c>
      <c r="J40" t="str">
        <f t="shared" si="0"/>
        <v/>
      </c>
      <c r="L40" t="str">
        <f t="shared" si="1"/>
        <v>*</v>
      </c>
      <c r="N40" t="str">
        <f t="shared" si="2"/>
        <v>*</v>
      </c>
      <c r="P40">
        <v>39</v>
      </c>
      <c r="Q40" t="s">
        <v>50</v>
      </c>
      <c r="R40" s="50">
        <v>2.2903000000000001E-5</v>
      </c>
      <c r="S40" s="50">
        <v>3.1458999999999998E-5</v>
      </c>
      <c r="T40">
        <v>0.72799999999999998</v>
      </c>
      <c r="U40">
        <v>0.46659909999999999</v>
      </c>
      <c r="W40" t="str">
        <f t="shared" si="3"/>
        <v/>
      </c>
    </row>
    <row r="41" spans="1:23" x14ac:dyDescent="0.25">
      <c r="A41">
        <v>40</v>
      </c>
      <c r="B41" t="s">
        <v>51</v>
      </c>
      <c r="C41" s="50">
        <v>-9.8007800000000006E-2</v>
      </c>
      <c r="D41" s="50">
        <v>5.3730349999999998E-12</v>
      </c>
      <c r="E41">
        <v>-0.35185619150000003</v>
      </c>
      <c r="F41" s="50">
        <v>0.18739230000000001</v>
      </c>
      <c r="G41">
        <v>-0.44986398719999998</v>
      </c>
      <c r="H41" s="50">
        <v>0.1015455</v>
      </c>
      <c r="J41" t="str">
        <f t="shared" si="0"/>
        <v>***</v>
      </c>
      <c r="L41" t="str">
        <f t="shared" si="1"/>
        <v/>
      </c>
      <c r="N41" t="str">
        <f t="shared" si="2"/>
        <v/>
      </c>
      <c r="P41">
        <v>40</v>
      </c>
      <c r="Q41" t="s">
        <v>52</v>
      </c>
      <c r="R41" s="50">
        <v>2.4897000000000001E-3</v>
      </c>
      <c r="S41" s="50">
        <v>2.4756000000000001E-3</v>
      </c>
      <c r="T41">
        <v>1.0057</v>
      </c>
      <c r="U41">
        <v>0.31455670000000002</v>
      </c>
      <c r="W41" t="str">
        <f t="shared" si="3"/>
        <v/>
      </c>
    </row>
    <row r="42" spans="1:23" x14ac:dyDescent="0.25">
      <c r="A42">
        <v>41</v>
      </c>
      <c r="B42" t="s">
        <v>164</v>
      </c>
      <c r="C42" s="50">
        <v>-0.1173322</v>
      </c>
      <c r="D42" s="50">
        <v>1.332268E-15</v>
      </c>
      <c r="E42">
        <v>0.1040835782</v>
      </c>
      <c r="F42" s="50">
        <v>4.1464609999999999E-12</v>
      </c>
      <c r="G42">
        <v>-1.32486149E-2</v>
      </c>
      <c r="H42" s="50">
        <v>1.4167749999999999E-7</v>
      </c>
      <c r="J42" t="str">
        <f t="shared" si="0"/>
        <v>***</v>
      </c>
      <c r="L42" t="str">
        <f t="shared" si="1"/>
        <v>***</v>
      </c>
      <c r="N42" t="str">
        <f t="shared" si="2"/>
        <v>***</v>
      </c>
      <c r="P42">
        <v>41</v>
      </c>
      <c r="Q42" t="s">
        <v>51</v>
      </c>
      <c r="R42" s="50">
        <v>-9.0732999999999994E-2</v>
      </c>
      <c r="S42" s="50">
        <v>1.2194999999999999E-2</v>
      </c>
      <c r="T42">
        <v>-7.4401999999999999</v>
      </c>
      <c r="U42" s="50">
        <v>1.006E-13</v>
      </c>
      <c r="W42" t="str">
        <f t="shared" si="3"/>
        <v>***</v>
      </c>
    </row>
    <row r="43" spans="1:23" x14ac:dyDescent="0.25">
      <c r="A43">
        <v>42</v>
      </c>
      <c r="B43" t="s">
        <v>39</v>
      </c>
      <c r="C43" s="50">
        <v>8.0896789999999996E-2</v>
      </c>
      <c r="D43" s="50">
        <v>1.5968870000000001E-8</v>
      </c>
      <c r="E43">
        <v>-0.12440940659999999</v>
      </c>
      <c r="F43" s="50">
        <v>2.6366389999999999E-6</v>
      </c>
      <c r="G43">
        <v>-4.3512619900000001E-2</v>
      </c>
      <c r="H43" s="50">
        <v>3.018962E-2</v>
      </c>
      <c r="J43" t="str">
        <f t="shared" si="0"/>
        <v>***</v>
      </c>
      <c r="L43" t="str">
        <f t="shared" si="1"/>
        <v>***</v>
      </c>
      <c r="N43" t="str">
        <f t="shared" si="2"/>
        <v>**</v>
      </c>
      <c r="P43">
        <v>42</v>
      </c>
      <c r="Q43" t="s">
        <v>164</v>
      </c>
      <c r="R43" s="50">
        <v>-0.11948</v>
      </c>
      <c r="S43" s="50">
        <v>1.4789E-2</v>
      </c>
      <c r="T43">
        <v>-8.0790000000000006</v>
      </c>
      <c r="U43" s="50">
        <v>6.6610000000000002E-16</v>
      </c>
      <c r="W43" t="str">
        <f t="shared" si="3"/>
        <v>***</v>
      </c>
    </row>
    <row r="44" spans="1:23" x14ac:dyDescent="0.25">
      <c r="A44">
        <v>43</v>
      </c>
      <c r="B44" t="s">
        <v>40</v>
      </c>
      <c r="C44" s="50">
        <v>-5.0904449999999999E-3</v>
      </c>
      <c r="D44" s="50">
        <v>0.64463990000000004</v>
      </c>
      <c r="E44">
        <v>-2.7157052000000002E-3</v>
      </c>
      <c r="F44" s="50">
        <v>0.80996250000000003</v>
      </c>
      <c r="G44">
        <v>-7.8061501999999996E-3</v>
      </c>
      <c r="H44" s="50">
        <v>3.1329110000000003E-4</v>
      </c>
      <c r="J44" t="str">
        <f t="shared" si="0"/>
        <v/>
      </c>
      <c r="L44" t="str">
        <f t="shared" si="1"/>
        <v/>
      </c>
      <c r="N44" t="str">
        <f t="shared" si="2"/>
        <v>***</v>
      </c>
      <c r="P44">
        <v>43</v>
      </c>
      <c r="Q44" t="s">
        <v>39</v>
      </c>
      <c r="R44" s="50">
        <v>8.3468000000000001E-2</v>
      </c>
      <c r="S44" s="50">
        <v>1.4733E-2</v>
      </c>
      <c r="T44">
        <v>5.6654</v>
      </c>
      <c r="U44" s="50">
        <v>1.467E-8</v>
      </c>
      <c r="W44" t="str">
        <f t="shared" si="3"/>
        <v>***</v>
      </c>
    </row>
    <row r="45" spans="1:23" x14ac:dyDescent="0.25">
      <c r="A45">
        <v>44</v>
      </c>
      <c r="B45" t="s">
        <v>41</v>
      </c>
      <c r="C45" s="50">
        <v>1.6905610000000001E-2</v>
      </c>
      <c r="D45" s="50">
        <v>0.12813930000000001</v>
      </c>
      <c r="E45">
        <v>-1.24068192E-2</v>
      </c>
      <c r="F45" s="50">
        <v>0.26821489999999998</v>
      </c>
      <c r="G45">
        <v>4.4987891999999996E-3</v>
      </c>
      <c r="H45" s="50">
        <v>1.6530550000000001E-3</v>
      </c>
      <c r="J45" t="str">
        <f t="shared" si="0"/>
        <v/>
      </c>
      <c r="L45" t="str">
        <f t="shared" si="1"/>
        <v/>
      </c>
      <c r="N45" t="str">
        <f t="shared" si="2"/>
        <v>***</v>
      </c>
      <c r="P45">
        <v>44</v>
      </c>
      <c r="Q45" t="s">
        <v>40</v>
      </c>
      <c r="R45" s="50">
        <v>-5.0343000000000002E-3</v>
      </c>
      <c r="S45" s="50">
        <v>1.1155E-2</v>
      </c>
      <c r="T45">
        <v>-0.45129999999999998</v>
      </c>
      <c r="U45">
        <v>0.65175989999999995</v>
      </c>
      <c r="W45" t="str">
        <f t="shared" si="3"/>
        <v/>
      </c>
    </row>
    <row r="46" spans="1:23" x14ac:dyDescent="0.25">
      <c r="A46">
        <v>45</v>
      </c>
      <c r="B46" t="s">
        <v>173</v>
      </c>
      <c r="C46" s="50">
        <v>3.4146030000000001E-2</v>
      </c>
      <c r="D46" s="50">
        <v>2.6884350000000001E-7</v>
      </c>
      <c r="E46">
        <v>-3.0735469299999998E-2</v>
      </c>
      <c r="F46" s="50">
        <v>5.4614889999999999E-3</v>
      </c>
      <c r="G46">
        <v>3.4105643000000001E-3</v>
      </c>
      <c r="H46" s="50">
        <v>0.68747570000000002</v>
      </c>
      <c r="J46" t="str">
        <f t="shared" si="0"/>
        <v>***</v>
      </c>
      <c r="L46" t="str">
        <f t="shared" si="1"/>
        <v>***</v>
      </c>
      <c r="N46" t="str">
        <f t="shared" si="2"/>
        <v/>
      </c>
      <c r="P46">
        <v>45</v>
      </c>
      <c r="Q46" t="s">
        <v>41</v>
      </c>
      <c r="R46" s="50">
        <v>1.7162E-2</v>
      </c>
      <c r="S46" s="50">
        <v>1.1377999999999999E-2</v>
      </c>
      <c r="T46">
        <v>1.5083</v>
      </c>
      <c r="U46">
        <v>0.13147010000000001</v>
      </c>
      <c r="W46" t="str">
        <f t="shared" si="3"/>
        <v/>
      </c>
    </row>
    <row r="47" spans="1:23" x14ac:dyDescent="0.25">
      <c r="A47">
        <v>46</v>
      </c>
      <c r="B47" t="s">
        <v>174</v>
      </c>
      <c r="C47" s="50">
        <v>2.123945E-2</v>
      </c>
      <c r="D47" s="50">
        <v>1.224655E-2</v>
      </c>
      <c r="E47">
        <v>-2.7584775799999999E-2</v>
      </c>
      <c r="F47" s="50">
        <v>4.6975719999999997E-3</v>
      </c>
      <c r="G47">
        <v>-6.3453219999999996E-3</v>
      </c>
      <c r="H47" s="50">
        <v>0.1788911</v>
      </c>
      <c r="J47" t="str">
        <f t="shared" si="0"/>
        <v>**</v>
      </c>
      <c r="L47" t="str">
        <f t="shared" si="1"/>
        <v>***</v>
      </c>
      <c r="N47" t="str">
        <f t="shared" si="2"/>
        <v/>
      </c>
      <c r="P47">
        <v>46</v>
      </c>
      <c r="Q47" t="s">
        <v>173</v>
      </c>
      <c r="R47" s="50">
        <v>3.4780999999999999E-2</v>
      </c>
      <c r="S47" s="50">
        <v>6.7551E-3</v>
      </c>
      <c r="T47">
        <v>5.1487999999999996</v>
      </c>
      <c r="U47" s="50">
        <v>2.621E-7</v>
      </c>
      <c r="W47" t="str">
        <f t="shared" si="3"/>
        <v>***</v>
      </c>
    </row>
    <row r="48" spans="1:23" x14ac:dyDescent="0.25">
      <c r="A48">
        <v>47</v>
      </c>
      <c r="B48" t="s">
        <v>175</v>
      </c>
      <c r="C48" s="50">
        <v>2.6105819999999998E-2</v>
      </c>
      <c r="D48" s="50">
        <v>1.156824E-4</v>
      </c>
      <c r="E48">
        <v>-1.72798932E-2</v>
      </c>
      <c r="F48" s="50">
        <v>3.8998669999999999E-2</v>
      </c>
      <c r="G48">
        <v>8.8259225999999993E-3</v>
      </c>
      <c r="H48" s="50">
        <v>6.0441109999999999E-2</v>
      </c>
      <c r="J48" t="str">
        <f t="shared" si="0"/>
        <v>***</v>
      </c>
      <c r="L48" t="str">
        <f t="shared" si="1"/>
        <v>**</v>
      </c>
      <c r="N48" t="str">
        <f t="shared" si="2"/>
        <v>*</v>
      </c>
      <c r="P48">
        <v>47</v>
      </c>
      <c r="Q48" t="s">
        <v>174</v>
      </c>
      <c r="R48" s="50">
        <v>2.181E-2</v>
      </c>
      <c r="S48" s="50">
        <v>8.5903000000000004E-3</v>
      </c>
      <c r="T48">
        <v>2.5388000000000002</v>
      </c>
      <c r="U48">
        <v>1.1121900000000001E-2</v>
      </c>
      <c r="W48" t="str">
        <f t="shared" si="3"/>
        <v>**</v>
      </c>
    </row>
    <row r="49" spans="1:23" x14ac:dyDescent="0.25">
      <c r="A49">
        <v>48</v>
      </c>
      <c r="B49" t="s">
        <v>43</v>
      </c>
      <c r="C49" s="50">
        <v>9.2279819999999999E-2</v>
      </c>
      <c r="D49" s="50">
        <v>8.1416660000000002E-2</v>
      </c>
      <c r="E49">
        <v>-1.4513046952999999</v>
      </c>
      <c r="F49" s="50">
        <v>4.5660820000000003E-8</v>
      </c>
      <c r="G49">
        <v>-1.3590248708999999</v>
      </c>
      <c r="H49" s="50">
        <v>3.6122009999999999E-7</v>
      </c>
      <c r="J49" t="str">
        <f t="shared" si="0"/>
        <v>*</v>
      </c>
      <c r="L49" t="str">
        <f t="shared" si="1"/>
        <v>***</v>
      </c>
      <c r="N49" t="str">
        <f t="shared" si="2"/>
        <v>***</v>
      </c>
      <c r="P49">
        <v>48</v>
      </c>
      <c r="Q49" t="s">
        <v>175</v>
      </c>
      <c r="R49" s="50">
        <v>2.6463E-2</v>
      </c>
      <c r="S49" s="50">
        <v>6.8087E-3</v>
      </c>
      <c r="T49">
        <v>3.8866000000000001</v>
      </c>
      <c r="U49">
        <v>1.0170000000000001E-4</v>
      </c>
      <c r="W49" t="str">
        <f t="shared" si="3"/>
        <v>***</v>
      </c>
    </row>
    <row r="50" spans="1:23" x14ac:dyDescent="0.25">
      <c r="A50">
        <v>49</v>
      </c>
      <c r="B50" t="s">
        <v>44</v>
      </c>
      <c r="C50" s="50">
        <v>-4.7857200000000003E-3</v>
      </c>
      <c r="D50" s="50">
        <v>0.7555383</v>
      </c>
      <c r="E50">
        <v>-0.22734814270000001</v>
      </c>
      <c r="F50" s="50">
        <v>2.79749E-6</v>
      </c>
      <c r="G50">
        <v>-0.232133863</v>
      </c>
      <c r="H50" s="50">
        <v>5.9868580000000003E-7</v>
      </c>
      <c r="J50" t="str">
        <f t="shared" si="0"/>
        <v/>
      </c>
      <c r="L50" t="str">
        <f t="shared" si="1"/>
        <v>***</v>
      </c>
      <c r="N50" t="str">
        <f t="shared" si="2"/>
        <v>***</v>
      </c>
      <c r="P50">
        <v>49</v>
      </c>
      <c r="Q50" t="s">
        <v>43</v>
      </c>
      <c r="R50" s="50">
        <v>0.12228</v>
      </c>
      <c r="S50" s="50">
        <v>5.3801000000000002E-2</v>
      </c>
      <c r="T50">
        <v>2.2728999999999999</v>
      </c>
      <c r="U50">
        <v>2.3032799999999999E-2</v>
      </c>
      <c r="W50" t="str">
        <f t="shared" si="3"/>
        <v>**</v>
      </c>
    </row>
    <row r="51" spans="1:23" x14ac:dyDescent="0.25">
      <c r="A51">
        <v>50</v>
      </c>
      <c r="B51" t="s">
        <v>45</v>
      </c>
      <c r="C51" s="50">
        <v>-3.4866170000000002E-2</v>
      </c>
      <c r="D51" s="50">
        <v>0.13650909999999999</v>
      </c>
      <c r="E51">
        <v>-0.98738899120000001</v>
      </c>
      <c r="F51" s="50">
        <v>0</v>
      </c>
      <c r="G51">
        <v>-1.0222551615</v>
      </c>
      <c r="H51" s="50">
        <v>0</v>
      </c>
      <c r="J51" t="str">
        <f t="shared" si="0"/>
        <v/>
      </c>
      <c r="L51" t="str">
        <f t="shared" si="1"/>
        <v>***</v>
      </c>
      <c r="N51" t="str">
        <f t="shared" si="2"/>
        <v>***</v>
      </c>
      <c r="P51">
        <v>50</v>
      </c>
      <c r="Q51" t="s">
        <v>44</v>
      </c>
      <c r="R51" s="50">
        <v>-8.5432999999999993E-5</v>
      </c>
      <c r="S51" s="50">
        <v>1.5980000000000001E-2</v>
      </c>
      <c r="T51">
        <v>-5.3E-3</v>
      </c>
      <c r="U51">
        <v>0.99573440000000002</v>
      </c>
      <c r="W51" t="str">
        <f t="shared" si="3"/>
        <v/>
      </c>
    </row>
    <row r="52" spans="1:23" x14ac:dyDescent="0.25">
      <c r="A52">
        <v>51</v>
      </c>
      <c r="B52" t="s">
        <v>48</v>
      </c>
      <c r="C52" s="50">
        <v>-2.2619319999999998E-2</v>
      </c>
      <c r="D52" s="50">
        <v>7.5139750000000005E-2</v>
      </c>
      <c r="E52">
        <v>2.8629868499999999E-2</v>
      </c>
      <c r="F52" s="50">
        <v>0.59360729999999995</v>
      </c>
      <c r="G52">
        <v>6.0105460000000003E-3</v>
      </c>
      <c r="H52" s="50">
        <v>0.90040129999999996</v>
      </c>
      <c r="J52" t="str">
        <f t="shared" si="0"/>
        <v>*</v>
      </c>
      <c r="L52" t="str">
        <f t="shared" si="1"/>
        <v/>
      </c>
      <c r="N52" t="str">
        <f t="shared" si="2"/>
        <v/>
      </c>
      <c r="P52">
        <v>51</v>
      </c>
      <c r="Q52" t="s">
        <v>45</v>
      </c>
      <c r="R52" s="50">
        <v>-1.4452E-2</v>
      </c>
      <c r="S52" s="50">
        <v>2.3349999999999999E-2</v>
      </c>
      <c r="T52">
        <v>-0.61890000000000001</v>
      </c>
      <c r="U52">
        <v>0.5359505</v>
      </c>
      <c r="W52" t="str">
        <f t="shared" si="3"/>
        <v/>
      </c>
    </row>
    <row r="53" spans="1:23" x14ac:dyDescent="0.25">
      <c r="A53">
        <v>52</v>
      </c>
      <c r="B53" t="s">
        <v>46</v>
      </c>
      <c r="C53" s="50">
        <v>-0.1769519</v>
      </c>
      <c r="D53" s="50">
        <v>1.332268E-15</v>
      </c>
      <c r="E53">
        <v>-0.22150386350000001</v>
      </c>
      <c r="F53" s="50">
        <v>6.4223359999999993E-2</v>
      </c>
      <c r="G53">
        <v>-0.39845572930000001</v>
      </c>
      <c r="H53" s="50">
        <v>8.1984120000000004E-4</v>
      </c>
      <c r="J53" t="str">
        <f t="shared" si="0"/>
        <v>***</v>
      </c>
      <c r="L53" t="str">
        <f t="shared" si="1"/>
        <v>*</v>
      </c>
      <c r="N53" t="str">
        <f t="shared" si="2"/>
        <v>***</v>
      </c>
      <c r="P53">
        <v>52</v>
      </c>
      <c r="Q53" t="s">
        <v>48</v>
      </c>
      <c r="R53" s="50">
        <v>-2.3210999999999999E-2</v>
      </c>
      <c r="S53" s="50">
        <v>1.2987E-2</v>
      </c>
      <c r="T53">
        <v>-1.7871999999999999</v>
      </c>
      <c r="U53">
        <v>7.3907500000000001E-2</v>
      </c>
      <c r="W53" t="str">
        <f t="shared" si="3"/>
        <v>*</v>
      </c>
    </row>
    <row r="54" spans="1:23" x14ac:dyDescent="0.25">
      <c r="A54">
        <v>48</v>
      </c>
      <c r="B54" t="s">
        <v>43</v>
      </c>
      <c r="C54" s="50">
        <v>9.2279819999999999E-2</v>
      </c>
      <c r="D54" s="50">
        <v>7.7881640000000002E-2</v>
      </c>
      <c r="E54">
        <v>-1.4513046952999999</v>
      </c>
      <c r="F54" s="50">
        <v>2.229411E-8</v>
      </c>
      <c r="G54">
        <v>-1.3590248708999999</v>
      </c>
      <c r="H54" s="50">
        <v>1.643377E-7</v>
      </c>
      <c r="J54" t="str">
        <f t="shared" si="0"/>
        <v>*</v>
      </c>
      <c r="L54" t="str">
        <f t="shared" si="1"/>
        <v>***</v>
      </c>
      <c r="N54" t="str">
        <f t="shared" si="2"/>
        <v>***</v>
      </c>
      <c r="P54">
        <v>53</v>
      </c>
      <c r="Q54" t="s">
        <v>46</v>
      </c>
      <c r="R54" s="50">
        <v>-0.17237</v>
      </c>
      <c r="S54" s="50">
        <v>2.2355E-2</v>
      </c>
      <c r="T54">
        <v>-7.7104999999999997</v>
      </c>
      <c r="U54" s="50">
        <v>1.243E-14</v>
      </c>
      <c r="W54" t="str">
        <f t="shared" si="3"/>
        <v>***</v>
      </c>
    </row>
    <row r="55" spans="1:23" x14ac:dyDescent="0.25">
      <c r="A55">
        <v>49</v>
      </c>
      <c r="B55" t="s">
        <v>44</v>
      </c>
      <c r="C55" s="50">
        <v>-4.7857200000000003E-3</v>
      </c>
      <c r="D55" s="50">
        <v>0.74039250000000001</v>
      </c>
      <c r="E55">
        <v>-0.22734814270000001</v>
      </c>
      <c r="F55" s="50">
        <v>1.7956969999999999E-6</v>
      </c>
      <c r="G55">
        <v>-0.232133863</v>
      </c>
      <c r="H55" s="50">
        <v>3.4597709999999999E-7</v>
      </c>
      <c r="J55" t="str">
        <f t="shared" si="0"/>
        <v/>
      </c>
      <c r="L55" t="str">
        <f t="shared" si="1"/>
        <v>***</v>
      </c>
      <c r="N55" t="str">
        <f t="shared" si="2"/>
        <v>***</v>
      </c>
      <c r="P55">
        <v>54</v>
      </c>
      <c r="Q55" t="s">
        <v>731</v>
      </c>
      <c r="R55" s="50">
        <v>1.7911E-2</v>
      </c>
      <c r="S55" s="50">
        <v>3.7950999999999999E-2</v>
      </c>
      <c r="T55">
        <v>0.47199999999999998</v>
      </c>
      <c r="U55">
        <v>0.63696030000000003</v>
      </c>
      <c r="W55" t="str">
        <f t="shared" si="3"/>
        <v/>
      </c>
    </row>
    <row r="56" spans="1:23" x14ac:dyDescent="0.25">
      <c r="A56">
        <v>50</v>
      </c>
      <c r="B56" t="s">
        <v>45</v>
      </c>
      <c r="C56" s="50">
        <v>-3.4866170000000002E-2</v>
      </c>
      <c r="D56" s="50">
        <v>0.1253824</v>
      </c>
      <c r="E56">
        <v>-0.98738899120000001</v>
      </c>
      <c r="F56" s="50">
        <v>0</v>
      </c>
      <c r="G56">
        <v>-1.0222551615</v>
      </c>
      <c r="H56" s="50">
        <v>0</v>
      </c>
      <c r="J56" t="str">
        <f t="shared" si="0"/>
        <v/>
      </c>
      <c r="L56" t="str">
        <f t="shared" si="1"/>
        <v>***</v>
      </c>
      <c r="N56" t="str">
        <f t="shared" si="2"/>
        <v>***</v>
      </c>
      <c r="P56">
        <v>55</v>
      </c>
      <c r="Q56" t="s">
        <v>732</v>
      </c>
      <c r="R56" s="50">
        <v>2.5064E-4</v>
      </c>
      <c r="S56" s="50">
        <v>8.0198999999999996E-5</v>
      </c>
      <c r="T56">
        <v>3.1253000000000002</v>
      </c>
      <c r="U56">
        <v>1.7763E-3</v>
      </c>
      <c r="W56" t="str">
        <f t="shared" si="3"/>
        <v>***</v>
      </c>
    </row>
    <row r="57" spans="1:23" x14ac:dyDescent="0.25">
      <c r="A57">
        <v>51</v>
      </c>
      <c r="B57" t="s">
        <v>48</v>
      </c>
      <c r="C57" s="50">
        <v>-2.2619319999999998E-2</v>
      </c>
      <c r="D57" s="50">
        <v>7.6779219999999995E-2</v>
      </c>
      <c r="E57">
        <v>2.8629868499999999E-2</v>
      </c>
      <c r="F57" s="50">
        <v>0.64598</v>
      </c>
      <c r="G57">
        <v>6.0105460000000003E-3</v>
      </c>
      <c r="H57" s="50">
        <v>0.96171479999999998</v>
      </c>
      <c r="J57" t="str">
        <f t="shared" si="0"/>
        <v>*</v>
      </c>
      <c r="L57" t="str">
        <f t="shared" si="1"/>
        <v/>
      </c>
      <c r="N57" t="str">
        <f t="shared" si="2"/>
        <v/>
      </c>
      <c r="P57">
        <v>56</v>
      </c>
      <c r="Q57" t="s">
        <v>733</v>
      </c>
      <c r="R57" s="50">
        <v>1.2016000000000001E-2</v>
      </c>
      <c r="S57" s="50">
        <v>1.7066000000000001E-2</v>
      </c>
      <c r="T57">
        <v>0.70409999999999995</v>
      </c>
      <c r="U57">
        <v>0.48138199999999998</v>
      </c>
      <c r="W57" t="str">
        <f t="shared" si="3"/>
        <v/>
      </c>
    </row>
    <row r="58" spans="1:23" x14ac:dyDescent="0.25">
      <c r="A58">
        <v>52</v>
      </c>
      <c r="B58" t="s">
        <v>46</v>
      </c>
      <c r="C58" s="50">
        <v>-0.1769519</v>
      </c>
      <c r="D58" s="50">
        <v>2.2204459999999999E-16</v>
      </c>
      <c r="E58">
        <v>-0.22150386350000001</v>
      </c>
      <c r="F58" s="50">
        <v>7.2610939999999999E-2</v>
      </c>
      <c r="G58">
        <v>-0.39845572930000001</v>
      </c>
      <c r="H58" s="50">
        <v>1.1868180000000001E-3</v>
      </c>
      <c r="J58" t="str">
        <f t="shared" si="0"/>
        <v>***</v>
      </c>
      <c r="L58" t="str">
        <f t="shared" si="1"/>
        <v>*</v>
      </c>
      <c r="N58" t="str">
        <f t="shared" si="2"/>
        <v>***</v>
      </c>
      <c r="P58">
        <v>57</v>
      </c>
      <c r="Q58" t="s">
        <v>734</v>
      </c>
      <c r="R58" s="50">
        <v>-2.1239000000000001E-2</v>
      </c>
      <c r="S58" s="50">
        <v>1.7901E-2</v>
      </c>
      <c r="T58">
        <v>-1.1865000000000001</v>
      </c>
      <c r="U58">
        <v>0.23544290000000001</v>
      </c>
      <c r="W58" t="str">
        <f t="shared" si="3"/>
        <v/>
      </c>
    </row>
    <row r="59" spans="1:23" x14ac:dyDescent="0.25">
      <c r="B59" t="s">
        <v>716</v>
      </c>
      <c r="C59" s="26">
        <v>19900</v>
      </c>
      <c r="D59" s="50"/>
      <c r="F59" s="50"/>
      <c r="H59" s="50"/>
      <c r="P59">
        <v>58</v>
      </c>
      <c r="Q59" t="s">
        <v>735</v>
      </c>
      <c r="R59" s="50">
        <v>3.1725999999999998E-3</v>
      </c>
      <c r="S59" s="50">
        <v>1.7707000000000001E-2</v>
      </c>
      <c r="T59">
        <v>0.1792</v>
      </c>
      <c r="U59">
        <v>0.85780299999999998</v>
      </c>
      <c r="W59" t="str">
        <f t="shared" si="3"/>
        <v/>
      </c>
    </row>
    <row r="60" spans="1:23" x14ac:dyDescent="0.25">
      <c r="P60">
        <v>59</v>
      </c>
      <c r="Q60" t="s">
        <v>736</v>
      </c>
      <c r="R60" s="50">
        <v>-3.5997000000000001E-2</v>
      </c>
      <c r="S60" s="50">
        <v>3.7595999999999997E-2</v>
      </c>
      <c r="T60">
        <v>-0.95750000000000002</v>
      </c>
      <c r="U60">
        <v>0.33832889999999999</v>
      </c>
      <c r="W60" t="str">
        <f t="shared" si="3"/>
        <v/>
      </c>
    </row>
    <row r="61" spans="1:23" x14ac:dyDescent="0.25">
      <c r="B61" t="s">
        <v>718</v>
      </c>
      <c r="C61">
        <v>0.79166000000000003</v>
      </c>
      <c r="D61" t="s">
        <v>719</v>
      </c>
      <c r="E61">
        <v>7340.2</v>
      </c>
      <c r="F61" t="s">
        <v>720</v>
      </c>
      <c r="G61" s="50">
        <v>2.2200000000000001E-16</v>
      </c>
      <c r="I61" t="str">
        <f>IF(G61&lt;0.01,"***",IF(G61&lt;0.05,"**",IF(G61&lt;0.1,"*","")))</f>
        <v>***</v>
      </c>
      <c r="P61">
        <v>60</v>
      </c>
      <c r="Q61" t="s">
        <v>737</v>
      </c>
      <c r="R61" s="50">
        <v>-0.10811999999999999</v>
      </c>
      <c r="S61" s="50">
        <v>4.2074E-2</v>
      </c>
      <c r="T61">
        <v>-2.5697999999999999</v>
      </c>
      <c r="U61">
        <v>1.01747E-2</v>
      </c>
      <c r="W61" t="str">
        <f t="shared" si="3"/>
        <v>**</v>
      </c>
    </row>
    <row r="62" spans="1:23" x14ac:dyDescent="0.25">
      <c r="B62" t="s">
        <v>497</v>
      </c>
      <c r="C62">
        <v>-18422</v>
      </c>
      <c r="P62">
        <v>61</v>
      </c>
      <c r="Q62" t="s">
        <v>738</v>
      </c>
      <c r="R62" s="50">
        <v>-0.15472</v>
      </c>
      <c r="S62" s="50">
        <v>4.3565E-2</v>
      </c>
      <c r="T62">
        <v>-3.5514000000000001</v>
      </c>
      <c r="U62">
        <v>3.8319999999999999E-4</v>
      </c>
      <c r="W62" t="str">
        <f t="shared" si="3"/>
        <v>***</v>
      </c>
    </row>
    <row r="63" spans="1:23" x14ac:dyDescent="0.25">
      <c r="B63" t="s">
        <v>717</v>
      </c>
      <c r="C63">
        <v>9318.1929999999993</v>
      </c>
      <c r="P63">
        <v>62</v>
      </c>
      <c r="Q63" t="s">
        <v>739</v>
      </c>
      <c r="R63" s="50">
        <v>-0.16267999999999999</v>
      </c>
      <c r="S63" s="50">
        <v>8.4422999999999998E-2</v>
      </c>
      <c r="T63">
        <v>-1.9269000000000001</v>
      </c>
      <c r="U63">
        <v>5.3992499999999999E-2</v>
      </c>
      <c r="W63" t="str">
        <f t="shared" si="3"/>
        <v>*</v>
      </c>
    </row>
    <row r="64" spans="1:23" x14ac:dyDescent="0.25">
      <c r="P64">
        <v>63</v>
      </c>
      <c r="Q64" t="s">
        <v>740</v>
      </c>
      <c r="R64" s="50">
        <v>-3.4443000000000001E-2</v>
      </c>
      <c r="S64" s="50">
        <v>3.7721E-3</v>
      </c>
      <c r="T64">
        <v>-9.1309000000000005</v>
      </c>
      <c r="U64" s="50">
        <v>2.2E-16</v>
      </c>
      <c r="W64" t="str">
        <f t="shared" si="3"/>
        <v>***</v>
      </c>
    </row>
    <row r="65" spans="16:23" x14ac:dyDescent="0.25">
      <c r="P65">
        <v>64</v>
      </c>
      <c r="Q65" t="s">
        <v>741</v>
      </c>
      <c r="R65" s="50">
        <v>-9.1345999999999997E-3</v>
      </c>
      <c r="S65" s="50">
        <v>7.1748000000000003E-3</v>
      </c>
      <c r="T65">
        <v>-1.2732000000000001</v>
      </c>
      <c r="U65">
        <v>0.202963</v>
      </c>
      <c r="W65" t="str">
        <f t="shared" si="3"/>
        <v/>
      </c>
    </row>
    <row r="66" spans="16:23" x14ac:dyDescent="0.25">
      <c r="P66">
        <v>65</v>
      </c>
      <c r="Q66" t="s">
        <v>742</v>
      </c>
      <c r="R66" s="50">
        <v>-1.1653E-2</v>
      </c>
      <c r="S66" s="50">
        <v>6.9360000000000003E-3</v>
      </c>
      <c r="T66">
        <v>-1.68</v>
      </c>
      <c r="U66">
        <v>9.2957700000000004E-2</v>
      </c>
      <c r="W66" t="str">
        <f t="shared" si="3"/>
        <v>*</v>
      </c>
    </row>
    <row r="67" spans="16:23" x14ac:dyDescent="0.25">
      <c r="P67">
        <v>66</v>
      </c>
      <c r="Q67" t="s">
        <v>743</v>
      </c>
      <c r="R67" s="50">
        <v>1.9918000000000002E-2</v>
      </c>
      <c r="S67" s="50">
        <v>7.9667999999999996E-3</v>
      </c>
      <c r="T67">
        <v>2.5001000000000002</v>
      </c>
      <c r="U67">
        <v>1.24142E-2</v>
      </c>
      <c r="W67" t="str">
        <f t="shared" ref="W67:W116" si="4">IF(U67&lt;0.01,"***",IF(U67&lt;0.05,"**",IF(U67&lt;0.1,"*","")))</f>
        <v>**</v>
      </c>
    </row>
    <row r="68" spans="16:23" x14ac:dyDescent="0.25">
      <c r="P68">
        <v>67</v>
      </c>
      <c r="Q68" t="s">
        <v>744</v>
      </c>
      <c r="R68" s="50">
        <v>2.3446999999999999E-2</v>
      </c>
      <c r="S68" s="50">
        <v>1.9140000000000001E-2</v>
      </c>
      <c r="T68">
        <v>1.2250000000000001</v>
      </c>
      <c r="U68">
        <v>0.22057260000000001</v>
      </c>
      <c r="W68" t="str">
        <f t="shared" si="4"/>
        <v/>
      </c>
    </row>
    <row r="69" spans="16:23" x14ac:dyDescent="0.25">
      <c r="P69">
        <v>68</v>
      </c>
      <c r="Q69" t="s">
        <v>745</v>
      </c>
      <c r="R69" s="50">
        <v>-3.6399000000000002E-5</v>
      </c>
      <c r="S69" s="50">
        <v>5.4685999999999996E-6</v>
      </c>
      <c r="T69">
        <v>-6.6558999999999999</v>
      </c>
      <c r="U69" s="50">
        <v>2.8150000000000001E-11</v>
      </c>
      <c r="W69" t="str">
        <f t="shared" si="4"/>
        <v>***</v>
      </c>
    </row>
    <row r="70" spans="16:23" x14ac:dyDescent="0.25">
      <c r="P70">
        <v>69</v>
      </c>
      <c r="Q70" t="s">
        <v>746</v>
      </c>
      <c r="R70" s="50">
        <v>2.7839000000000002E-3</v>
      </c>
      <c r="S70" s="50">
        <v>5.1767000000000002E-4</v>
      </c>
      <c r="T70">
        <v>5.3777999999999997</v>
      </c>
      <c r="U70" s="50">
        <v>7.5419999999999996E-8</v>
      </c>
      <c r="W70" t="str">
        <f t="shared" si="4"/>
        <v>***</v>
      </c>
    </row>
    <row r="71" spans="16:23" x14ac:dyDescent="0.25">
      <c r="P71">
        <v>70</v>
      </c>
      <c r="Q71" t="s">
        <v>747</v>
      </c>
      <c r="R71" s="50">
        <v>-9.8367000000000003E-3</v>
      </c>
      <c r="S71" s="50">
        <v>5.0787000000000002E-3</v>
      </c>
      <c r="T71">
        <v>-1.9369000000000001</v>
      </c>
      <c r="U71">
        <v>5.2762400000000001E-2</v>
      </c>
      <c r="W71" t="str">
        <f t="shared" si="4"/>
        <v>*</v>
      </c>
    </row>
    <row r="72" spans="16:23" x14ac:dyDescent="0.25">
      <c r="P72">
        <v>71</v>
      </c>
      <c r="Q72" t="s">
        <v>748</v>
      </c>
      <c r="R72" s="50">
        <v>-2.1315000000000001E-2</v>
      </c>
      <c r="S72" s="50">
        <v>2.6567E-2</v>
      </c>
      <c r="T72">
        <v>-0.80230000000000001</v>
      </c>
      <c r="U72">
        <v>0.42236899999999999</v>
      </c>
      <c r="W72" t="str">
        <f t="shared" si="4"/>
        <v/>
      </c>
    </row>
    <row r="73" spans="16:23" x14ac:dyDescent="0.25">
      <c r="P73">
        <v>72</v>
      </c>
      <c r="Q73" t="s">
        <v>749</v>
      </c>
      <c r="R73" s="50">
        <v>-5.1568000000000003E-2</v>
      </c>
      <c r="S73" s="50">
        <v>1.3535E-2</v>
      </c>
      <c r="T73">
        <v>-3.8098999999999998</v>
      </c>
      <c r="U73">
        <v>1.3899999999999999E-4</v>
      </c>
      <c r="W73" t="str">
        <f t="shared" si="4"/>
        <v>***</v>
      </c>
    </row>
    <row r="74" spans="16:23" x14ac:dyDescent="0.25">
      <c r="P74">
        <v>73</v>
      </c>
      <c r="Q74" t="s">
        <v>750</v>
      </c>
      <c r="R74" s="50">
        <v>-3.5096000000000002E-2</v>
      </c>
      <c r="S74" s="50">
        <v>1.2906000000000001E-2</v>
      </c>
      <c r="T74">
        <v>-2.7193999999999998</v>
      </c>
      <c r="U74">
        <v>6.5407E-3</v>
      </c>
      <c r="W74" t="str">
        <f t="shared" si="4"/>
        <v>***</v>
      </c>
    </row>
    <row r="75" spans="16:23" x14ac:dyDescent="0.25">
      <c r="P75">
        <v>74</v>
      </c>
      <c r="Q75" t="s">
        <v>751</v>
      </c>
      <c r="R75" s="50">
        <v>7.2875999999999996E-2</v>
      </c>
      <c r="S75" s="50">
        <v>1.8901999999999999E-2</v>
      </c>
      <c r="T75">
        <v>3.8555000000000001</v>
      </c>
      <c r="U75">
        <v>1.155E-4</v>
      </c>
      <c r="W75" t="str">
        <f t="shared" si="4"/>
        <v>***</v>
      </c>
    </row>
    <row r="76" spans="16:23" x14ac:dyDescent="0.25">
      <c r="P76">
        <v>75</v>
      </c>
      <c r="Q76" t="s">
        <v>752</v>
      </c>
      <c r="R76" s="50">
        <v>5.0317000000000001E-3</v>
      </c>
      <c r="S76" s="50">
        <v>2.1198999999999999E-2</v>
      </c>
      <c r="T76">
        <v>0.2374</v>
      </c>
      <c r="U76">
        <v>0.81238370000000004</v>
      </c>
      <c r="W76" t="str">
        <f t="shared" si="4"/>
        <v/>
      </c>
    </row>
    <row r="77" spans="16:23" x14ac:dyDescent="0.25">
      <c r="P77">
        <v>76</v>
      </c>
      <c r="Q77" t="s">
        <v>753</v>
      </c>
      <c r="R77" s="50">
        <v>1.1771E-2</v>
      </c>
      <c r="S77" s="50">
        <v>4.6171999999999998E-2</v>
      </c>
      <c r="T77">
        <v>0.25490000000000002</v>
      </c>
      <c r="U77">
        <v>0.79877140000000002</v>
      </c>
      <c r="W77" t="str">
        <f t="shared" si="4"/>
        <v/>
      </c>
    </row>
    <row r="78" spans="16:23" x14ac:dyDescent="0.25">
      <c r="P78">
        <v>77</v>
      </c>
      <c r="Q78" t="s">
        <v>758</v>
      </c>
      <c r="R78" s="50">
        <v>5.8743999999999998E-2</v>
      </c>
      <c r="S78" s="50">
        <v>2.954E-2</v>
      </c>
      <c r="T78">
        <v>1.9885999999999999</v>
      </c>
      <c r="U78">
        <v>4.67476E-2</v>
      </c>
      <c r="W78" t="str">
        <f t="shared" si="4"/>
        <v>**</v>
      </c>
    </row>
    <row r="79" spans="16:23" x14ac:dyDescent="0.25">
      <c r="P79">
        <v>78</v>
      </c>
      <c r="Q79" t="s">
        <v>760</v>
      </c>
      <c r="R79" s="50">
        <v>-5.5920999999999998E-2</v>
      </c>
      <c r="S79" s="50">
        <v>1.2729000000000001E-2</v>
      </c>
      <c r="T79">
        <v>-4.3932000000000002</v>
      </c>
      <c r="U79" s="50">
        <v>1.117E-5</v>
      </c>
      <c r="W79" t="str">
        <f t="shared" si="4"/>
        <v>***</v>
      </c>
    </row>
    <row r="80" spans="16:23" x14ac:dyDescent="0.25">
      <c r="P80">
        <v>79</v>
      </c>
      <c r="Q80" t="s">
        <v>761</v>
      </c>
      <c r="R80" s="50">
        <v>-0.17954000000000001</v>
      </c>
      <c r="S80" s="50">
        <v>1.9526999999999999E-2</v>
      </c>
      <c r="T80">
        <v>-9.1948000000000008</v>
      </c>
      <c r="U80" s="50">
        <v>2.2E-16</v>
      </c>
      <c r="W80" t="str">
        <f t="shared" si="4"/>
        <v>***</v>
      </c>
    </row>
    <row r="81" spans="16:23" x14ac:dyDescent="0.25">
      <c r="P81">
        <v>80</v>
      </c>
      <c r="Q81" t="s">
        <v>762</v>
      </c>
      <c r="R81" s="50">
        <v>-0.14001</v>
      </c>
      <c r="S81" s="50">
        <v>0.50048999999999999</v>
      </c>
      <c r="T81">
        <v>-0.2797</v>
      </c>
      <c r="U81">
        <v>0.77966950000000002</v>
      </c>
      <c r="W81" t="str">
        <f t="shared" si="4"/>
        <v/>
      </c>
    </row>
    <row r="82" spans="16:23" x14ac:dyDescent="0.25">
      <c r="P82">
        <v>81</v>
      </c>
      <c r="Q82" t="s">
        <v>763</v>
      </c>
      <c r="R82" s="50">
        <v>4.2441E-2</v>
      </c>
      <c r="S82" s="50">
        <v>1.0994E-2</v>
      </c>
      <c r="T82">
        <v>3.8605</v>
      </c>
      <c r="U82">
        <v>1.131E-4</v>
      </c>
      <c r="W82" t="str">
        <f t="shared" si="4"/>
        <v>***</v>
      </c>
    </row>
    <row r="83" spans="16:23" x14ac:dyDescent="0.25">
      <c r="P83">
        <v>82</v>
      </c>
      <c r="Q83" t="s">
        <v>764</v>
      </c>
      <c r="R83" s="50">
        <v>2.0624E-2</v>
      </c>
      <c r="S83" s="50">
        <v>1.8713E-2</v>
      </c>
      <c r="T83">
        <v>1.1021000000000001</v>
      </c>
      <c r="U83">
        <v>0.27039970000000002</v>
      </c>
      <c r="W83" t="str">
        <f t="shared" si="4"/>
        <v/>
      </c>
    </row>
    <row r="84" spans="16:23" x14ac:dyDescent="0.25">
      <c r="P84">
        <v>83</v>
      </c>
      <c r="Q84" t="s">
        <v>765</v>
      </c>
      <c r="R84" s="50">
        <v>-0.42287999999999998</v>
      </c>
      <c r="S84" s="50">
        <v>0.26358999999999999</v>
      </c>
      <c r="T84">
        <v>-1.6043000000000001</v>
      </c>
      <c r="U84">
        <v>0.10864600000000001</v>
      </c>
      <c r="W84" t="str">
        <f t="shared" si="4"/>
        <v/>
      </c>
    </row>
    <row r="85" spans="16:23" x14ac:dyDescent="0.25">
      <c r="P85">
        <v>84</v>
      </c>
      <c r="Q85" t="s">
        <v>766</v>
      </c>
      <c r="R85" s="50">
        <v>-0.10417</v>
      </c>
      <c r="S85" s="50">
        <v>2.1024999999999999E-2</v>
      </c>
      <c r="T85">
        <v>-4.9546000000000001</v>
      </c>
      <c r="U85" s="50">
        <v>7.2470000000000002E-7</v>
      </c>
      <c r="W85" t="str">
        <f t="shared" si="4"/>
        <v>***</v>
      </c>
    </row>
    <row r="86" spans="16:23" x14ac:dyDescent="0.25">
      <c r="P86">
        <v>85</v>
      </c>
      <c r="Q86" t="s">
        <v>767</v>
      </c>
      <c r="R86" s="50">
        <v>0.11755</v>
      </c>
      <c r="S86" s="50">
        <v>0.37681999999999999</v>
      </c>
      <c r="T86">
        <v>0.312</v>
      </c>
      <c r="U86">
        <v>0.75506759999999995</v>
      </c>
      <c r="W86" t="str">
        <f t="shared" si="4"/>
        <v/>
      </c>
    </row>
    <row r="87" spans="16:23" x14ac:dyDescent="0.25">
      <c r="P87">
        <v>86</v>
      </c>
      <c r="Q87" t="s">
        <v>768</v>
      </c>
      <c r="R87" s="50">
        <v>-3.3627000000000002E-3</v>
      </c>
      <c r="S87" s="50">
        <v>7.2198999999999999E-2</v>
      </c>
      <c r="T87">
        <v>-4.6600000000000003E-2</v>
      </c>
      <c r="U87">
        <v>0.96285140000000002</v>
      </c>
      <c r="W87" t="str">
        <f t="shared" si="4"/>
        <v/>
      </c>
    </row>
    <row r="88" spans="16:23" x14ac:dyDescent="0.25">
      <c r="P88">
        <v>87</v>
      </c>
      <c r="Q88" t="s">
        <v>769</v>
      </c>
      <c r="R88" s="50">
        <v>2.1321E-2</v>
      </c>
      <c r="S88" s="50">
        <v>6.9822999999999996E-2</v>
      </c>
      <c r="T88">
        <v>0.3054</v>
      </c>
      <c r="U88">
        <v>0.76009720000000003</v>
      </c>
      <c r="W88" t="str">
        <f t="shared" si="4"/>
        <v/>
      </c>
    </row>
    <row r="89" spans="16:23" x14ac:dyDescent="0.25">
      <c r="P89">
        <v>88</v>
      </c>
      <c r="Q89" t="s">
        <v>770</v>
      </c>
      <c r="R89" s="50">
        <v>-2.9714999999999998E-2</v>
      </c>
      <c r="S89" s="50">
        <v>7.0084999999999995E-2</v>
      </c>
      <c r="T89">
        <v>-0.42399999999999999</v>
      </c>
      <c r="U89">
        <v>0.67158150000000005</v>
      </c>
      <c r="W89" t="str">
        <f t="shared" si="4"/>
        <v/>
      </c>
    </row>
    <row r="90" spans="16:23" x14ac:dyDescent="0.25">
      <c r="P90">
        <v>89</v>
      </c>
      <c r="Q90" t="s">
        <v>771</v>
      </c>
      <c r="R90" s="50">
        <v>-1.9992E-3</v>
      </c>
      <c r="S90" s="50">
        <v>6.9874000000000006E-2</v>
      </c>
      <c r="T90">
        <v>-2.86E-2</v>
      </c>
      <c r="U90">
        <v>0.9771744</v>
      </c>
      <c r="W90" t="str">
        <f t="shared" si="4"/>
        <v/>
      </c>
    </row>
    <row r="91" spans="16:23" x14ac:dyDescent="0.25">
      <c r="P91">
        <v>90</v>
      </c>
      <c r="Q91" t="s">
        <v>772</v>
      </c>
      <c r="R91" s="50">
        <v>1.0977999999999999E-3</v>
      </c>
      <c r="S91" s="50">
        <v>7.1131E-2</v>
      </c>
      <c r="T91">
        <v>1.54E-2</v>
      </c>
      <c r="U91">
        <v>0.98768639999999996</v>
      </c>
      <c r="W91" t="str">
        <f t="shared" si="4"/>
        <v/>
      </c>
    </row>
    <row r="92" spans="16:23" x14ac:dyDescent="0.25">
      <c r="P92">
        <v>91</v>
      </c>
      <c r="Q92" t="s">
        <v>773</v>
      </c>
      <c r="R92" s="50">
        <v>-4.7685000000000002E-5</v>
      </c>
      <c r="S92" s="50">
        <v>5.0547999999999998E-5</v>
      </c>
      <c r="T92">
        <v>-0.94330000000000003</v>
      </c>
      <c r="U92">
        <v>0.34550320000000001</v>
      </c>
      <c r="W92" t="str">
        <f t="shared" si="4"/>
        <v/>
      </c>
    </row>
    <row r="93" spans="16:23" x14ac:dyDescent="0.25">
      <c r="P93">
        <v>92</v>
      </c>
      <c r="Q93" t="s">
        <v>774</v>
      </c>
      <c r="R93" s="50">
        <v>-2.2431E-2</v>
      </c>
      <c r="S93" s="50">
        <v>1.0349000000000001E-2</v>
      </c>
      <c r="T93">
        <v>-2.1674000000000002</v>
      </c>
      <c r="U93">
        <v>3.02008E-2</v>
      </c>
      <c r="W93" t="str">
        <f t="shared" si="4"/>
        <v>**</v>
      </c>
    </row>
    <row r="94" spans="16:23" x14ac:dyDescent="0.25">
      <c r="P94">
        <v>93</v>
      </c>
      <c r="Q94" t="s">
        <v>775</v>
      </c>
      <c r="R94" s="50">
        <v>-3.0777000000000001E-3</v>
      </c>
      <c r="S94" s="50">
        <v>5.6208000000000001E-2</v>
      </c>
      <c r="T94">
        <v>-5.4800000000000001E-2</v>
      </c>
      <c r="U94">
        <v>0.95633270000000004</v>
      </c>
      <c r="W94" t="str">
        <f t="shared" si="4"/>
        <v/>
      </c>
    </row>
    <row r="95" spans="16:23" x14ac:dyDescent="0.25">
      <c r="P95">
        <v>94</v>
      </c>
      <c r="Q95" t="s">
        <v>776</v>
      </c>
      <c r="R95" s="50">
        <v>0.11672</v>
      </c>
      <c r="S95" s="50">
        <v>1.4819000000000001E-2</v>
      </c>
      <c r="T95">
        <v>7.8765000000000001</v>
      </c>
      <c r="U95" s="50">
        <v>3.3309999999999999E-15</v>
      </c>
      <c r="W95" t="str">
        <f t="shared" si="4"/>
        <v>***</v>
      </c>
    </row>
    <row r="96" spans="16:23" x14ac:dyDescent="0.25">
      <c r="P96">
        <v>95</v>
      </c>
      <c r="Q96" t="s">
        <v>777</v>
      </c>
      <c r="R96" s="50">
        <v>-9.2541999999999999E-2</v>
      </c>
      <c r="S96" s="50">
        <v>1.5990000000000001E-2</v>
      </c>
      <c r="T96">
        <v>-5.7874999999999996</v>
      </c>
      <c r="U96" s="50">
        <v>7.1449999999999996E-9</v>
      </c>
      <c r="W96" t="str">
        <f t="shared" si="4"/>
        <v>***</v>
      </c>
    </row>
    <row r="97" spans="16:23" x14ac:dyDescent="0.25">
      <c r="P97">
        <v>96</v>
      </c>
      <c r="Q97" t="s">
        <v>778</v>
      </c>
      <c r="R97" s="50">
        <v>3.4064E-3</v>
      </c>
      <c r="S97" s="50">
        <v>1.1166000000000001E-2</v>
      </c>
      <c r="T97">
        <v>0.30509999999999998</v>
      </c>
      <c r="U97">
        <v>0.76031890000000002</v>
      </c>
      <c r="W97" t="str">
        <f t="shared" si="4"/>
        <v/>
      </c>
    </row>
    <row r="98" spans="16:23" x14ac:dyDescent="0.25">
      <c r="P98">
        <v>97</v>
      </c>
      <c r="Q98" t="s">
        <v>779</v>
      </c>
      <c r="R98" s="50">
        <v>-1.6223999999999999E-2</v>
      </c>
      <c r="S98" s="50">
        <v>1.1387E-2</v>
      </c>
      <c r="T98">
        <v>-1.4247000000000001</v>
      </c>
      <c r="U98">
        <v>0.15423339999999999</v>
      </c>
      <c r="W98" t="str">
        <f t="shared" si="4"/>
        <v/>
      </c>
    </row>
    <row r="99" spans="16:23" x14ac:dyDescent="0.25">
      <c r="P99">
        <v>98</v>
      </c>
      <c r="Q99" t="s">
        <v>780</v>
      </c>
      <c r="R99" s="50">
        <v>-3.4070000000000003E-2</v>
      </c>
      <c r="S99" s="50">
        <v>7.1617E-3</v>
      </c>
      <c r="T99">
        <v>-4.7572000000000001</v>
      </c>
      <c r="U99" s="50">
        <v>1.9630000000000001E-6</v>
      </c>
      <c r="W99" t="str">
        <f t="shared" si="4"/>
        <v>***</v>
      </c>
    </row>
    <row r="100" spans="16:23" x14ac:dyDescent="0.25">
      <c r="P100">
        <v>99</v>
      </c>
      <c r="Q100" t="s">
        <v>781</v>
      </c>
      <c r="R100" s="50">
        <v>-2.3133000000000001E-2</v>
      </c>
      <c r="S100" s="50">
        <v>8.6650000000000008E-3</v>
      </c>
      <c r="T100">
        <v>-2.6697000000000002</v>
      </c>
      <c r="U100">
        <v>7.5925999999999997E-3</v>
      </c>
      <c r="W100" t="str">
        <f t="shared" si="4"/>
        <v>***</v>
      </c>
    </row>
    <row r="101" spans="16:23" x14ac:dyDescent="0.25">
      <c r="P101">
        <v>100</v>
      </c>
      <c r="Q101" t="s">
        <v>782</v>
      </c>
      <c r="R101" s="50">
        <v>-2.4622000000000002E-2</v>
      </c>
      <c r="S101" s="50">
        <v>6.9159E-3</v>
      </c>
      <c r="T101">
        <v>-3.5602999999999998</v>
      </c>
      <c r="U101">
        <v>3.7050000000000001E-4</v>
      </c>
      <c r="W101" t="str">
        <f t="shared" si="4"/>
        <v>***</v>
      </c>
    </row>
    <row r="102" spans="16:23" x14ac:dyDescent="0.25">
      <c r="P102">
        <v>101</v>
      </c>
      <c r="Q102" t="s">
        <v>783</v>
      </c>
      <c r="R102" s="50">
        <v>-0.40567999999999999</v>
      </c>
      <c r="S102" s="50">
        <v>7.7707999999999999E-2</v>
      </c>
      <c r="T102">
        <v>-5.2206000000000001</v>
      </c>
      <c r="U102" s="50">
        <v>1.783E-7</v>
      </c>
      <c r="W102" t="str">
        <f t="shared" si="4"/>
        <v>***</v>
      </c>
    </row>
    <row r="103" spans="16:23" x14ac:dyDescent="0.25">
      <c r="P103">
        <v>102</v>
      </c>
      <c r="Q103" t="s">
        <v>784</v>
      </c>
      <c r="R103" s="50">
        <v>-4.8321999999999997E-2</v>
      </c>
      <c r="S103" s="50">
        <v>1.8801999999999999E-2</v>
      </c>
      <c r="T103">
        <v>-2.57</v>
      </c>
      <c r="U103">
        <v>1.01706E-2</v>
      </c>
      <c r="W103" t="str">
        <f t="shared" si="4"/>
        <v>**</v>
      </c>
    </row>
    <row r="104" spans="16:23" x14ac:dyDescent="0.25">
      <c r="P104">
        <v>103</v>
      </c>
      <c r="Q104" t="s">
        <v>785</v>
      </c>
      <c r="R104" s="50">
        <v>-0.19872000000000001</v>
      </c>
      <c r="S104" s="50">
        <v>3.1775999999999999E-2</v>
      </c>
      <c r="T104">
        <v>-6.2537000000000003</v>
      </c>
      <c r="U104" s="50">
        <v>4.008E-10</v>
      </c>
      <c r="W104" t="str">
        <f t="shared" si="4"/>
        <v>***</v>
      </c>
    </row>
    <row r="105" spans="16:23" x14ac:dyDescent="0.25">
      <c r="P105">
        <v>104</v>
      </c>
      <c r="Q105" t="s">
        <v>786</v>
      </c>
      <c r="R105" s="50">
        <v>2.4464E-2</v>
      </c>
      <c r="S105" s="50">
        <v>1.7505E-2</v>
      </c>
      <c r="T105">
        <v>1.3976</v>
      </c>
      <c r="U105">
        <v>0.16223460000000001</v>
      </c>
      <c r="W105" t="str">
        <f t="shared" si="4"/>
        <v/>
      </c>
    </row>
    <row r="106" spans="16:23" x14ac:dyDescent="0.25">
      <c r="P106">
        <v>105</v>
      </c>
      <c r="Q106" t="s">
        <v>787</v>
      </c>
      <c r="R106" s="50">
        <v>8.9280999999999999E-2</v>
      </c>
      <c r="S106" s="50">
        <v>3.4124000000000002E-2</v>
      </c>
      <c r="T106">
        <v>2.6164000000000001</v>
      </c>
      <c r="U106">
        <v>8.8862999999999998E-3</v>
      </c>
      <c r="W106" t="str">
        <f t="shared" si="4"/>
        <v>***</v>
      </c>
    </row>
    <row r="107" spans="16:23" x14ac:dyDescent="0.25">
      <c r="P107">
        <v>106</v>
      </c>
      <c r="W107" t="str">
        <f t="shared" si="4"/>
        <v>***</v>
      </c>
    </row>
    <row r="108" spans="16:23" x14ac:dyDescent="0.25">
      <c r="P108">
        <v>107</v>
      </c>
      <c r="W108" t="str">
        <f t="shared" si="4"/>
        <v>***</v>
      </c>
    </row>
    <row r="109" spans="16:23" x14ac:dyDescent="0.25">
      <c r="P109">
        <v>108</v>
      </c>
      <c r="W109" t="str">
        <f t="shared" si="4"/>
        <v>***</v>
      </c>
    </row>
    <row r="110" spans="16:23" x14ac:dyDescent="0.25">
      <c r="P110">
        <v>109</v>
      </c>
      <c r="W110" t="str">
        <f t="shared" si="4"/>
        <v>***</v>
      </c>
    </row>
    <row r="111" spans="16:23" x14ac:dyDescent="0.25">
      <c r="P111">
        <v>110</v>
      </c>
      <c r="W111" t="str">
        <f t="shared" si="4"/>
        <v>***</v>
      </c>
    </row>
    <row r="112" spans="16:23" x14ac:dyDescent="0.25">
      <c r="P112">
        <v>111</v>
      </c>
      <c r="W112" t="str">
        <f t="shared" si="4"/>
        <v>***</v>
      </c>
    </row>
    <row r="113" spans="16:23" x14ac:dyDescent="0.25">
      <c r="P113">
        <v>112</v>
      </c>
      <c r="W113" t="str">
        <f t="shared" si="4"/>
        <v>***</v>
      </c>
    </row>
    <row r="114" spans="16:23" x14ac:dyDescent="0.25">
      <c r="P114">
        <v>113</v>
      </c>
      <c r="W114" t="str">
        <f t="shared" si="4"/>
        <v>***</v>
      </c>
    </row>
    <row r="115" spans="16:23" x14ac:dyDescent="0.25">
      <c r="P115">
        <v>114</v>
      </c>
      <c r="W115" t="str">
        <f t="shared" si="4"/>
        <v>***</v>
      </c>
    </row>
    <row r="116" spans="16:23" x14ac:dyDescent="0.25">
      <c r="P116">
        <v>115</v>
      </c>
      <c r="W116" t="str">
        <f t="shared" si="4"/>
        <v>***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FB436-1ECB-4D6E-AB63-FE164CE7098E}">
  <dimension ref="A1:K20"/>
  <sheetViews>
    <sheetView tabSelected="1" zoomScale="145" zoomScaleNormal="145" workbookViewId="0">
      <selection activeCell="B1" sqref="B1:H15"/>
    </sheetView>
  </sheetViews>
  <sheetFormatPr defaultRowHeight="15" x14ac:dyDescent="0.25"/>
  <cols>
    <col min="2" max="8" width="15.7109375" customWidth="1"/>
  </cols>
  <sheetData>
    <row r="1" spans="1:11" ht="21" x14ac:dyDescent="0.35">
      <c r="B1" s="48" t="s">
        <v>789</v>
      </c>
      <c r="C1" s="48"/>
      <c r="D1" s="48"/>
      <c r="E1" s="48"/>
      <c r="F1" s="48"/>
      <c r="G1" s="48"/>
      <c r="H1" s="48"/>
    </row>
    <row r="2" spans="1:11" x14ac:dyDescent="0.25">
      <c r="B2" s="72" t="s">
        <v>790</v>
      </c>
      <c r="C2" s="72"/>
      <c r="D2" s="72"/>
      <c r="E2" s="72"/>
      <c r="F2" s="72"/>
      <c r="G2" s="72"/>
      <c r="H2" s="72"/>
      <c r="I2" s="52"/>
      <c r="J2" s="52"/>
    </row>
    <row r="3" spans="1:11" x14ac:dyDescent="0.25">
      <c r="B3" s="52"/>
      <c r="C3" s="55" t="s">
        <v>724</v>
      </c>
      <c r="D3" s="54"/>
      <c r="E3" s="55" t="s">
        <v>725</v>
      </c>
      <c r="F3" s="54"/>
      <c r="G3" s="55" t="s">
        <v>499</v>
      </c>
      <c r="H3" s="54"/>
      <c r="I3" s="52"/>
      <c r="J3" s="52"/>
    </row>
    <row r="4" spans="1:11" x14ac:dyDescent="0.25">
      <c r="B4" s="18"/>
      <c r="C4" s="56" t="s">
        <v>443</v>
      </c>
      <c r="D4" s="16" t="s">
        <v>444</v>
      </c>
      <c r="E4" s="56" t="s">
        <v>443</v>
      </c>
      <c r="F4" s="16" t="s">
        <v>444</v>
      </c>
      <c r="G4" s="56" t="s">
        <v>443</v>
      </c>
      <c r="H4" s="16" t="s">
        <v>444</v>
      </c>
      <c r="I4" s="52"/>
      <c r="J4" s="52"/>
    </row>
    <row r="5" spans="1:11" x14ac:dyDescent="0.25">
      <c r="A5">
        <v>2</v>
      </c>
      <c r="B5" s="66" t="s">
        <v>11</v>
      </c>
      <c r="C5" s="9" t="str">
        <f>_xlfn.CONCAT(FIXED(VLOOKUP($A5,'Spatial One'!$P:$W,3,0),4),VLOOKUP($A5,'Spatial One'!$P:$W,8,0))</f>
        <v>0.0114*</v>
      </c>
      <c r="D5" s="9" t="str">
        <f>_xlfn.CONCAT(FIXED(VLOOKUP($A5,'Spatial Two'!$P:$W,3,0),4),VLOOKUP($A5,'Spatial Two'!$P:$W,8,0))</f>
        <v>0.0106</v>
      </c>
      <c r="E5" s="9" t="str">
        <f>_xlfn.CONCAT(FIXED(VLOOKUP($A5,'Spatial One CT'!$P:$W,3,0),4),VLOOKUP($A5,'Spatial One CT'!$P:$W,8,0))</f>
        <v>0.0017</v>
      </c>
      <c r="F5" s="9" t="str">
        <f>_xlfn.CONCAT(FIXED(VLOOKUP($A5,'Spatial Two CT'!$P:$W,3,0),4),VLOOKUP($A5,'Spatial Two CT'!$P:$W,8,0))</f>
        <v>0.0017</v>
      </c>
      <c r="G5" s="9" t="str">
        <f>_xlfn.CONCAT(FIXED(VLOOKUP($A5,'Spatial One SF'!$P:$W,3,0),4),VLOOKUP($A5,'Spatial One SF'!$P:$W,8,0))</f>
        <v>0.0392***</v>
      </c>
      <c r="H5" s="9" t="str">
        <f>_xlfn.CONCAT(FIXED(VLOOKUP($A5,'Spatial Two SF'!$P:$W,3,0),4),VLOOKUP($A5,'Spatial Two SF'!$P:$W,8,0))</f>
        <v>0.0361***</v>
      </c>
      <c r="I5" s="52"/>
      <c r="J5" s="52"/>
    </row>
    <row r="6" spans="1:11" x14ac:dyDescent="0.25">
      <c r="B6" s="66"/>
      <c r="C6" s="9" t="str">
        <f>FIXED(VLOOKUP($A5,'Spatial One'!$P:$W,4,0),4)</f>
        <v>0.0068</v>
      </c>
      <c r="D6" s="9" t="str">
        <f>FIXED(VLOOKUP($A5,'Spatial Two'!$P:$W,4,0),4)</f>
        <v>0.0069</v>
      </c>
      <c r="E6" s="9" t="str">
        <f>FIXED(VLOOKUP($A5,'Spatial One CT'!$P:$W,4,0),4)</f>
        <v>0.0075</v>
      </c>
      <c r="F6" s="9" t="str">
        <f>FIXED(VLOOKUP($A5,'Spatial Two CT'!$P:$W,4,0),4)</f>
        <v>0.0078</v>
      </c>
      <c r="G6" s="9" t="str">
        <f>FIXED(VLOOKUP($A5,'Spatial One SF'!$P:$W,4,0),4)</f>
        <v>0.0083</v>
      </c>
      <c r="H6" s="9" t="str">
        <f>FIXED(VLOOKUP($A5,'Spatial Two SF'!$P:$W,4,0),4)</f>
        <v>0.0086</v>
      </c>
      <c r="I6" s="52"/>
      <c r="J6" s="52"/>
    </row>
    <row r="7" spans="1:11" x14ac:dyDescent="0.25">
      <c r="A7">
        <v>59</v>
      </c>
      <c r="B7" s="67" t="s">
        <v>788</v>
      </c>
      <c r="C7" s="64" t="str">
        <f>_xlfn.CONCAT(FIXED(VLOOKUP($A7,'Spatial One'!$P:$W,3,0),4),VLOOKUP($A7,'Spatial One'!$P:$W,8,0))</f>
        <v>0.0720**</v>
      </c>
      <c r="D7" s="64" t="str">
        <f>_xlfn.CONCAT(FIXED(VLOOKUP($A7,'Spatial Two'!$P:$W,3,0),4),VLOOKUP($A7,'Spatial Two'!$P:$W,8,0))</f>
        <v>0.0178</v>
      </c>
      <c r="E7" s="64" t="str">
        <f>_xlfn.CONCAT(FIXED(VLOOKUP($A7,'Spatial One CT'!$P:$W,3,0),4),VLOOKUP($A7,'Spatial One CT'!$P:$W,8,0))</f>
        <v>0.0009***</v>
      </c>
      <c r="F7" s="64" t="str">
        <f>_xlfn.CONCAT(FIXED(VLOOKUP($A7,'Spatial Two CT'!$P:$W,3,0),4),VLOOKUP($A7,'Spatial Two CT'!$P:$W,8,0))</f>
        <v>0.0008***</v>
      </c>
      <c r="G7" s="64" t="str">
        <f>_xlfn.CONCAT(FIXED(VLOOKUP($A7,'Spatial One SF'!$P:$W,3,0),4),VLOOKUP($A7,'Spatial One SF'!$P:$W,8,0))</f>
        <v>-0.0088</v>
      </c>
      <c r="H7" s="9" t="str">
        <f>_xlfn.CONCAT(FIXED(VLOOKUP($A7,'Spatial Two SF'!$P:$W,3,0),4),VLOOKUP($A7,'Spatial Two SF'!$P:$W,8,0))</f>
        <v>-0.0360</v>
      </c>
      <c r="I7" s="52"/>
      <c r="J7" s="52"/>
    </row>
    <row r="8" spans="1:11" x14ac:dyDescent="0.25">
      <c r="B8" s="67"/>
      <c r="C8" s="64" t="str">
        <f>FIXED(VLOOKUP($A7,'Spatial One'!$P:$W,4,0),4)</f>
        <v>0.0322</v>
      </c>
      <c r="D8" s="64" t="str">
        <f>FIXED(VLOOKUP($A7,'Spatial Two'!$P:$W,4,0),4)</f>
        <v>0.0326</v>
      </c>
      <c r="E8" s="64" t="str">
        <f>FIXED(VLOOKUP($A7,'Spatial One CT'!$P:$W,4,0),4)</f>
        <v>0.0001</v>
      </c>
      <c r="F8" s="64" t="str">
        <f>FIXED(VLOOKUP($A7,'Spatial Two CT'!$P:$W,4,0),4)</f>
        <v>0.0001</v>
      </c>
      <c r="G8" s="64" t="str">
        <f>FIXED(VLOOKUP($A7,'Spatial One SF'!$P:$W,4,0),4)</f>
        <v>0.0389</v>
      </c>
      <c r="H8" s="9" t="str">
        <f>FIXED(VLOOKUP($A7,'Spatial Two SF'!$P:$W,4,0),4)</f>
        <v>0.0376</v>
      </c>
      <c r="I8" s="52"/>
      <c r="J8" s="52"/>
    </row>
    <row r="9" spans="1:11" x14ac:dyDescent="0.25">
      <c r="B9" s="68" t="s">
        <v>718</v>
      </c>
      <c r="C9" s="65" t="str">
        <f>_xlfn.CONCAT(FIXED('Spatial One'!$C$61,4),'Spatial One'!$I$61)</f>
        <v>0.8389***</v>
      </c>
      <c r="D9" s="65" t="str">
        <f>_xlfn.CONCAT(FIXED('Spatial Two'!$C$61,4),'Spatial Two'!$I$61)</f>
        <v>0.8418***</v>
      </c>
      <c r="E9" s="65" t="str">
        <f>_xlfn.CONCAT(FIXED('Spatial One CT'!$C$61,4),'Spatial One CT'!$I$61)</f>
        <v>0.8567***</v>
      </c>
      <c r="F9" s="65" t="str">
        <f>_xlfn.CONCAT(FIXED('Spatial Two CT'!$C$61,4),'Spatial Two CT'!$I$61)</f>
        <v>0.8545***</v>
      </c>
      <c r="G9" s="65" t="str">
        <f>_xlfn.CONCAT(FIXED('Spatial One SF'!$C$61,4),'Spatial One SF'!$I$61)</f>
        <v>0.7877***</v>
      </c>
      <c r="H9" s="56" t="str">
        <f>_xlfn.CONCAT(FIXED('Spatial Two SF'!$C$61,4),'Spatial Two SF'!$I$61)</f>
        <v>0.7917***</v>
      </c>
      <c r="I9" s="52"/>
      <c r="J9" s="52"/>
    </row>
    <row r="10" spans="1:11" x14ac:dyDescent="0.25">
      <c r="B10" s="66" t="s">
        <v>721</v>
      </c>
      <c r="C10" s="9" t="str">
        <f>_xlfn.CONCAT(FIXED('Spatial One'!$C$2,4),'Spatial One'!$J$2)</f>
        <v>0.0205**</v>
      </c>
      <c r="D10" s="53" t="str">
        <f>_xlfn.CONCAT(FIXED('Spatial Two'!$C$2,4),'Spatial Two'!$J$2)</f>
        <v>0.0137</v>
      </c>
      <c r="E10" s="9" t="str">
        <f>_xlfn.CONCAT(FIXED('Spatial One CT'!$C$2,4),'Spatial One CT'!$J$2)</f>
        <v>0.0160*</v>
      </c>
      <c r="F10" s="53" t="str">
        <f>_xlfn.CONCAT(FIXED('Spatial Two CT'!$C$2,4),'Spatial Two CT'!$J$2)</f>
        <v>0.0061</v>
      </c>
      <c r="G10" s="9" t="str">
        <f>_xlfn.CONCAT(FIXED('Spatial One SF'!$C$2,4),'Spatial One SF'!$J$2)</f>
        <v>0.0408***</v>
      </c>
      <c r="H10" s="53" t="str">
        <f>_xlfn.CONCAT(FIXED('Spatial Two SF'!$C$2,4),'Spatial Two SF'!$J$2)</f>
        <v>0.0406***</v>
      </c>
      <c r="I10" s="52"/>
      <c r="J10" s="52">
        <f>EXP(0.0406)-1</f>
        <v>4.1435448040317846E-2</v>
      </c>
    </row>
    <row r="11" spans="1:11" x14ac:dyDescent="0.25">
      <c r="B11" s="66" t="s">
        <v>722</v>
      </c>
      <c r="C11" s="9" t="str">
        <f>_xlfn.CONCAT(FIXED('Spatial One'!$E$2,4),'Spatial One'!$L$2)</f>
        <v>0.4943**</v>
      </c>
      <c r="D11" s="53" t="str">
        <f>_xlfn.CONCAT(FIXED('Spatial Two'!$E$2,4),'Spatial Two'!$L$2)</f>
        <v>0.1644</v>
      </c>
      <c r="E11" s="9" t="str">
        <f>_xlfn.CONCAT(FIXED('Spatial One CT'!$E$2,4),'Spatial One CT'!$L$2)</f>
        <v>0.7795***</v>
      </c>
      <c r="F11" s="53" t="str">
        <f>_xlfn.CONCAT(FIXED('Spatial Two CT'!$E$2,4),'Spatial Two CT'!$L$2)</f>
        <v>0.2436</v>
      </c>
      <c r="G11" s="9" t="str">
        <f>_xlfn.CONCAT(FIXED('Spatial One SF'!$E$2,4),'Spatial One SF'!$L$2)</f>
        <v>0.0804</v>
      </c>
      <c r="H11" s="53" t="str">
        <f>_xlfn.CONCAT(FIXED('Spatial Two SF'!$E$2,4),'Spatial Two SF'!$L$2)</f>
        <v>0.2184</v>
      </c>
      <c r="I11" s="52"/>
      <c r="J11" s="52">
        <f>J10*1200000</f>
        <v>49722.537648381418</v>
      </c>
    </row>
    <row r="12" spans="1:11" x14ac:dyDescent="0.25">
      <c r="B12" s="69" t="s">
        <v>723</v>
      </c>
      <c r="C12" s="56" t="str">
        <f>_xlfn.CONCAT(FIXED('Spatial One'!$G$2,4),'Spatial One'!$N$2)</f>
        <v>0.5148**</v>
      </c>
      <c r="D12" s="16" t="str">
        <f>_xlfn.CONCAT(FIXED('Spatial Two'!$G$2,4),'Spatial Two'!$N$2)</f>
        <v>0.1781</v>
      </c>
      <c r="E12" s="56" t="str">
        <f>_xlfn.CONCAT(FIXED('Spatial One CT'!$G$2,4),'Spatial One CT'!$N$2)</f>
        <v>0.7956***</v>
      </c>
      <c r="F12" s="16" t="str">
        <f>_xlfn.CONCAT(FIXED('Spatial Two CT'!$G$2,4),'Spatial Two CT'!$N$2)</f>
        <v>0.2497</v>
      </c>
      <c r="G12" s="56" t="str">
        <f>_xlfn.CONCAT(FIXED('Spatial One SF'!$G$2,4),'Spatial One SF'!$N$2)</f>
        <v>0.1212</v>
      </c>
      <c r="H12" s="16" t="str">
        <f>_xlfn.CONCAT(FIXED('Spatial Two SF'!$G$2,4),'Spatial Two SF'!$N$2)</f>
        <v>0.2590</v>
      </c>
      <c r="I12" s="52"/>
      <c r="J12" s="52"/>
    </row>
    <row r="13" spans="1:11" x14ac:dyDescent="0.25">
      <c r="B13" s="70" t="s">
        <v>187</v>
      </c>
      <c r="C13" s="63">
        <f>'Spatial One'!$C$59</f>
        <v>43259</v>
      </c>
      <c r="D13" s="57">
        <f>'Spatial Two'!$C$59</f>
        <v>43259</v>
      </c>
      <c r="E13" s="63">
        <f>'Spatial One CT'!$C$59</f>
        <v>23359</v>
      </c>
      <c r="F13" s="57">
        <f>'Spatial Two CT'!$C$59</f>
        <v>23359</v>
      </c>
      <c r="G13" s="60">
        <f>'Spatial One SF'!$C$59</f>
        <v>19900</v>
      </c>
      <c r="H13" s="57">
        <f>'Spatial Two SF'!$C$59</f>
        <v>19900</v>
      </c>
      <c r="I13" s="52"/>
      <c r="J13" s="52"/>
      <c r="K13">
        <f>EXP(0.4943)-1</f>
        <v>0.6393502921180072</v>
      </c>
    </row>
    <row r="14" spans="1:11" x14ac:dyDescent="0.25">
      <c r="B14" s="70" t="s">
        <v>497</v>
      </c>
      <c r="C14" s="61">
        <f>'Spatial One'!$C$62</f>
        <v>-26309</v>
      </c>
      <c r="D14" s="58">
        <f>'Spatial Two'!$C$62</f>
        <v>-26562</v>
      </c>
      <c r="E14" s="61">
        <f>'Spatial One CT'!$C$62</f>
        <v>-24312</v>
      </c>
      <c r="F14" s="58">
        <f>'Spatial Two CT'!$C$62</f>
        <v>-24359</v>
      </c>
      <c r="G14" s="61">
        <f>'Spatial One SF'!$C$62</f>
        <v>-18611</v>
      </c>
      <c r="H14" s="58">
        <f>'Spatial Two SF'!$C$62</f>
        <v>-18422</v>
      </c>
      <c r="I14" s="52"/>
      <c r="J14" s="52"/>
    </row>
    <row r="15" spans="1:11" ht="15.75" thickBot="1" x14ac:dyDescent="0.3">
      <c r="B15" s="71" t="s">
        <v>726</v>
      </c>
      <c r="C15" s="62">
        <f>'Spatial One'!$C$63</f>
        <v>13271.41</v>
      </c>
      <c r="D15" s="59">
        <f>'Spatial Two'!$C$63</f>
        <v>13398.09</v>
      </c>
      <c r="E15" s="62">
        <f>'Spatial One CT'!$C$63</f>
        <v>12271.09</v>
      </c>
      <c r="F15" s="59">
        <f>'Spatial Two CT'!$C$63</f>
        <v>12294.59</v>
      </c>
      <c r="G15" s="62">
        <f>'Spatial One SF'!$C$63</f>
        <v>9412.3729999999996</v>
      </c>
      <c r="H15" s="59">
        <f>'Spatial Two SF'!$C$63</f>
        <v>9318.1929999999993</v>
      </c>
      <c r="I15" s="52"/>
      <c r="J15" s="52"/>
    </row>
    <row r="16" spans="1:11" x14ac:dyDescent="0.25">
      <c r="B16" s="52"/>
      <c r="C16" s="52"/>
      <c r="D16" s="52"/>
      <c r="E16" s="52"/>
      <c r="F16" s="52"/>
      <c r="G16" s="52"/>
      <c r="H16" s="52"/>
      <c r="I16" s="52"/>
      <c r="J16" s="52"/>
    </row>
    <row r="17" spans="2:10" x14ac:dyDescent="0.25">
      <c r="B17" s="52"/>
      <c r="C17" s="52"/>
      <c r="D17" s="52"/>
      <c r="E17" s="52"/>
      <c r="F17" s="52"/>
      <c r="G17" s="52"/>
      <c r="H17" s="52"/>
      <c r="I17" s="52"/>
      <c r="J17" s="52"/>
    </row>
    <row r="18" spans="2:10" x14ac:dyDescent="0.25">
      <c r="B18" s="52"/>
      <c r="C18" s="52"/>
      <c r="D18" s="52"/>
      <c r="E18" s="52"/>
      <c r="F18" s="52"/>
      <c r="G18" s="52"/>
      <c r="H18" s="52"/>
      <c r="I18" s="52"/>
      <c r="J18" s="52"/>
    </row>
    <row r="19" spans="2:10" x14ac:dyDescent="0.25">
      <c r="B19" s="52"/>
      <c r="C19" s="52">
        <f>0.8389*0.072</f>
        <v>6.0400799999999991E-2</v>
      </c>
      <c r="D19" s="52"/>
      <c r="E19" s="52">
        <f>EXP(0.5148)-1</f>
        <v>0.67330380756770869</v>
      </c>
      <c r="F19" s="52"/>
      <c r="G19" s="52"/>
      <c r="H19" s="52"/>
      <c r="I19" s="52"/>
      <c r="J19" s="52"/>
    </row>
    <row r="20" spans="2:10" x14ac:dyDescent="0.25">
      <c r="B20" s="52"/>
      <c r="C20" s="52"/>
      <c r="D20" s="52"/>
      <c r="E20" s="52">
        <f>0.4943/0.5148</f>
        <v>0.96017871017871015</v>
      </c>
      <c r="F20" s="52"/>
      <c r="G20" s="52"/>
      <c r="H20" s="52"/>
      <c r="I20" s="52"/>
      <c r="J20" s="52"/>
    </row>
  </sheetData>
  <mergeCells count="5">
    <mergeCell ref="B1:H1"/>
    <mergeCell ref="B2:H2"/>
    <mergeCell ref="C3:D3"/>
    <mergeCell ref="E3:F3"/>
    <mergeCell ref="G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</vt:i4>
      </vt:variant>
    </vt:vector>
  </HeadingPairs>
  <TitlesOfParts>
    <vt:vector size="36" baseType="lpstr">
      <vt:lpstr>Full Sample-No Sub</vt:lpstr>
      <vt:lpstr>Full Sample-Townhouse</vt:lpstr>
      <vt:lpstr>Full Sample-Single Family</vt:lpstr>
      <vt:lpstr>Small Sample 1-No Sub</vt:lpstr>
      <vt:lpstr>Small Sample 1-Townhouse</vt:lpstr>
      <vt:lpstr>Small Sample 1-Single Family</vt:lpstr>
      <vt:lpstr>Small Sample 2-No Sub</vt:lpstr>
      <vt:lpstr>Small Sample 2-Townhouse</vt:lpstr>
      <vt:lpstr>Small Sample 2-Single Family</vt:lpstr>
      <vt:lpstr>Table One</vt:lpstr>
      <vt:lpstr>Table Two (a)</vt:lpstr>
      <vt:lpstr>Table One Townhouse</vt:lpstr>
      <vt:lpstr>Table One Single Family</vt:lpstr>
      <vt:lpstr>Reg1</vt:lpstr>
      <vt:lpstr>Reg1_Robust</vt:lpstr>
      <vt:lpstr>Table 3</vt:lpstr>
      <vt:lpstr>Reg1_ct</vt:lpstr>
      <vt:lpstr>Reg1_ct_Robust</vt:lpstr>
      <vt:lpstr>Reg2_ct_last_rob</vt:lpstr>
      <vt:lpstr>Reg2_ct_first_rob</vt:lpstr>
      <vt:lpstr>Reg1_sf</vt:lpstr>
      <vt:lpstr>Reg1_sf_Robust</vt:lpstr>
      <vt:lpstr>Reg2_sf_last_rob</vt:lpstr>
      <vt:lpstr>Reg2_sf_first_rob</vt:lpstr>
      <vt:lpstr>Table Four</vt:lpstr>
      <vt:lpstr>Spatial One</vt:lpstr>
      <vt:lpstr>Spatial Two</vt:lpstr>
      <vt:lpstr>Spatial One CT</vt:lpstr>
      <vt:lpstr>Spatial Two CT</vt:lpstr>
      <vt:lpstr>Spatial One SF</vt:lpstr>
      <vt:lpstr>Spatial Two SF</vt:lpstr>
      <vt:lpstr>Table Five</vt:lpstr>
      <vt:lpstr>'Table One'!Print_Area</vt:lpstr>
      <vt:lpstr>'Table One Single Family'!Print_Area</vt:lpstr>
      <vt:lpstr>'Table One Townhouse'!Print_Area</vt:lpstr>
      <vt:lpstr>'Table Two (a)'!Print_Area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Groves</dc:creator>
  <cp:lastModifiedBy>Jeremy and Cayce Groves</cp:lastModifiedBy>
  <cp:lastPrinted>2023-07-11T16:13:57Z</cp:lastPrinted>
  <dcterms:created xsi:type="dcterms:W3CDTF">2023-06-29T19:59:47Z</dcterms:created>
  <dcterms:modified xsi:type="dcterms:W3CDTF">2023-08-03T22:33:57Z</dcterms:modified>
</cp:coreProperties>
</file>